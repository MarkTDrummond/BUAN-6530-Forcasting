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ark\Grad School\Classes\BUAN 6530 Forcasting\Rcode\Data Sets\"/>
    </mc:Choice>
  </mc:AlternateContent>
  <xr:revisionPtr revIDLastSave="0" documentId="13_ncr:1_{464C2AB1-C8E0-4B57-9018-2DF1186DDD3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2" r:id="rId1"/>
    <sheet name="Monthly_provisional_counts_of_d" sheetId="1" r:id="rId2"/>
  </sheets>
  <calcPr calcId="181029"/>
  <pivotCaches>
    <pivotCache cacheId="28" r:id="rId3"/>
  </pivotCaches>
</workbook>
</file>

<file path=xl/calcChain.xml><?xml version="1.0" encoding="utf-8"?>
<calcChain xmlns="http://schemas.openxmlformats.org/spreadsheetml/2006/main"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4" i="2"/>
  <c r="C3" i="1" l="1"/>
  <c r="D3" i="1" s="1"/>
  <c r="C4" i="1"/>
  <c r="D4" i="1"/>
  <c r="C5" i="1"/>
  <c r="D5" i="1" s="1"/>
  <c r="C6" i="1"/>
  <c r="D6" i="1"/>
  <c r="C7" i="1"/>
  <c r="D7" i="1" s="1"/>
  <c r="C8" i="1"/>
  <c r="D8" i="1" s="1"/>
  <c r="C9" i="1"/>
  <c r="D9" i="1" s="1"/>
  <c r="C10" i="1"/>
  <c r="D10" i="1"/>
  <c r="C11" i="1"/>
  <c r="D11" i="1" s="1"/>
  <c r="C12" i="1"/>
  <c r="D12" i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/>
  <c r="C19" i="1"/>
  <c r="D19" i="1" s="1"/>
  <c r="C20" i="1"/>
  <c r="D20" i="1" s="1"/>
  <c r="C21" i="1"/>
  <c r="D21" i="1" s="1"/>
  <c r="C22" i="1"/>
  <c r="D22" i="1"/>
  <c r="C23" i="1"/>
  <c r="D23" i="1" s="1"/>
  <c r="C24" i="1"/>
  <c r="D24" i="1" s="1"/>
  <c r="C25" i="1"/>
  <c r="D25" i="1" s="1"/>
  <c r="C26" i="1"/>
  <c r="D26" i="1" s="1"/>
  <c r="C27" i="1"/>
  <c r="D27" i="1" s="1"/>
  <c r="C28" i="1"/>
  <c r="D28" i="1"/>
  <c r="C29" i="1"/>
  <c r="D29" i="1" s="1"/>
  <c r="C30" i="1"/>
  <c r="D30" i="1"/>
  <c r="C31" i="1"/>
  <c r="D31" i="1" s="1"/>
  <c r="C32" i="1"/>
  <c r="D32" i="1" s="1"/>
  <c r="C33" i="1"/>
  <c r="D33" i="1" s="1"/>
  <c r="C34" i="1"/>
  <c r="D34" i="1"/>
  <c r="C35" i="1"/>
  <c r="D35" i="1" s="1"/>
  <c r="C36" i="1"/>
  <c r="D36" i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/>
  <c r="C43" i="1"/>
  <c r="D43" i="1" s="1"/>
  <c r="C44" i="1"/>
  <c r="D44" i="1" s="1"/>
  <c r="C45" i="1"/>
  <c r="D45" i="1" s="1"/>
  <c r="C46" i="1"/>
  <c r="D46" i="1"/>
  <c r="C47" i="1"/>
  <c r="D47" i="1" s="1"/>
  <c r="C48" i="1"/>
  <c r="D48" i="1" s="1"/>
  <c r="C49" i="1"/>
  <c r="D49" i="1" s="1"/>
  <c r="C50" i="1"/>
  <c r="D50" i="1" s="1"/>
  <c r="C51" i="1"/>
  <c r="D51" i="1" s="1"/>
  <c r="C52" i="1"/>
  <c r="D52" i="1"/>
  <c r="C53" i="1"/>
  <c r="D53" i="1" s="1"/>
  <c r="C54" i="1"/>
  <c r="D54" i="1"/>
  <c r="C55" i="1"/>
  <c r="D55" i="1" s="1"/>
  <c r="C56" i="1"/>
  <c r="D56" i="1" s="1"/>
  <c r="C57" i="1"/>
  <c r="D57" i="1" s="1"/>
  <c r="C58" i="1"/>
  <c r="D58" i="1" s="1"/>
  <c r="C59" i="1"/>
  <c r="D59" i="1" s="1"/>
  <c r="C60" i="1"/>
  <c r="D60" i="1"/>
  <c r="C61" i="1"/>
  <c r="D61" i="1" s="1"/>
  <c r="C62" i="1"/>
  <c r="D62" i="1" s="1"/>
  <c r="C63" i="1"/>
  <c r="D63" i="1" s="1"/>
  <c r="C64" i="1"/>
  <c r="D64" i="1" s="1"/>
  <c r="C65" i="1"/>
  <c r="D65" i="1" s="1"/>
  <c r="C66" i="1"/>
  <c r="D66" i="1"/>
  <c r="C67" i="1"/>
  <c r="D67" i="1" s="1"/>
  <c r="C68" i="1"/>
  <c r="D68" i="1" s="1"/>
  <c r="C69" i="1"/>
  <c r="D69" i="1" s="1"/>
  <c r="C70" i="1"/>
  <c r="D70" i="1"/>
  <c r="C71" i="1"/>
  <c r="D71" i="1" s="1"/>
  <c r="C72" i="1"/>
  <c r="D72" i="1" s="1"/>
  <c r="C73" i="1"/>
  <c r="D73" i="1" s="1"/>
  <c r="C74" i="1"/>
  <c r="D74" i="1" s="1"/>
  <c r="C75" i="1"/>
  <c r="D75" i="1" s="1"/>
  <c r="C76" i="1"/>
  <c r="D76" i="1"/>
  <c r="C77" i="1"/>
  <c r="D77" i="1" s="1"/>
  <c r="C78" i="1"/>
  <c r="D78" i="1"/>
  <c r="C79" i="1"/>
  <c r="D79" i="1" s="1"/>
  <c r="C80" i="1"/>
  <c r="D80" i="1" s="1"/>
  <c r="C81" i="1"/>
  <c r="D81" i="1" s="1"/>
  <c r="C82" i="1"/>
  <c r="D82" i="1"/>
  <c r="C83" i="1"/>
  <c r="D83" i="1" s="1"/>
  <c r="C84" i="1"/>
  <c r="D84" i="1" s="1"/>
  <c r="C85" i="1"/>
  <c r="D85" i="1" s="1"/>
  <c r="C86" i="1"/>
  <c r="D86" i="1" s="1"/>
  <c r="C87" i="1"/>
  <c r="D87" i="1" s="1"/>
  <c r="C88" i="1"/>
  <c r="D88" i="1" s="1"/>
  <c r="C89" i="1"/>
  <c r="D89" i="1" s="1"/>
  <c r="C90" i="1"/>
  <c r="D90" i="1" s="1"/>
  <c r="C91" i="1"/>
  <c r="D91" i="1" s="1"/>
  <c r="C92" i="1"/>
  <c r="D92" i="1"/>
  <c r="C93" i="1"/>
  <c r="D93" i="1" s="1"/>
  <c r="C94" i="1"/>
  <c r="D94" i="1"/>
  <c r="C95" i="1"/>
  <c r="D95" i="1" s="1"/>
  <c r="C96" i="1"/>
  <c r="D96" i="1" s="1"/>
  <c r="C97" i="1"/>
  <c r="D97" i="1" s="1"/>
  <c r="C98" i="1"/>
  <c r="D98" i="1"/>
  <c r="C99" i="1"/>
  <c r="D99" i="1" s="1"/>
  <c r="C100" i="1"/>
  <c r="D100" i="1"/>
  <c r="C101" i="1"/>
  <c r="D101" i="1" s="1"/>
  <c r="C102" i="1"/>
  <c r="D102" i="1"/>
  <c r="C103" i="1"/>
  <c r="D103" i="1" s="1"/>
  <c r="C104" i="1"/>
  <c r="D104" i="1" s="1"/>
  <c r="C105" i="1"/>
  <c r="D105" i="1" s="1"/>
  <c r="C106" i="1"/>
  <c r="D106" i="1"/>
  <c r="C107" i="1"/>
  <c r="D107" i="1" s="1"/>
  <c r="C108" i="1"/>
  <c r="D108" i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/>
  <c r="C115" i="1"/>
  <c r="D115" i="1" s="1"/>
  <c r="C116" i="1"/>
  <c r="D116" i="1" s="1"/>
  <c r="C117" i="1"/>
  <c r="D117" i="1" s="1"/>
  <c r="C118" i="1"/>
  <c r="D118" i="1"/>
  <c r="C119" i="1"/>
  <c r="D119" i="1" s="1"/>
  <c r="C120" i="1"/>
  <c r="D120" i="1" s="1"/>
  <c r="C121" i="1"/>
  <c r="D121" i="1" s="1"/>
  <c r="C122" i="1"/>
  <c r="D122" i="1" s="1"/>
  <c r="C123" i="1"/>
  <c r="D123" i="1" s="1"/>
  <c r="C124" i="1"/>
  <c r="D124" i="1"/>
  <c r="C125" i="1"/>
  <c r="D125" i="1" s="1"/>
  <c r="C126" i="1"/>
  <c r="D126" i="1" s="1"/>
  <c r="C127" i="1"/>
  <c r="D127" i="1" s="1"/>
  <c r="C128" i="1"/>
  <c r="D128" i="1" s="1"/>
  <c r="C129" i="1"/>
  <c r="D129" i="1" s="1"/>
  <c r="C130" i="1"/>
  <c r="D130" i="1"/>
  <c r="C131" i="1"/>
  <c r="D131" i="1" s="1"/>
  <c r="C132" i="1"/>
  <c r="D132" i="1" s="1"/>
  <c r="C133" i="1"/>
  <c r="D133" i="1" s="1"/>
  <c r="C134" i="1"/>
  <c r="D134" i="1"/>
  <c r="C135" i="1"/>
  <c r="D135" i="1" s="1"/>
  <c r="C136" i="1"/>
  <c r="D136" i="1" s="1"/>
  <c r="C137" i="1"/>
  <c r="D137" i="1" s="1"/>
  <c r="C138" i="1"/>
  <c r="D138" i="1" s="1"/>
  <c r="C139" i="1"/>
  <c r="D139" i="1" s="1"/>
  <c r="C140" i="1"/>
  <c r="D140" i="1"/>
  <c r="C141" i="1"/>
  <c r="D141" i="1" s="1"/>
  <c r="C142" i="1"/>
  <c r="D142" i="1"/>
  <c r="C143" i="1"/>
  <c r="D143" i="1" s="1"/>
  <c r="C144" i="1"/>
  <c r="D144" i="1" s="1"/>
  <c r="C145" i="1"/>
  <c r="D145" i="1" s="1"/>
  <c r="C146" i="1"/>
  <c r="D146" i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/>
  <c r="C157" i="1"/>
  <c r="D157" i="1" s="1"/>
  <c r="C158" i="1"/>
  <c r="D158" i="1"/>
  <c r="C159" i="1"/>
  <c r="D159" i="1" s="1"/>
  <c r="C160" i="1"/>
  <c r="D160" i="1" s="1"/>
  <c r="C161" i="1"/>
  <c r="D161" i="1" s="1"/>
  <c r="C162" i="1"/>
  <c r="D162" i="1"/>
  <c r="C163" i="1"/>
  <c r="D163" i="1" s="1"/>
  <c r="C164" i="1"/>
  <c r="D164" i="1"/>
  <c r="C165" i="1"/>
  <c r="D165" i="1" s="1"/>
  <c r="C166" i="1"/>
  <c r="D166" i="1"/>
  <c r="C167" i="1"/>
  <c r="D167" i="1" s="1"/>
  <c r="C168" i="1"/>
  <c r="D168" i="1" s="1"/>
  <c r="C169" i="1"/>
  <c r="D169" i="1" s="1"/>
  <c r="C170" i="1"/>
  <c r="D170" i="1"/>
  <c r="C171" i="1"/>
  <c r="D171" i="1" s="1"/>
  <c r="C172" i="1"/>
  <c r="D172" i="1"/>
  <c r="C173" i="1"/>
  <c r="D173" i="1" s="1"/>
  <c r="C174" i="1"/>
  <c r="D174" i="1" s="1"/>
  <c r="C175" i="1"/>
  <c r="D175" i="1" s="1"/>
  <c r="C176" i="1"/>
  <c r="D176" i="1"/>
  <c r="C177" i="1"/>
  <c r="D177" i="1" s="1"/>
  <c r="C178" i="1"/>
  <c r="D178" i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/>
  <c r="C185" i="1"/>
  <c r="D185" i="1" s="1"/>
  <c r="C186" i="1"/>
  <c r="D186" i="1" s="1"/>
  <c r="C187" i="1"/>
  <c r="D187" i="1" s="1"/>
  <c r="C188" i="1"/>
  <c r="D188" i="1"/>
  <c r="C189" i="1"/>
  <c r="D189" i="1" s="1"/>
  <c r="C190" i="1"/>
  <c r="D190" i="1" s="1"/>
  <c r="C191" i="1"/>
  <c r="D191" i="1" s="1"/>
  <c r="C192" i="1"/>
  <c r="D192" i="1" s="1"/>
  <c r="C193" i="1"/>
  <c r="D193" i="1" s="1"/>
  <c r="C194" i="1"/>
  <c r="D194" i="1"/>
  <c r="C195" i="1"/>
  <c r="D195" i="1" s="1"/>
  <c r="C196" i="1"/>
  <c r="D196" i="1"/>
  <c r="C197" i="1"/>
  <c r="D197" i="1" s="1"/>
  <c r="C198" i="1"/>
  <c r="D198" i="1" s="1"/>
  <c r="C199" i="1"/>
  <c r="D199" i="1" s="1"/>
  <c r="C200" i="1"/>
  <c r="D200" i="1"/>
  <c r="C201" i="1"/>
  <c r="D201" i="1" s="1"/>
  <c r="C202" i="1"/>
  <c r="D202" i="1"/>
  <c r="C203" i="1"/>
  <c r="D203" i="1" s="1"/>
  <c r="C204" i="1"/>
  <c r="D204" i="1" s="1"/>
  <c r="C205" i="1"/>
  <c r="D205" i="1" s="1"/>
  <c r="C206" i="1"/>
  <c r="D206" i="1" s="1"/>
  <c r="C207" i="1"/>
  <c r="D207" i="1" s="1"/>
  <c r="C208" i="1"/>
  <c r="D208" i="1"/>
  <c r="C209" i="1"/>
  <c r="D209" i="1" s="1"/>
  <c r="C210" i="1"/>
  <c r="D210" i="1" s="1"/>
  <c r="C211" i="1"/>
  <c r="D211" i="1" s="1"/>
  <c r="C212" i="1"/>
  <c r="D212" i="1"/>
  <c r="C213" i="1"/>
  <c r="D213" i="1" s="1"/>
  <c r="C214" i="1"/>
  <c r="D214" i="1" s="1"/>
  <c r="C215" i="1"/>
  <c r="D215" i="1" s="1"/>
  <c r="C216" i="1"/>
  <c r="D216" i="1" s="1"/>
  <c r="C217" i="1"/>
  <c r="D217" i="1" s="1"/>
  <c r="C218" i="1"/>
  <c r="D218" i="1"/>
  <c r="C219" i="1"/>
  <c r="D219" i="1" s="1"/>
  <c r="C220" i="1"/>
  <c r="D220" i="1"/>
  <c r="C221" i="1"/>
  <c r="D221" i="1" s="1"/>
  <c r="C222" i="1"/>
  <c r="D222" i="1" s="1"/>
  <c r="C223" i="1"/>
  <c r="D223" i="1" s="1"/>
  <c r="C224" i="1"/>
  <c r="D224" i="1" s="1"/>
  <c r="C225" i="1"/>
  <c r="D225" i="1" s="1"/>
  <c r="C226" i="1"/>
  <c r="D226" i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/>
  <c r="C233" i="1"/>
  <c r="D233" i="1" s="1"/>
  <c r="C234" i="1"/>
  <c r="D234" i="1" s="1"/>
  <c r="C235" i="1"/>
  <c r="D235" i="1" s="1"/>
  <c r="C236" i="1"/>
  <c r="D236" i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/>
  <c r="C243" i="1"/>
  <c r="D243" i="1" s="1"/>
  <c r="C244" i="1"/>
  <c r="D244" i="1"/>
  <c r="C245" i="1"/>
  <c r="D245" i="1" s="1"/>
  <c r="C246" i="1"/>
  <c r="D246" i="1" s="1"/>
  <c r="C247" i="1"/>
  <c r="D247" i="1" s="1"/>
  <c r="C248" i="1"/>
  <c r="D248" i="1"/>
  <c r="C249" i="1"/>
  <c r="D249" i="1" s="1"/>
  <c r="C250" i="1"/>
  <c r="D250" i="1"/>
  <c r="C251" i="1"/>
  <c r="D251" i="1" s="1"/>
  <c r="C252" i="1"/>
  <c r="D252" i="1"/>
  <c r="C253" i="1"/>
  <c r="D253" i="1" s="1"/>
  <c r="C254" i="1"/>
  <c r="D254" i="1" s="1"/>
  <c r="C255" i="1"/>
  <c r="D255" i="1" s="1"/>
  <c r="C256" i="1"/>
  <c r="D256" i="1" s="1"/>
  <c r="C257" i="1"/>
  <c r="D257" i="1" s="1"/>
  <c r="C258" i="1"/>
  <c r="D258" i="1" s="1"/>
  <c r="C259" i="1"/>
  <c r="D259" i="1" s="1"/>
  <c r="C260" i="1"/>
  <c r="D260" i="1"/>
  <c r="C261" i="1"/>
  <c r="D261" i="1" s="1"/>
  <c r="C262" i="1"/>
  <c r="D262" i="1" s="1"/>
  <c r="C263" i="1"/>
  <c r="D263" i="1" s="1"/>
  <c r="C264" i="1"/>
  <c r="D264" i="1" s="1"/>
  <c r="C265" i="1"/>
  <c r="D265" i="1" s="1"/>
  <c r="C266" i="1"/>
  <c r="D266" i="1"/>
  <c r="C267" i="1"/>
  <c r="D267" i="1" s="1"/>
  <c r="C268" i="1"/>
  <c r="D268" i="1"/>
  <c r="C269" i="1"/>
  <c r="D269" i="1" s="1"/>
  <c r="C270" i="1"/>
  <c r="D270" i="1" s="1"/>
  <c r="C271" i="1"/>
  <c r="D271" i="1" s="1"/>
  <c r="C272" i="1"/>
  <c r="D272" i="1"/>
  <c r="C273" i="1"/>
  <c r="D273" i="1" s="1"/>
  <c r="C274" i="1"/>
  <c r="D274" i="1"/>
  <c r="C275" i="1"/>
  <c r="D275" i="1" s="1"/>
  <c r="C276" i="1"/>
  <c r="D276" i="1" s="1"/>
  <c r="C277" i="1"/>
  <c r="D277" i="1" s="1"/>
  <c r="C278" i="1"/>
  <c r="D278" i="1" s="1"/>
  <c r="C279" i="1"/>
  <c r="D279" i="1" s="1"/>
  <c r="C280" i="1"/>
  <c r="D280" i="1"/>
  <c r="C281" i="1"/>
  <c r="D281" i="1" s="1"/>
  <c r="C282" i="1"/>
  <c r="D282" i="1" s="1"/>
  <c r="C283" i="1"/>
  <c r="D283" i="1" s="1"/>
  <c r="C284" i="1"/>
  <c r="D284" i="1"/>
  <c r="C285" i="1"/>
  <c r="D285" i="1" s="1"/>
  <c r="C286" i="1"/>
  <c r="D286" i="1" s="1"/>
  <c r="C287" i="1"/>
  <c r="D287" i="1" s="1"/>
  <c r="C288" i="1"/>
  <c r="D288" i="1" s="1"/>
  <c r="C289" i="1"/>
  <c r="D289" i="1" s="1"/>
  <c r="C290" i="1"/>
  <c r="D290" i="1"/>
  <c r="C291" i="1"/>
  <c r="D291" i="1" s="1"/>
  <c r="C292" i="1"/>
  <c r="D292" i="1"/>
  <c r="C293" i="1"/>
  <c r="D293" i="1" s="1"/>
  <c r="C294" i="1"/>
  <c r="D294" i="1" s="1"/>
  <c r="C295" i="1"/>
  <c r="D295" i="1" s="1"/>
  <c r="C296" i="1"/>
  <c r="D296" i="1"/>
  <c r="C297" i="1"/>
  <c r="D297" i="1" s="1"/>
  <c r="C298" i="1"/>
  <c r="D298" i="1"/>
  <c r="C299" i="1"/>
  <c r="D299" i="1" s="1"/>
  <c r="C300" i="1"/>
  <c r="D300" i="1" s="1"/>
  <c r="C301" i="1"/>
  <c r="D301" i="1"/>
  <c r="C302" i="1"/>
  <c r="D302" i="1" s="1"/>
  <c r="C303" i="1"/>
  <c r="D303" i="1"/>
  <c r="C304" i="1"/>
  <c r="D304" i="1" s="1"/>
  <c r="C305" i="1"/>
  <c r="D305" i="1"/>
  <c r="C306" i="1"/>
  <c r="D306" i="1" s="1"/>
  <c r="C307" i="1"/>
  <c r="D307" i="1"/>
  <c r="C308" i="1"/>
  <c r="D308" i="1" s="1"/>
  <c r="C309" i="1"/>
  <c r="D309" i="1"/>
  <c r="C310" i="1"/>
  <c r="D310" i="1" s="1"/>
  <c r="C311" i="1"/>
  <c r="D311" i="1"/>
  <c r="C312" i="1"/>
  <c r="D312" i="1" s="1"/>
  <c r="C313" i="1"/>
  <c r="D313" i="1"/>
  <c r="C314" i="1"/>
  <c r="D314" i="1" s="1"/>
  <c r="C315" i="1"/>
  <c r="D315" i="1"/>
  <c r="C316" i="1"/>
  <c r="D316" i="1" s="1"/>
  <c r="C317" i="1"/>
  <c r="D317" i="1"/>
  <c r="C318" i="1"/>
  <c r="D318" i="1" s="1"/>
  <c r="C319" i="1"/>
  <c r="D319" i="1"/>
  <c r="C320" i="1"/>
  <c r="D320" i="1" s="1"/>
  <c r="C321" i="1"/>
  <c r="D321" i="1"/>
  <c r="C322" i="1"/>
  <c r="D322" i="1" s="1"/>
  <c r="C323" i="1"/>
  <c r="D323" i="1"/>
  <c r="C324" i="1"/>
  <c r="D324" i="1" s="1"/>
  <c r="C325" i="1"/>
  <c r="D325" i="1"/>
  <c r="C326" i="1"/>
  <c r="D326" i="1" s="1"/>
  <c r="C327" i="1"/>
  <c r="D327" i="1"/>
  <c r="C328" i="1"/>
  <c r="D328" i="1" s="1"/>
  <c r="C329" i="1"/>
  <c r="D329" i="1"/>
  <c r="C330" i="1"/>
  <c r="D330" i="1" s="1"/>
  <c r="C331" i="1"/>
  <c r="D331" i="1"/>
  <c r="C332" i="1"/>
  <c r="D332" i="1" s="1"/>
  <c r="C333" i="1"/>
  <c r="D333" i="1"/>
  <c r="C334" i="1"/>
  <c r="D334" i="1" s="1"/>
  <c r="C335" i="1"/>
  <c r="D335" i="1"/>
  <c r="C336" i="1"/>
  <c r="D336" i="1" s="1"/>
  <c r="C337" i="1"/>
  <c r="D337" i="1"/>
  <c r="C338" i="1"/>
  <c r="D338" i="1" s="1"/>
  <c r="C339" i="1"/>
  <c r="D339" i="1"/>
  <c r="C340" i="1"/>
  <c r="D340" i="1" s="1"/>
  <c r="C341" i="1"/>
  <c r="D341" i="1"/>
  <c r="C342" i="1"/>
  <c r="D342" i="1" s="1"/>
  <c r="C343" i="1"/>
  <c r="D343" i="1"/>
  <c r="C344" i="1"/>
  <c r="D344" i="1" s="1"/>
  <c r="C345" i="1"/>
  <c r="D345" i="1"/>
  <c r="C346" i="1"/>
  <c r="D346" i="1" s="1"/>
  <c r="C347" i="1"/>
  <c r="D347" i="1"/>
  <c r="C348" i="1"/>
  <c r="D348" i="1" s="1"/>
  <c r="C349" i="1"/>
  <c r="D349" i="1"/>
  <c r="C350" i="1"/>
  <c r="D350" i="1" s="1"/>
  <c r="C351" i="1"/>
  <c r="D351" i="1"/>
  <c r="C352" i="1"/>
  <c r="D352" i="1" s="1"/>
  <c r="C353" i="1"/>
  <c r="D353" i="1"/>
  <c r="C354" i="1"/>
  <c r="D354" i="1" s="1"/>
  <c r="C355" i="1"/>
  <c r="D355" i="1"/>
  <c r="C356" i="1"/>
  <c r="D356" i="1" s="1"/>
  <c r="C357" i="1"/>
  <c r="D357" i="1"/>
  <c r="C358" i="1"/>
  <c r="D358" i="1" s="1"/>
  <c r="C359" i="1"/>
  <c r="D359" i="1"/>
  <c r="C360" i="1"/>
  <c r="D360" i="1" s="1"/>
  <c r="C361" i="1"/>
  <c r="D361" i="1"/>
  <c r="C362" i="1"/>
  <c r="D362" i="1" s="1"/>
  <c r="C363" i="1"/>
  <c r="D363" i="1"/>
  <c r="C364" i="1"/>
  <c r="D364" i="1" s="1"/>
  <c r="C365" i="1"/>
  <c r="D365" i="1"/>
  <c r="C366" i="1"/>
  <c r="D366" i="1" s="1"/>
  <c r="C367" i="1"/>
  <c r="D367" i="1"/>
  <c r="C368" i="1"/>
  <c r="D368" i="1" s="1"/>
  <c r="C369" i="1"/>
  <c r="D369" i="1"/>
  <c r="C370" i="1"/>
  <c r="D370" i="1" s="1"/>
  <c r="C371" i="1"/>
  <c r="D371" i="1"/>
  <c r="C372" i="1"/>
  <c r="D372" i="1" s="1"/>
  <c r="C373" i="1"/>
  <c r="D373" i="1"/>
  <c r="C374" i="1"/>
  <c r="D374" i="1" s="1"/>
  <c r="C375" i="1"/>
  <c r="D375" i="1"/>
  <c r="C376" i="1"/>
  <c r="D376" i="1" s="1"/>
  <c r="C377" i="1"/>
  <c r="D377" i="1"/>
  <c r="C378" i="1"/>
  <c r="D378" i="1" s="1"/>
  <c r="C379" i="1"/>
  <c r="D379" i="1"/>
  <c r="C380" i="1"/>
  <c r="D380" i="1" s="1"/>
  <c r="C381" i="1"/>
  <c r="D381" i="1"/>
  <c r="C382" i="1"/>
  <c r="D382" i="1" s="1"/>
  <c r="C383" i="1"/>
  <c r="D383" i="1"/>
  <c r="C384" i="1"/>
  <c r="D384" i="1" s="1"/>
  <c r="C385" i="1"/>
  <c r="D385" i="1"/>
  <c r="C386" i="1"/>
  <c r="D386" i="1" s="1"/>
  <c r="C387" i="1"/>
  <c r="D387" i="1"/>
  <c r="C388" i="1"/>
  <c r="D388" i="1" s="1"/>
  <c r="C389" i="1"/>
  <c r="D389" i="1"/>
  <c r="C390" i="1"/>
  <c r="D390" i="1" s="1"/>
  <c r="C391" i="1"/>
  <c r="D391" i="1"/>
  <c r="C392" i="1"/>
  <c r="D392" i="1" s="1"/>
  <c r="C393" i="1"/>
  <c r="D393" i="1"/>
  <c r="C394" i="1"/>
  <c r="D394" i="1" s="1"/>
  <c r="C395" i="1"/>
  <c r="D395" i="1"/>
  <c r="C396" i="1"/>
  <c r="D396" i="1" s="1"/>
  <c r="C397" i="1"/>
  <c r="D397" i="1"/>
  <c r="C398" i="1"/>
  <c r="D398" i="1" s="1"/>
  <c r="C399" i="1"/>
  <c r="D399" i="1" s="1"/>
  <c r="C400" i="1"/>
  <c r="D400" i="1" s="1"/>
  <c r="C401" i="1"/>
  <c r="D401" i="1" s="1"/>
  <c r="C402" i="1"/>
  <c r="D402" i="1" s="1"/>
  <c r="C403" i="1"/>
  <c r="D403" i="1"/>
  <c r="C404" i="1"/>
  <c r="D404" i="1" s="1"/>
  <c r="C405" i="1"/>
  <c r="D405" i="1" s="1"/>
  <c r="C406" i="1"/>
  <c r="D406" i="1" s="1"/>
  <c r="C407" i="1"/>
  <c r="D407" i="1"/>
  <c r="C408" i="1"/>
  <c r="D408" i="1" s="1"/>
  <c r="C409" i="1"/>
  <c r="D409" i="1" s="1"/>
  <c r="C410" i="1"/>
  <c r="D410" i="1" s="1"/>
  <c r="C411" i="1"/>
  <c r="D411" i="1" s="1"/>
  <c r="C412" i="1"/>
  <c r="D412" i="1" s="1"/>
  <c r="C413" i="1"/>
  <c r="D413" i="1"/>
  <c r="C414" i="1"/>
  <c r="D414" i="1" s="1"/>
  <c r="C415" i="1"/>
  <c r="D415" i="1"/>
  <c r="C416" i="1"/>
  <c r="D416" i="1" s="1"/>
  <c r="C417" i="1"/>
  <c r="D417" i="1" s="1"/>
  <c r="C418" i="1"/>
  <c r="D418" i="1" s="1"/>
  <c r="C419" i="1"/>
  <c r="D419" i="1" s="1"/>
  <c r="C420" i="1"/>
  <c r="D420" i="1" s="1"/>
  <c r="C421" i="1"/>
  <c r="D421" i="1"/>
  <c r="C422" i="1"/>
  <c r="D422" i="1" s="1"/>
  <c r="C423" i="1"/>
  <c r="D423" i="1" s="1"/>
  <c r="C424" i="1"/>
  <c r="D424" i="1" s="1"/>
  <c r="C425" i="1"/>
  <c r="D425" i="1" s="1"/>
  <c r="C426" i="1"/>
  <c r="D426" i="1" s="1"/>
  <c r="C427" i="1"/>
  <c r="D427" i="1"/>
  <c r="C428" i="1"/>
  <c r="D428" i="1" s="1"/>
  <c r="C429" i="1"/>
  <c r="D429" i="1" s="1"/>
  <c r="C430" i="1"/>
  <c r="D430" i="1" s="1"/>
  <c r="C431" i="1"/>
  <c r="D431" i="1"/>
  <c r="C432" i="1"/>
  <c r="D432" i="1" s="1"/>
  <c r="C433" i="1"/>
  <c r="D433" i="1" s="1"/>
  <c r="C434" i="1"/>
  <c r="D434" i="1" s="1"/>
  <c r="C435" i="1"/>
  <c r="D435" i="1" s="1"/>
  <c r="C436" i="1"/>
  <c r="D436" i="1" s="1"/>
  <c r="C437" i="1"/>
  <c r="D437" i="1"/>
  <c r="C438" i="1"/>
  <c r="D438" i="1" s="1"/>
  <c r="C439" i="1"/>
  <c r="D439" i="1"/>
  <c r="C440" i="1"/>
  <c r="D440" i="1" s="1"/>
  <c r="C441" i="1"/>
  <c r="D441" i="1" s="1"/>
  <c r="C442" i="1"/>
  <c r="D442" i="1" s="1"/>
  <c r="C443" i="1"/>
  <c r="D443" i="1"/>
  <c r="C444" i="1"/>
  <c r="D444" i="1" s="1"/>
  <c r="C445" i="1"/>
  <c r="D445" i="1"/>
  <c r="C446" i="1"/>
  <c r="D446" i="1" s="1"/>
  <c r="C447" i="1"/>
  <c r="D447" i="1"/>
  <c r="C448" i="1"/>
  <c r="D448" i="1" s="1"/>
  <c r="C449" i="1"/>
  <c r="D449" i="1" s="1"/>
  <c r="C450" i="1"/>
  <c r="D450" i="1" s="1"/>
  <c r="C451" i="1"/>
  <c r="D451" i="1" s="1"/>
  <c r="C452" i="1"/>
  <c r="D452" i="1" s="1"/>
  <c r="C453" i="1"/>
  <c r="D453" i="1" s="1"/>
  <c r="C454" i="1"/>
  <c r="D454" i="1" s="1"/>
  <c r="C455" i="1"/>
  <c r="D455" i="1"/>
  <c r="C456" i="1"/>
  <c r="D456" i="1" s="1"/>
  <c r="C457" i="1"/>
  <c r="D457" i="1" s="1"/>
  <c r="C458" i="1"/>
  <c r="D458" i="1" s="1"/>
  <c r="C459" i="1"/>
  <c r="D459" i="1" s="1"/>
  <c r="C460" i="1"/>
  <c r="D460" i="1" s="1"/>
  <c r="C461" i="1"/>
  <c r="D461" i="1"/>
  <c r="C462" i="1"/>
  <c r="D462" i="1" s="1"/>
  <c r="C463" i="1"/>
  <c r="D463" i="1"/>
  <c r="C464" i="1"/>
  <c r="D464" i="1" s="1"/>
  <c r="C465" i="1"/>
  <c r="D465" i="1" s="1"/>
  <c r="C466" i="1"/>
  <c r="D466" i="1" s="1"/>
  <c r="C467" i="1"/>
  <c r="D467" i="1"/>
  <c r="C468" i="1"/>
  <c r="D468" i="1" s="1"/>
  <c r="C469" i="1"/>
  <c r="D469" i="1"/>
  <c r="C470" i="1"/>
  <c r="D470" i="1" s="1"/>
  <c r="C471" i="1"/>
  <c r="D471" i="1" s="1"/>
  <c r="C472" i="1"/>
  <c r="D472" i="1" s="1"/>
  <c r="C473" i="1"/>
  <c r="D473" i="1" s="1"/>
  <c r="C474" i="1"/>
  <c r="D474" i="1" s="1"/>
  <c r="C475" i="1"/>
  <c r="D475" i="1"/>
  <c r="C476" i="1"/>
  <c r="D476" i="1" s="1"/>
  <c r="C477" i="1"/>
  <c r="D477" i="1" s="1"/>
  <c r="C478" i="1"/>
  <c r="D478" i="1" s="1"/>
  <c r="C479" i="1"/>
  <c r="D479" i="1"/>
  <c r="C480" i="1"/>
  <c r="D480" i="1" s="1"/>
  <c r="C481" i="1"/>
  <c r="D481" i="1" s="1"/>
  <c r="C482" i="1"/>
  <c r="D482" i="1" s="1"/>
  <c r="C483" i="1"/>
  <c r="D483" i="1" s="1"/>
  <c r="C484" i="1"/>
  <c r="D484" i="1" s="1"/>
  <c r="C485" i="1"/>
  <c r="D485" i="1"/>
  <c r="C486" i="1"/>
  <c r="D486" i="1" s="1"/>
  <c r="C487" i="1"/>
  <c r="D487" i="1"/>
  <c r="C488" i="1"/>
  <c r="D488" i="1" s="1"/>
  <c r="C489" i="1"/>
  <c r="D489" i="1" s="1"/>
  <c r="C490" i="1"/>
  <c r="D490" i="1" s="1"/>
  <c r="C491" i="1"/>
  <c r="D491" i="1"/>
  <c r="C492" i="1"/>
  <c r="D492" i="1" s="1"/>
  <c r="C493" i="1"/>
  <c r="D493" i="1"/>
  <c r="C494" i="1"/>
  <c r="D494" i="1" s="1"/>
  <c r="C495" i="1"/>
  <c r="D495" i="1" s="1"/>
  <c r="C496" i="1"/>
  <c r="D496" i="1" s="1"/>
  <c r="C497" i="1"/>
  <c r="D497" i="1" s="1"/>
  <c r="C498" i="1"/>
  <c r="D498" i="1" s="1"/>
  <c r="C499" i="1"/>
  <c r="D499" i="1"/>
  <c r="C500" i="1"/>
  <c r="D500" i="1" s="1"/>
  <c r="C501" i="1"/>
  <c r="D501" i="1" s="1"/>
  <c r="C502" i="1"/>
  <c r="D502" i="1" s="1"/>
  <c r="C503" i="1"/>
  <c r="D503" i="1"/>
  <c r="C504" i="1"/>
  <c r="D504" i="1" s="1"/>
  <c r="C505" i="1"/>
  <c r="D505" i="1" s="1"/>
  <c r="C506" i="1"/>
  <c r="D506" i="1" s="1"/>
  <c r="C507" i="1"/>
  <c r="D507" i="1" s="1"/>
  <c r="C508" i="1"/>
  <c r="D508" i="1" s="1"/>
  <c r="C509" i="1"/>
  <c r="D509" i="1"/>
  <c r="C510" i="1"/>
  <c r="D510" i="1" s="1"/>
  <c r="C511" i="1"/>
  <c r="D511" i="1"/>
  <c r="C512" i="1"/>
  <c r="D512" i="1" s="1"/>
  <c r="C513" i="1"/>
  <c r="D513" i="1" s="1"/>
  <c r="C514" i="1"/>
  <c r="D514" i="1" s="1"/>
  <c r="C515" i="1"/>
  <c r="D515" i="1" s="1"/>
  <c r="C516" i="1"/>
  <c r="D516" i="1" s="1"/>
  <c r="C517" i="1"/>
  <c r="D517" i="1"/>
  <c r="C518" i="1"/>
  <c r="D518" i="1" s="1"/>
  <c r="C519" i="1"/>
  <c r="D519" i="1" s="1"/>
  <c r="C520" i="1"/>
  <c r="D520" i="1" s="1"/>
  <c r="C521" i="1"/>
  <c r="D521" i="1" s="1"/>
  <c r="C522" i="1"/>
  <c r="D522" i="1" s="1"/>
  <c r="C523" i="1"/>
  <c r="D523" i="1"/>
  <c r="C524" i="1"/>
  <c r="D524" i="1" s="1"/>
  <c r="C525" i="1"/>
  <c r="D525" i="1" s="1"/>
  <c r="C526" i="1"/>
  <c r="D526" i="1" s="1"/>
  <c r="C527" i="1"/>
  <c r="D527" i="1"/>
  <c r="C528" i="1"/>
  <c r="D528" i="1" s="1"/>
  <c r="C529" i="1"/>
  <c r="D529" i="1" s="1"/>
  <c r="C530" i="1"/>
  <c r="D530" i="1" s="1"/>
  <c r="C531" i="1"/>
  <c r="D531" i="1" s="1"/>
  <c r="C532" i="1"/>
  <c r="D532" i="1" s="1"/>
  <c r="C533" i="1"/>
  <c r="D533" i="1"/>
  <c r="C534" i="1"/>
  <c r="D534" i="1" s="1"/>
  <c r="C535" i="1"/>
  <c r="D535" i="1"/>
  <c r="C536" i="1"/>
  <c r="D536" i="1" s="1"/>
  <c r="C537" i="1"/>
  <c r="D537" i="1" s="1"/>
  <c r="C538" i="1"/>
  <c r="D538" i="1" s="1"/>
  <c r="C539" i="1"/>
  <c r="D539" i="1"/>
  <c r="C540" i="1"/>
  <c r="D540" i="1" s="1"/>
  <c r="C541" i="1"/>
  <c r="D541" i="1"/>
  <c r="C542" i="1"/>
  <c r="D542" i="1" s="1"/>
  <c r="C543" i="1"/>
  <c r="D543" i="1"/>
  <c r="C544" i="1"/>
  <c r="D544" i="1" s="1"/>
  <c r="C545" i="1"/>
  <c r="D545" i="1" s="1"/>
  <c r="C546" i="1"/>
  <c r="D546" i="1" s="1"/>
  <c r="C547" i="1"/>
  <c r="D547" i="1" s="1"/>
  <c r="C548" i="1"/>
  <c r="D548" i="1" s="1"/>
  <c r="C549" i="1"/>
  <c r="D549" i="1" s="1"/>
  <c r="C550" i="1"/>
  <c r="D550" i="1" s="1"/>
  <c r="C551" i="1"/>
  <c r="D551" i="1"/>
  <c r="C552" i="1"/>
  <c r="D552" i="1" s="1"/>
  <c r="C553" i="1"/>
  <c r="D553" i="1" s="1"/>
  <c r="C554" i="1"/>
  <c r="D554" i="1" s="1"/>
  <c r="C555" i="1"/>
  <c r="D555" i="1" s="1"/>
  <c r="C556" i="1"/>
  <c r="D556" i="1" s="1"/>
  <c r="C557" i="1"/>
  <c r="D557" i="1"/>
  <c r="C558" i="1"/>
  <c r="D558" i="1" s="1"/>
  <c r="C559" i="1"/>
  <c r="D559" i="1"/>
  <c r="C560" i="1"/>
  <c r="D560" i="1" s="1"/>
  <c r="C561" i="1"/>
  <c r="D561" i="1" s="1"/>
  <c r="C562" i="1"/>
  <c r="D562" i="1" s="1"/>
  <c r="C563" i="1"/>
  <c r="D563" i="1"/>
  <c r="C564" i="1"/>
  <c r="D564" i="1" s="1"/>
  <c r="C565" i="1"/>
  <c r="D565" i="1"/>
  <c r="C566" i="1"/>
  <c r="D566" i="1" s="1"/>
  <c r="C567" i="1"/>
  <c r="D567" i="1"/>
  <c r="C568" i="1"/>
  <c r="D568" i="1" s="1"/>
  <c r="C569" i="1"/>
  <c r="D569" i="1" s="1"/>
  <c r="C570" i="1"/>
  <c r="D570" i="1" s="1"/>
  <c r="C571" i="1"/>
  <c r="D571" i="1"/>
  <c r="C572" i="1"/>
  <c r="D572" i="1" s="1"/>
  <c r="C573" i="1"/>
  <c r="D573" i="1"/>
  <c r="C574" i="1"/>
  <c r="D574" i="1" s="1"/>
  <c r="C575" i="1"/>
  <c r="D575" i="1" s="1"/>
  <c r="C576" i="1"/>
  <c r="D576" i="1" s="1"/>
  <c r="C577" i="1"/>
  <c r="D577" i="1" s="1"/>
  <c r="C578" i="1"/>
  <c r="D578" i="1" s="1"/>
  <c r="C579" i="1"/>
  <c r="D579" i="1" s="1"/>
  <c r="C580" i="1"/>
  <c r="D580" i="1" s="1"/>
  <c r="C581" i="1"/>
  <c r="D581" i="1" s="1"/>
  <c r="C582" i="1"/>
  <c r="D582" i="1" s="1"/>
  <c r="C583" i="1"/>
  <c r="D583" i="1"/>
  <c r="C584" i="1"/>
  <c r="D584" i="1" s="1"/>
  <c r="C585" i="1"/>
  <c r="D585" i="1" s="1"/>
  <c r="C586" i="1"/>
  <c r="D586" i="1" s="1"/>
  <c r="C587" i="1"/>
  <c r="D587" i="1" s="1"/>
  <c r="C588" i="1"/>
  <c r="D588" i="1" s="1"/>
  <c r="C589" i="1"/>
  <c r="D589" i="1" s="1"/>
  <c r="C590" i="1"/>
  <c r="D590" i="1" s="1"/>
  <c r="C591" i="1"/>
  <c r="D591" i="1" s="1"/>
  <c r="C592" i="1"/>
  <c r="D592" i="1" s="1"/>
  <c r="C593" i="1"/>
  <c r="D593" i="1" s="1"/>
  <c r="C594" i="1"/>
  <c r="D594" i="1" s="1"/>
  <c r="C595" i="1"/>
  <c r="D595" i="1" s="1"/>
  <c r="C596" i="1"/>
  <c r="D596" i="1" s="1"/>
  <c r="C597" i="1"/>
  <c r="D597" i="1" s="1"/>
  <c r="C598" i="1"/>
  <c r="D598" i="1" s="1"/>
  <c r="C599" i="1"/>
  <c r="D599" i="1" s="1"/>
  <c r="C600" i="1"/>
  <c r="D600" i="1" s="1"/>
  <c r="C601" i="1"/>
  <c r="D601" i="1" s="1"/>
  <c r="C602" i="1"/>
  <c r="D602" i="1" s="1"/>
  <c r="C603" i="1"/>
  <c r="D603" i="1" s="1"/>
  <c r="C604" i="1"/>
  <c r="D604" i="1" s="1"/>
  <c r="C605" i="1"/>
  <c r="D605" i="1"/>
  <c r="C606" i="1"/>
  <c r="D606" i="1" s="1"/>
  <c r="C607" i="1"/>
  <c r="D607" i="1"/>
  <c r="C608" i="1"/>
  <c r="D608" i="1" s="1"/>
  <c r="C609" i="1"/>
  <c r="D609" i="1" s="1"/>
  <c r="C610" i="1"/>
  <c r="D610" i="1" s="1"/>
  <c r="C611" i="1"/>
  <c r="D611" i="1" s="1"/>
  <c r="C612" i="1"/>
  <c r="D612" i="1" s="1"/>
  <c r="C613" i="1"/>
  <c r="D613" i="1" s="1"/>
  <c r="C614" i="1"/>
  <c r="D614" i="1" s="1"/>
  <c r="C615" i="1"/>
  <c r="D615" i="1" s="1"/>
  <c r="C616" i="1"/>
  <c r="D616" i="1" s="1"/>
  <c r="C617" i="1"/>
  <c r="D617" i="1" s="1"/>
  <c r="C618" i="1"/>
  <c r="D618" i="1" s="1"/>
  <c r="C619" i="1"/>
  <c r="D619" i="1" s="1"/>
  <c r="C620" i="1"/>
  <c r="D620" i="1" s="1"/>
  <c r="C621" i="1"/>
  <c r="D621" i="1" s="1"/>
  <c r="C622" i="1"/>
  <c r="D622" i="1" s="1"/>
  <c r="C623" i="1"/>
  <c r="D623" i="1"/>
  <c r="C624" i="1"/>
  <c r="D624" i="1" s="1"/>
  <c r="C625" i="1"/>
  <c r="D625" i="1" s="1"/>
  <c r="C626" i="1"/>
  <c r="D626" i="1" s="1"/>
  <c r="C627" i="1"/>
  <c r="D627" i="1" s="1"/>
  <c r="C628" i="1"/>
  <c r="D628" i="1" s="1"/>
  <c r="C629" i="1"/>
  <c r="D629" i="1"/>
  <c r="C630" i="1"/>
  <c r="D630" i="1" s="1"/>
  <c r="C631" i="1"/>
  <c r="D631" i="1"/>
  <c r="C632" i="1"/>
  <c r="D632" i="1" s="1"/>
  <c r="C633" i="1"/>
  <c r="D633" i="1" s="1"/>
  <c r="C634" i="1"/>
  <c r="D634" i="1" s="1"/>
  <c r="C635" i="1"/>
  <c r="D635" i="1"/>
  <c r="C636" i="1"/>
  <c r="D636" i="1" s="1"/>
  <c r="C637" i="1"/>
  <c r="D637" i="1"/>
  <c r="C638" i="1"/>
  <c r="D638" i="1" s="1"/>
  <c r="C639" i="1"/>
  <c r="D639" i="1" s="1"/>
  <c r="C640" i="1"/>
  <c r="D640" i="1" s="1"/>
  <c r="C641" i="1"/>
  <c r="D641" i="1" s="1"/>
  <c r="C642" i="1"/>
  <c r="D642" i="1" s="1"/>
  <c r="C643" i="1"/>
  <c r="D643" i="1" s="1"/>
  <c r="C644" i="1"/>
  <c r="D644" i="1" s="1"/>
  <c r="C645" i="1"/>
  <c r="D645" i="1" s="1"/>
  <c r="C646" i="1"/>
  <c r="D646" i="1" s="1"/>
  <c r="C647" i="1"/>
  <c r="D647" i="1" s="1"/>
  <c r="C648" i="1"/>
  <c r="D648" i="1" s="1"/>
  <c r="C649" i="1"/>
  <c r="D649" i="1" s="1"/>
  <c r="C650" i="1"/>
  <c r="D650" i="1" s="1"/>
  <c r="C651" i="1"/>
  <c r="D651" i="1"/>
  <c r="C652" i="1"/>
  <c r="D652" i="1" s="1"/>
  <c r="C653" i="1"/>
  <c r="D653" i="1" s="1"/>
  <c r="C654" i="1"/>
  <c r="D654" i="1" s="1"/>
  <c r="C655" i="1"/>
  <c r="D655" i="1"/>
  <c r="C656" i="1"/>
  <c r="D656" i="1" s="1"/>
  <c r="C657" i="1"/>
  <c r="D657" i="1" s="1"/>
  <c r="C658" i="1"/>
  <c r="D658" i="1" s="1"/>
  <c r="C659" i="1"/>
  <c r="D659" i="1" s="1"/>
  <c r="C660" i="1"/>
  <c r="D660" i="1" s="1"/>
  <c r="C661" i="1"/>
  <c r="D661" i="1"/>
  <c r="C662" i="1"/>
  <c r="D662" i="1" s="1"/>
  <c r="C663" i="1"/>
  <c r="D663" i="1" s="1"/>
  <c r="C664" i="1"/>
  <c r="D664" i="1" s="1"/>
  <c r="C665" i="1"/>
  <c r="D665" i="1" s="1"/>
  <c r="C666" i="1"/>
  <c r="D666" i="1" s="1"/>
  <c r="C667" i="1"/>
  <c r="D667" i="1"/>
  <c r="C668" i="1"/>
  <c r="D668" i="1" s="1"/>
  <c r="C669" i="1"/>
  <c r="D669" i="1" s="1"/>
  <c r="C670" i="1"/>
  <c r="D670" i="1" s="1"/>
  <c r="C671" i="1"/>
  <c r="D671" i="1"/>
  <c r="C672" i="1"/>
  <c r="D672" i="1" s="1"/>
  <c r="C673" i="1"/>
  <c r="D673" i="1" s="1"/>
  <c r="C674" i="1"/>
  <c r="D674" i="1" s="1"/>
  <c r="C675" i="1"/>
  <c r="D675" i="1" s="1"/>
  <c r="C676" i="1"/>
  <c r="D676" i="1" s="1"/>
  <c r="C677" i="1"/>
  <c r="D677" i="1"/>
  <c r="C678" i="1"/>
  <c r="D678" i="1" s="1"/>
  <c r="C679" i="1"/>
  <c r="D679" i="1"/>
  <c r="C680" i="1"/>
  <c r="D680" i="1" s="1"/>
  <c r="C681" i="1"/>
  <c r="D681" i="1" s="1"/>
  <c r="C682" i="1"/>
  <c r="D682" i="1" s="1"/>
  <c r="C683" i="1"/>
  <c r="D683" i="1"/>
  <c r="C684" i="1"/>
  <c r="D684" i="1" s="1"/>
  <c r="C685" i="1"/>
  <c r="D685" i="1"/>
  <c r="C686" i="1"/>
  <c r="D686" i="1" s="1"/>
  <c r="C687" i="1"/>
  <c r="D687" i="1" s="1"/>
  <c r="C688" i="1"/>
  <c r="D688" i="1" s="1"/>
  <c r="C689" i="1"/>
  <c r="D689" i="1" s="1"/>
  <c r="C690" i="1"/>
  <c r="D690" i="1" s="1"/>
  <c r="C691" i="1"/>
  <c r="D691" i="1"/>
  <c r="C692" i="1"/>
  <c r="D692" i="1" s="1"/>
  <c r="C693" i="1"/>
  <c r="D693" i="1" s="1"/>
  <c r="C694" i="1"/>
  <c r="D694" i="1" s="1"/>
  <c r="C695" i="1"/>
  <c r="D695" i="1"/>
  <c r="C696" i="1"/>
  <c r="D696" i="1" s="1"/>
  <c r="C697" i="1"/>
  <c r="D697" i="1" s="1"/>
  <c r="C698" i="1"/>
  <c r="D698" i="1" s="1"/>
  <c r="C699" i="1"/>
  <c r="D699" i="1" s="1"/>
  <c r="C700" i="1"/>
  <c r="D700" i="1" s="1"/>
  <c r="C701" i="1"/>
  <c r="D701" i="1" s="1"/>
  <c r="C702" i="1"/>
  <c r="D702" i="1" s="1"/>
  <c r="C703" i="1"/>
  <c r="D703" i="1"/>
  <c r="C704" i="1"/>
  <c r="D704" i="1" s="1"/>
  <c r="C705" i="1"/>
  <c r="D705" i="1" s="1"/>
  <c r="C706" i="1"/>
  <c r="D706" i="1" s="1"/>
  <c r="C707" i="1"/>
  <c r="D707" i="1" s="1"/>
  <c r="C708" i="1"/>
  <c r="D708" i="1" s="1"/>
  <c r="C709" i="1"/>
  <c r="D709" i="1"/>
  <c r="C710" i="1"/>
  <c r="D710" i="1" s="1"/>
  <c r="C711" i="1"/>
  <c r="D711" i="1" s="1"/>
  <c r="C712" i="1"/>
  <c r="D712" i="1" s="1"/>
  <c r="C713" i="1"/>
  <c r="D713" i="1" s="1"/>
  <c r="C714" i="1"/>
  <c r="D714" i="1" s="1"/>
  <c r="C715" i="1"/>
  <c r="D715" i="1" s="1"/>
  <c r="C716" i="1"/>
  <c r="D716" i="1" s="1"/>
  <c r="C717" i="1"/>
  <c r="D717" i="1"/>
  <c r="C718" i="1"/>
  <c r="D718" i="1" s="1"/>
  <c r="C719" i="1"/>
  <c r="D719" i="1"/>
  <c r="C720" i="1"/>
  <c r="D720" i="1" s="1"/>
  <c r="C721" i="1"/>
  <c r="D721" i="1" s="1"/>
  <c r="C722" i="1"/>
  <c r="D722" i="1" s="1"/>
  <c r="C723" i="1"/>
  <c r="D723" i="1"/>
  <c r="C724" i="1"/>
  <c r="D724" i="1" s="1"/>
  <c r="C725" i="1"/>
  <c r="D725" i="1"/>
  <c r="C726" i="1"/>
  <c r="D726" i="1" s="1"/>
  <c r="C727" i="1"/>
  <c r="D727" i="1"/>
  <c r="C728" i="1"/>
  <c r="D728" i="1" s="1"/>
  <c r="C729" i="1"/>
  <c r="D729" i="1" s="1"/>
  <c r="C730" i="1"/>
  <c r="D730" i="1" s="1"/>
  <c r="C731" i="1"/>
  <c r="D731" i="1"/>
  <c r="C732" i="1"/>
  <c r="D732" i="1" s="1"/>
  <c r="C733" i="1"/>
  <c r="D733" i="1"/>
  <c r="C734" i="1"/>
  <c r="D734" i="1" s="1"/>
  <c r="C735" i="1"/>
  <c r="D735" i="1" s="1"/>
  <c r="C736" i="1"/>
  <c r="D736" i="1"/>
  <c r="C737" i="1"/>
  <c r="D737" i="1" s="1"/>
  <c r="C738" i="1"/>
  <c r="D738" i="1" s="1"/>
  <c r="C739" i="1"/>
  <c r="D739" i="1" s="1"/>
  <c r="C740" i="1"/>
  <c r="D740" i="1"/>
  <c r="C741" i="1"/>
  <c r="D741" i="1" s="1"/>
  <c r="C742" i="1"/>
  <c r="D742" i="1"/>
  <c r="C743" i="1"/>
  <c r="D743" i="1" s="1"/>
  <c r="C744" i="1"/>
  <c r="D744" i="1"/>
  <c r="C745" i="1"/>
  <c r="D745" i="1" s="1"/>
  <c r="C746" i="1"/>
  <c r="D746" i="1" s="1"/>
  <c r="C747" i="1"/>
  <c r="D747" i="1" s="1"/>
  <c r="C748" i="1"/>
  <c r="D748" i="1"/>
  <c r="C749" i="1"/>
  <c r="D749" i="1" s="1"/>
  <c r="C750" i="1"/>
  <c r="D750" i="1"/>
  <c r="C751" i="1"/>
  <c r="D751" i="1" s="1"/>
  <c r="C752" i="1"/>
  <c r="D752" i="1"/>
  <c r="C753" i="1"/>
  <c r="D753" i="1" s="1"/>
  <c r="C754" i="1"/>
  <c r="D754" i="1" s="1"/>
  <c r="C755" i="1"/>
  <c r="D755" i="1" s="1"/>
  <c r="C756" i="1"/>
  <c r="D756" i="1"/>
  <c r="C757" i="1"/>
  <c r="D757" i="1" s="1"/>
  <c r="C758" i="1"/>
  <c r="D758" i="1"/>
  <c r="C759" i="1"/>
  <c r="D759" i="1" s="1"/>
  <c r="C760" i="1"/>
  <c r="D760" i="1"/>
  <c r="C761" i="1"/>
  <c r="D761" i="1" s="1"/>
  <c r="C762" i="1"/>
  <c r="D762" i="1" s="1"/>
  <c r="C763" i="1"/>
  <c r="D763" i="1" s="1"/>
  <c r="C764" i="1"/>
  <c r="D764" i="1"/>
  <c r="C765" i="1"/>
  <c r="D765" i="1" s="1"/>
  <c r="C766" i="1"/>
  <c r="D766" i="1"/>
  <c r="C767" i="1"/>
  <c r="D767" i="1" s="1"/>
  <c r="C768" i="1"/>
  <c r="D768" i="1"/>
  <c r="C769" i="1"/>
  <c r="D769" i="1" s="1"/>
  <c r="C770" i="1"/>
  <c r="D770" i="1" s="1"/>
  <c r="C771" i="1"/>
  <c r="D771" i="1" s="1"/>
  <c r="C772" i="1"/>
  <c r="D772" i="1"/>
  <c r="C773" i="1"/>
  <c r="D773" i="1" s="1"/>
  <c r="C774" i="1"/>
  <c r="D774" i="1"/>
  <c r="C775" i="1"/>
  <c r="D775" i="1" s="1"/>
  <c r="C776" i="1"/>
  <c r="D776" i="1"/>
  <c r="C777" i="1"/>
  <c r="D777" i="1" s="1"/>
  <c r="C778" i="1"/>
  <c r="D778" i="1" s="1"/>
  <c r="C779" i="1"/>
  <c r="D779" i="1" s="1"/>
  <c r="C780" i="1"/>
  <c r="D780" i="1"/>
  <c r="C781" i="1"/>
  <c r="D781" i="1" s="1"/>
  <c r="C782" i="1"/>
  <c r="D782" i="1"/>
  <c r="C783" i="1"/>
  <c r="D783" i="1" s="1"/>
  <c r="C784" i="1"/>
  <c r="D784" i="1"/>
  <c r="C785" i="1"/>
  <c r="D785" i="1" s="1"/>
  <c r="C786" i="1"/>
  <c r="D786" i="1" s="1"/>
  <c r="C787" i="1"/>
  <c r="D787" i="1" s="1"/>
  <c r="C788" i="1"/>
  <c r="D788" i="1"/>
  <c r="C789" i="1"/>
  <c r="D789" i="1" s="1"/>
  <c r="C790" i="1"/>
  <c r="D790" i="1"/>
  <c r="C791" i="1"/>
  <c r="D791" i="1" s="1"/>
  <c r="C792" i="1"/>
  <c r="D792" i="1"/>
  <c r="C793" i="1"/>
  <c r="D793" i="1" s="1"/>
  <c r="C794" i="1"/>
  <c r="D794" i="1" s="1"/>
  <c r="C795" i="1"/>
  <c r="D795" i="1" s="1"/>
  <c r="C796" i="1"/>
  <c r="D796" i="1"/>
  <c r="C797" i="1"/>
  <c r="D797" i="1" s="1"/>
  <c r="C798" i="1"/>
  <c r="D798" i="1"/>
  <c r="C799" i="1"/>
  <c r="D799" i="1" s="1"/>
  <c r="C800" i="1"/>
  <c r="D800" i="1"/>
  <c r="C801" i="1"/>
  <c r="D801" i="1" s="1"/>
  <c r="C802" i="1"/>
  <c r="D802" i="1" s="1"/>
  <c r="C803" i="1"/>
  <c r="D803" i="1" s="1"/>
  <c r="C804" i="1"/>
  <c r="D804" i="1"/>
  <c r="C805" i="1"/>
  <c r="D805" i="1" s="1"/>
  <c r="C806" i="1"/>
  <c r="D806" i="1"/>
  <c r="C807" i="1"/>
  <c r="D807" i="1" s="1"/>
  <c r="C808" i="1"/>
  <c r="D808" i="1"/>
  <c r="C809" i="1"/>
  <c r="D809" i="1" s="1"/>
  <c r="C810" i="1"/>
  <c r="D810" i="1" s="1"/>
  <c r="C811" i="1"/>
  <c r="D811" i="1" s="1"/>
  <c r="C812" i="1"/>
  <c r="D812" i="1"/>
  <c r="C813" i="1"/>
  <c r="D813" i="1" s="1"/>
  <c r="C814" i="1"/>
  <c r="D814" i="1"/>
  <c r="C815" i="1"/>
  <c r="D815" i="1" s="1"/>
  <c r="C816" i="1"/>
  <c r="D816" i="1"/>
  <c r="C817" i="1"/>
  <c r="D817" i="1" s="1"/>
  <c r="C818" i="1"/>
  <c r="D818" i="1" s="1"/>
  <c r="C819" i="1"/>
  <c r="D819" i="1" s="1"/>
  <c r="C820" i="1"/>
  <c r="D820" i="1"/>
  <c r="C821" i="1"/>
  <c r="D821" i="1" s="1"/>
  <c r="C822" i="1"/>
  <c r="D822" i="1"/>
  <c r="C823" i="1"/>
  <c r="D823" i="1" s="1"/>
  <c r="C824" i="1"/>
  <c r="D824" i="1"/>
  <c r="C825" i="1"/>
  <c r="D825" i="1" s="1"/>
  <c r="C826" i="1"/>
  <c r="D826" i="1" s="1"/>
  <c r="C827" i="1"/>
  <c r="D827" i="1" s="1"/>
  <c r="C828" i="1"/>
  <c r="D828" i="1"/>
  <c r="C829" i="1"/>
  <c r="D829" i="1" s="1"/>
  <c r="C830" i="1"/>
  <c r="D830" i="1"/>
  <c r="C831" i="1"/>
  <c r="D831" i="1" s="1"/>
  <c r="C832" i="1"/>
  <c r="D832" i="1"/>
  <c r="C833" i="1"/>
  <c r="D833" i="1" s="1"/>
  <c r="C834" i="1"/>
  <c r="D834" i="1" s="1"/>
  <c r="C835" i="1"/>
  <c r="D835" i="1" s="1"/>
  <c r="C836" i="1"/>
  <c r="D836" i="1"/>
  <c r="C837" i="1"/>
  <c r="D837" i="1" s="1"/>
  <c r="C838" i="1"/>
  <c r="D838" i="1"/>
  <c r="C839" i="1"/>
  <c r="D839" i="1" s="1"/>
  <c r="C840" i="1"/>
  <c r="D840" i="1"/>
  <c r="C841" i="1"/>
  <c r="D841" i="1" s="1"/>
  <c r="C842" i="1"/>
  <c r="D842" i="1" s="1"/>
  <c r="C843" i="1"/>
  <c r="D843" i="1" s="1"/>
  <c r="C844" i="1"/>
  <c r="D844" i="1"/>
  <c r="C845" i="1"/>
  <c r="D845" i="1" s="1"/>
  <c r="C846" i="1"/>
  <c r="D846" i="1"/>
  <c r="C847" i="1"/>
  <c r="D847" i="1" s="1"/>
  <c r="C848" i="1"/>
  <c r="D848" i="1"/>
  <c r="C849" i="1"/>
  <c r="D849" i="1" s="1"/>
  <c r="C850" i="1"/>
  <c r="D850" i="1" s="1"/>
  <c r="C851" i="1"/>
  <c r="D851" i="1" s="1"/>
  <c r="C852" i="1"/>
  <c r="D852" i="1"/>
  <c r="C853" i="1"/>
  <c r="D853" i="1" s="1"/>
  <c r="C854" i="1"/>
  <c r="D854" i="1"/>
  <c r="C855" i="1"/>
  <c r="D855" i="1" s="1"/>
  <c r="C856" i="1"/>
  <c r="D856" i="1"/>
  <c r="C857" i="1"/>
  <c r="D857" i="1" s="1"/>
  <c r="C858" i="1"/>
  <c r="D858" i="1" s="1"/>
  <c r="C859" i="1"/>
  <c r="D859" i="1" s="1"/>
  <c r="C860" i="1"/>
  <c r="D860" i="1"/>
  <c r="C861" i="1"/>
  <c r="D861" i="1" s="1"/>
  <c r="C862" i="1"/>
  <c r="D862" i="1"/>
  <c r="C863" i="1"/>
  <c r="D863" i="1" s="1"/>
  <c r="C864" i="1"/>
  <c r="D864" i="1"/>
  <c r="C865" i="1"/>
  <c r="D865" i="1" s="1"/>
  <c r="C866" i="1"/>
  <c r="D866" i="1" s="1"/>
  <c r="C867" i="1"/>
  <c r="D867" i="1" s="1"/>
  <c r="C868" i="1"/>
  <c r="D868" i="1"/>
  <c r="C869" i="1"/>
  <c r="D869" i="1" s="1"/>
  <c r="C870" i="1"/>
  <c r="D870" i="1"/>
  <c r="C871" i="1"/>
  <c r="D871" i="1" s="1"/>
  <c r="C872" i="1"/>
  <c r="D872" i="1"/>
  <c r="C873" i="1"/>
  <c r="D873" i="1" s="1"/>
  <c r="C874" i="1"/>
  <c r="D874" i="1" s="1"/>
  <c r="C875" i="1"/>
  <c r="D875" i="1" s="1"/>
  <c r="C876" i="1"/>
  <c r="D876" i="1"/>
  <c r="C877" i="1"/>
  <c r="D877" i="1" s="1"/>
  <c r="C878" i="1"/>
  <c r="D878" i="1"/>
  <c r="C879" i="1"/>
  <c r="D879" i="1" s="1"/>
  <c r="C880" i="1"/>
  <c r="D880" i="1"/>
  <c r="C881" i="1"/>
  <c r="D881" i="1" s="1"/>
  <c r="C882" i="1"/>
  <c r="D882" i="1" s="1"/>
  <c r="C883" i="1"/>
  <c r="D883" i="1"/>
  <c r="C884" i="1"/>
  <c r="D884" i="1" s="1"/>
  <c r="C885" i="1"/>
  <c r="D885" i="1"/>
  <c r="C886" i="1"/>
  <c r="D886" i="1" s="1"/>
  <c r="C887" i="1"/>
  <c r="D887" i="1"/>
  <c r="C888" i="1"/>
  <c r="D888" i="1" s="1"/>
  <c r="C889" i="1"/>
  <c r="D889" i="1"/>
  <c r="C890" i="1"/>
  <c r="D890" i="1" s="1"/>
  <c r="C891" i="1"/>
  <c r="D891" i="1"/>
  <c r="C892" i="1"/>
  <c r="D892" i="1" s="1"/>
  <c r="C893" i="1"/>
  <c r="D893" i="1"/>
  <c r="C894" i="1"/>
  <c r="D894" i="1" s="1"/>
  <c r="C895" i="1"/>
  <c r="D895" i="1"/>
  <c r="C896" i="1"/>
  <c r="D896" i="1" s="1"/>
  <c r="C897" i="1"/>
  <c r="D897" i="1"/>
  <c r="C898" i="1"/>
  <c r="D898" i="1" s="1"/>
  <c r="C899" i="1"/>
  <c r="D899" i="1"/>
  <c r="C900" i="1"/>
  <c r="D900" i="1" s="1"/>
  <c r="C901" i="1"/>
  <c r="D901" i="1"/>
  <c r="C902" i="1"/>
  <c r="D902" i="1" s="1"/>
  <c r="C903" i="1"/>
  <c r="D903" i="1"/>
  <c r="C904" i="1"/>
  <c r="D904" i="1" s="1"/>
  <c r="C905" i="1"/>
  <c r="D905" i="1"/>
  <c r="C906" i="1"/>
  <c r="D906" i="1" s="1"/>
  <c r="C907" i="1"/>
  <c r="D907" i="1"/>
  <c r="C908" i="1"/>
  <c r="D908" i="1" s="1"/>
  <c r="C909" i="1"/>
  <c r="D909" i="1"/>
  <c r="C910" i="1"/>
  <c r="D910" i="1" s="1"/>
  <c r="C911" i="1"/>
  <c r="D911" i="1"/>
  <c r="C912" i="1"/>
  <c r="D912" i="1" s="1"/>
  <c r="C913" i="1"/>
  <c r="D913" i="1"/>
  <c r="C914" i="1"/>
  <c r="D914" i="1" s="1"/>
  <c r="C915" i="1"/>
  <c r="D915" i="1"/>
  <c r="C916" i="1"/>
  <c r="D916" i="1" s="1"/>
  <c r="C917" i="1"/>
  <c r="D917" i="1"/>
  <c r="C918" i="1"/>
  <c r="D918" i="1" s="1"/>
  <c r="C919" i="1"/>
  <c r="D919" i="1"/>
  <c r="C920" i="1"/>
  <c r="D920" i="1" s="1"/>
  <c r="C921" i="1"/>
  <c r="D921" i="1"/>
  <c r="C922" i="1"/>
  <c r="D922" i="1" s="1"/>
  <c r="C923" i="1"/>
  <c r="D923" i="1"/>
  <c r="C924" i="1"/>
  <c r="D924" i="1" s="1"/>
  <c r="C925" i="1"/>
  <c r="D925" i="1"/>
  <c r="C926" i="1"/>
  <c r="D926" i="1" s="1"/>
  <c r="C927" i="1"/>
  <c r="D927" i="1"/>
  <c r="C928" i="1"/>
  <c r="D928" i="1" s="1"/>
  <c r="C929" i="1"/>
  <c r="D929" i="1"/>
  <c r="C930" i="1"/>
  <c r="D930" i="1" s="1"/>
  <c r="C931" i="1"/>
  <c r="D931" i="1"/>
  <c r="C932" i="1"/>
  <c r="D932" i="1" s="1"/>
  <c r="C933" i="1"/>
  <c r="D933" i="1"/>
  <c r="C934" i="1"/>
  <c r="D934" i="1" s="1"/>
  <c r="C935" i="1"/>
  <c r="D935" i="1"/>
  <c r="C936" i="1"/>
  <c r="D936" i="1" s="1"/>
  <c r="C937" i="1"/>
  <c r="D937" i="1"/>
  <c r="C938" i="1"/>
  <c r="D938" i="1" s="1"/>
  <c r="C939" i="1"/>
  <c r="D939" i="1"/>
  <c r="C940" i="1"/>
  <c r="D940" i="1" s="1"/>
  <c r="C941" i="1"/>
  <c r="D941" i="1"/>
  <c r="C942" i="1"/>
  <c r="D942" i="1" s="1"/>
  <c r="C943" i="1"/>
  <c r="D943" i="1"/>
  <c r="C944" i="1"/>
  <c r="D944" i="1" s="1"/>
  <c r="C945" i="1"/>
  <c r="D945" i="1"/>
  <c r="C946" i="1"/>
  <c r="D946" i="1" s="1"/>
  <c r="C947" i="1"/>
  <c r="D947" i="1"/>
  <c r="C948" i="1"/>
  <c r="D948" i="1" s="1"/>
  <c r="C949" i="1"/>
  <c r="D949" i="1"/>
  <c r="C950" i="1"/>
  <c r="D950" i="1" s="1"/>
  <c r="C951" i="1"/>
  <c r="D951" i="1"/>
  <c r="C952" i="1"/>
  <c r="D952" i="1" s="1"/>
  <c r="C953" i="1"/>
  <c r="D953" i="1"/>
  <c r="C954" i="1"/>
  <c r="D954" i="1" s="1"/>
  <c r="C955" i="1"/>
  <c r="D955" i="1"/>
  <c r="C956" i="1"/>
  <c r="D956" i="1" s="1"/>
  <c r="C957" i="1"/>
  <c r="D957" i="1"/>
  <c r="C958" i="1"/>
  <c r="D958" i="1" s="1"/>
  <c r="C959" i="1"/>
  <c r="D959" i="1"/>
  <c r="C960" i="1"/>
  <c r="D960" i="1" s="1"/>
  <c r="C961" i="1"/>
  <c r="D961" i="1"/>
  <c r="C962" i="1"/>
  <c r="D962" i="1" s="1"/>
  <c r="C963" i="1"/>
  <c r="D963" i="1"/>
  <c r="C964" i="1"/>
  <c r="D964" i="1" s="1"/>
  <c r="C965" i="1"/>
  <c r="D965" i="1"/>
  <c r="C966" i="1"/>
  <c r="D966" i="1" s="1"/>
  <c r="C967" i="1"/>
  <c r="D967" i="1"/>
  <c r="C968" i="1"/>
  <c r="D968" i="1" s="1"/>
  <c r="C969" i="1"/>
  <c r="D969" i="1" s="1"/>
  <c r="C970" i="1"/>
  <c r="D970" i="1" s="1"/>
  <c r="C971" i="1"/>
  <c r="D971" i="1"/>
  <c r="C972" i="1"/>
  <c r="D972" i="1" s="1"/>
  <c r="C973" i="1"/>
  <c r="D973" i="1"/>
  <c r="C974" i="1"/>
  <c r="D974" i="1" s="1"/>
  <c r="C975" i="1"/>
  <c r="D975" i="1"/>
  <c r="C976" i="1"/>
  <c r="D976" i="1" s="1"/>
  <c r="C977" i="1"/>
  <c r="D977" i="1" s="1"/>
  <c r="C978" i="1"/>
  <c r="D978" i="1" s="1"/>
  <c r="C979" i="1"/>
  <c r="D979" i="1"/>
  <c r="C980" i="1"/>
  <c r="D980" i="1" s="1"/>
  <c r="C981" i="1"/>
  <c r="D981" i="1"/>
  <c r="C982" i="1"/>
  <c r="D982" i="1" s="1"/>
  <c r="C983" i="1"/>
  <c r="D983" i="1"/>
  <c r="C984" i="1"/>
  <c r="D984" i="1" s="1"/>
  <c r="C985" i="1"/>
  <c r="D985" i="1" s="1"/>
  <c r="C986" i="1"/>
  <c r="D986" i="1" s="1"/>
  <c r="C987" i="1"/>
  <c r="D987" i="1"/>
  <c r="C988" i="1"/>
  <c r="D988" i="1" s="1"/>
  <c r="C989" i="1"/>
  <c r="D989" i="1"/>
  <c r="C990" i="1"/>
  <c r="D990" i="1" s="1"/>
  <c r="C991" i="1"/>
  <c r="D991" i="1"/>
  <c r="C992" i="1"/>
  <c r="D992" i="1" s="1"/>
  <c r="C993" i="1"/>
  <c r="D993" i="1" s="1"/>
  <c r="C994" i="1"/>
  <c r="D994" i="1" s="1"/>
  <c r="C995" i="1"/>
  <c r="D995" i="1"/>
  <c r="C996" i="1"/>
  <c r="D996" i="1" s="1"/>
  <c r="C997" i="1"/>
  <c r="D997" i="1"/>
  <c r="C998" i="1"/>
  <c r="D998" i="1" s="1"/>
  <c r="C999" i="1"/>
  <c r="D999" i="1"/>
  <c r="C1000" i="1"/>
  <c r="D1000" i="1" s="1"/>
  <c r="C1001" i="1"/>
  <c r="D1001" i="1" s="1"/>
  <c r="C1002" i="1"/>
  <c r="D1002" i="1" s="1"/>
  <c r="C1003" i="1"/>
  <c r="D1003" i="1"/>
  <c r="C1004" i="1"/>
  <c r="D1004" i="1" s="1"/>
  <c r="C1005" i="1"/>
  <c r="D1005" i="1"/>
  <c r="C1006" i="1"/>
  <c r="D1006" i="1" s="1"/>
  <c r="C1007" i="1"/>
  <c r="D1007" i="1"/>
  <c r="C1008" i="1"/>
  <c r="D1008" i="1" s="1"/>
  <c r="C1009" i="1"/>
  <c r="D1009" i="1" s="1"/>
  <c r="C1010" i="1"/>
  <c r="D1010" i="1" s="1"/>
  <c r="C1011" i="1"/>
  <c r="D1011" i="1"/>
  <c r="C1012" i="1"/>
  <c r="D1012" i="1" s="1"/>
  <c r="C1013" i="1"/>
  <c r="D1013" i="1"/>
  <c r="C1014" i="1"/>
  <c r="D1014" i="1" s="1"/>
  <c r="C1015" i="1"/>
  <c r="D1015" i="1"/>
  <c r="C1016" i="1"/>
  <c r="D1016" i="1" s="1"/>
  <c r="C1017" i="1"/>
  <c r="D1017" i="1" s="1"/>
  <c r="C1018" i="1"/>
  <c r="D1018" i="1" s="1"/>
  <c r="C1019" i="1"/>
  <c r="D1019" i="1"/>
  <c r="C1020" i="1"/>
  <c r="D1020" i="1" s="1"/>
  <c r="C1021" i="1"/>
  <c r="D1021" i="1"/>
  <c r="C1022" i="1"/>
  <c r="D1022" i="1" s="1"/>
  <c r="C1023" i="1"/>
  <c r="D1023" i="1"/>
  <c r="C1024" i="1"/>
  <c r="D1024" i="1" s="1"/>
  <c r="C1025" i="1"/>
  <c r="D1025" i="1" s="1"/>
  <c r="C1026" i="1"/>
  <c r="D1026" i="1" s="1"/>
  <c r="C1027" i="1"/>
  <c r="D1027" i="1"/>
  <c r="C1028" i="1"/>
  <c r="D1028" i="1" s="1"/>
  <c r="C1029" i="1"/>
  <c r="D1029" i="1"/>
  <c r="C1030" i="1"/>
  <c r="D1030" i="1" s="1"/>
  <c r="C1031" i="1"/>
  <c r="D1031" i="1"/>
  <c r="C1032" i="1"/>
  <c r="D1032" i="1" s="1"/>
  <c r="C1033" i="1"/>
  <c r="D1033" i="1" s="1"/>
  <c r="C1034" i="1"/>
  <c r="D1034" i="1" s="1"/>
  <c r="C1035" i="1"/>
  <c r="D1035" i="1"/>
  <c r="C1036" i="1"/>
  <c r="D1036" i="1" s="1"/>
  <c r="C1037" i="1"/>
  <c r="D1037" i="1"/>
  <c r="C1038" i="1"/>
  <c r="D1038" i="1" s="1"/>
  <c r="C1039" i="1"/>
  <c r="D1039" i="1"/>
  <c r="C1040" i="1"/>
  <c r="D1040" i="1" s="1"/>
  <c r="C1041" i="1"/>
  <c r="D1041" i="1" s="1"/>
  <c r="C1042" i="1"/>
  <c r="D1042" i="1" s="1"/>
  <c r="C1043" i="1"/>
  <c r="D1043" i="1"/>
  <c r="C1044" i="1"/>
  <c r="D1044" i="1" s="1"/>
  <c r="C1045" i="1"/>
  <c r="D1045" i="1"/>
  <c r="C1046" i="1"/>
  <c r="D1046" i="1" s="1"/>
  <c r="C1047" i="1"/>
  <c r="D1047" i="1"/>
  <c r="C1048" i="1"/>
  <c r="D1048" i="1" s="1"/>
  <c r="C1049" i="1"/>
  <c r="D1049" i="1" s="1"/>
  <c r="C1050" i="1"/>
  <c r="D1050" i="1" s="1"/>
  <c r="C1051" i="1"/>
  <c r="D1051" i="1"/>
  <c r="C1052" i="1"/>
  <c r="D1052" i="1" s="1"/>
  <c r="C1053" i="1"/>
  <c r="D1053" i="1"/>
  <c r="C1054" i="1"/>
  <c r="D1054" i="1" s="1"/>
  <c r="C1055" i="1"/>
  <c r="D1055" i="1"/>
  <c r="C1056" i="1"/>
  <c r="D1056" i="1" s="1"/>
  <c r="C1057" i="1"/>
  <c r="D1057" i="1" s="1"/>
  <c r="C1058" i="1"/>
  <c r="D1058" i="1" s="1"/>
  <c r="C1059" i="1"/>
  <c r="D1059" i="1"/>
  <c r="C1060" i="1"/>
  <c r="D1060" i="1" s="1"/>
  <c r="C1061" i="1"/>
  <c r="D1061" i="1"/>
  <c r="C1062" i="1"/>
  <c r="D1062" i="1" s="1"/>
  <c r="C1063" i="1"/>
  <c r="D1063" i="1"/>
  <c r="C1064" i="1"/>
  <c r="D1064" i="1" s="1"/>
  <c r="C1065" i="1"/>
  <c r="D1065" i="1" s="1"/>
  <c r="C1066" i="1"/>
  <c r="D1066" i="1" s="1"/>
  <c r="C1067" i="1"/>
  <c r="D1067" i="1"/>
  <c r="C1068" i="1"/>
  <c r="D1068" i="1" s="1"/>
  <c r="C1069" i="1"/>
  <c r="D1069" i="1"/>
  <c r="C1070" i="1"/>
  <c r="D1070" i="1" s="1"/>
  <c r="C1071" i="1"/>
  <c r="D1071" i="1"/>
  <c r="C1072" i="1"/>
  <c r="D1072" i="1" s="1"/>
  <c r="C1073" i="1"/>
  <c r="D1073" i="1" s="1"/>
  <c r="C1074" i="1"/>
  <c r="D1074" i="1" s="1"/>
  <c r="C1075" i="1"/>
  <c r="D1075" i="1"/>
  <c r="C1076" i="1"/>
  <c r="D1076" i="1" s="1"/>
  <c r="C1077" i="1"/>
  <c r="D1077" i="1"/>
  <c r="C1078" i="1"/>
  <c r="D1078" i="1" s="1"/>
  <c r="C1079" i="1"/>
  <c r="D1079" i="1"/>
  <c r="C1080" i="1"/>
  <c r="D1080" i="1" s="1"/>
  <c r="C1081" i="1"/>
  <c r="D1081" i="1" s="1"/>
  <c r="C1082" i="1"/>
  <c r="D1082" i="1" s="1"/>
  <c r="C1083" i="1"/>
  <c r="D1083" i="1"/>
  <c r="C1084" i="1"/>
  <c r="D1084" i="1" s="1"/>
  <c r="C1085" i="1"/>
  <c r="D1085" i="1"/>
  <c r="C1086" i="1"/>
  <c r="D1086" i="1" s="1"/>
  <c r="C1087" i="1"/>
  <c r="D1087" i="1" s="1"/>
  <c r="C1088" i="1"/>
  <c r="D1088" i="1" s="1"/>
  <c r="C1089" i="1"/>
  <c r="D1089" i="1" s="1"/>
  <c r="C1090" i="1"/>
  <c r="D1090" i="1" s="1"/>
  <c r="C1091" i="1"/>
  <c r="D1091" i="1"/>
  <c r="C1092" i="1"/>
  <c r="D1092" i="1" s="1"/>
  <c r="C1093" i="1"/>
  <c r="D1093" i="1"/>
  <c r="C1094" i="1"/>
  <c r="D1094" i="1" s="1"/>
  <c r="C1095" i="1"/>
  <c r="D1095" i="1" s="1"/>
  <c r="C1096" i="1"/>
  <c r="D1096" i="1" s="1"/>
  <c r="C1097" i="1"/>
  <c r="D1097" i="1" s="1"/>
  <c r="C1098" i="1"/>
  <c r="D1098" i="1" s="1"/>
  <c r="C1099" i="1"/>
  <c r="D1099" i="1"/>
  <c r="C1100" i="1"/>
  <c r="D1100" i="1" s="1"/>
  <c r="C1101" i="1"/>
  <c r="D1101" i="1"/>
  <c r="C1102" i="1"/>
  <c r="D1102" i="1" s="1"/>
  <c r="C1103" i="1"/>
  <c r="D1103" i="1" s="1"/>
  <c r="C1104" i="1"/>
  <c r="D1104" i="1" s="1"/>
  <c r="C1105" i="1"/>
  <c r="D1105" i="1" s="1"/>
  <c r="C1106" i="1"/>
  <c r="D1106" i="1" s="1"/>
  <c r="C1107" i="1"/>
  <c r="D1107" i="1"/>
  <c r="C1108" i="1"/>
  <c r="D1108" i="1" s="1"/>
  <c r="C1109" i="1"/>
  <c r="D1109" i="1"/>
  <c r="C1110" i="1"/>
  <c r="D1110" i="1" s="1"/>
  <c r="C1111" i="1"/>
  <c r="D1111" i="1" s="1"/>
  <c r="C1112" i="1"/>
  <c r="D1112" i="1" s="1"/>
  <c r="C1113" i="1"/>
  <c r="D1113" i="1" s="1"/>
  <c r="C1114" i="1"/>
  <c r="D1114" i="1" s="1"/>
  <c r="C1115" i="1"/>
  <c r="D1115" i="1"/>
  <c r="C1116" i="1"/>
  <c r="D1116" i="1" s="1"/>
  <c r="C1117" i="1"/>
  <c r="D1117" i="1"/>
  <c r="C1118" i="1"/>
  <c r="D1118" i="1" s="1"/>
  <c r="C1119" i="1"/>
  <c r="D1119" i="1" s="1"/>
  <c r="C1120" i="1"/>
  <c r="D1120" i="1" s="1"/>
  <c r="C1121" i="1"/>
  <c r="D1121" i="1" s="1"/>
  <c r="C1122" i="1"/>
  <c r="D1122" i="1" s="1"/>
  <c r="C1123" i="1"/>
  <c r="D1123" i="1"/>
  <c r="C1124" i="1"/>
  <c r="D1124" i="1" s="1"/>
  <c r="C1125" i="1"/>
  <c r="D1125" i="1"/>
  <c r="C1126" i="1"/>
  <c r="D1126" i="1" s="1"/>
  <c r="C1127" i="1"/>
  <c r="D1127" i="1" s="1"/>
  <c r="C1128" i="1"/>
  <c r="D1128" i="1" s="1"/>
  <c r="C1129" i="1"/>
  <c r="D1129" i="1" s="1"/>
  <c r="C1130" i="1"/>
  <c r="D1130" i="1" s="1"/>
  <c r="C1131" i="1"/>
  <c r="D1131" i="1"/>
  <c r="C1132" i="1"/>
  <c r="D1132" i="1" s="1"/>
  <c r="C1133" i="1"/>
  <c r="D1133" i="1"/>
  <c r="C1134" i="1"/>
  <c r="D1134" i="1" s="1"/>
  <c r="C1135" i="1"/>
  <c r="D1135" i="1" s="1"/>
  <c r="C1136" i="1"/>
  <c r="D1136" i="1" s="1"/>
  <c r="C1137" i="1"/>
  <c r="D1137" i="1" s="1"/>
  <c r="C1138" i="1"/>
  <c r="D1138" i="1" s="1"/>
  <c r="C1139" i="1"/>
  <c r="D1139" i="1"/>
  <c r="C1140" i="1"/>
  <c r="D1140" i="1" s="1"/>
  <c r="C1141" i="1"/>
  <c r="D1141" i="1"/>
  <c r="C1142" i="1"/>
  <c r="D1142" i="1" s="1"/>
  <c r="C1143" i="1"/>
  <c r="D1143" i="1" s="1"/>
  <c r="C1144" i="1"/>
  <c r="D1144" i="1" s="1"/>
  <c r="C1145" i="1"/>
  <c r="D1145" i="1" s="1"/>
  <c r="C1146" i="1"/>
  <c r="D1146" i="1" s="1"/>
  <c r="C1147" i="1"/>
  <c r="D1147" i="1"/>
  <c r="C1148" i="1"/>
  <c r="D1148" i="1" s="1"/>
  <c r="C1149" i="1"/>
  <c r="D1149" i="1"/>
  <c r="C1150" i="1"/>
  <c r="D1150" i="1" s="1"/>
  <c r="C1151" i="1"/>
  <c r="D1151" i="1" s="1"/>
  <c r="C1152" i="1"/>
  <c r="D1152" i="1" s="1"/>
  <c r="C1153" i="1"/>
  <c r="D1153" i="1" s="1"/>
  <c r="C1154" i="1"/>
  <c r="D1154" i="1" s="1"/>
  <c r="C1155" i="1"/>
  <c r="D1155" i="1"/>
  <c r="C1156" i="1"/>
  <c r="D1156" i="1" s="1"/>
  <c r="C1157" i="1"/>
  <c r="D1157" i="1"/>
  <c r="C1158" i="1"/>
  <c r="D1158" i="1" s="1"/>
  <c r="C1159" i="1"/>
  <c r="D1159" i="1" s="1"/>
  <c r="C1160" i="1"/>
  <c r="D1160" i="1" s="1"/>
  <c r="C1161" i="1"/>
  <c r="D1161" i="1" s="1"/>
  <c r="C1162" i="1"/>
  <c r="D1162" i="1" s="1"/>
  <c r="C1163" i="1"/>
  <c r="D1163" i="1"/>
  <c r="C1164" i="1"/>
  <c r="D1164" i="1" s="1"/>
  <c r="C1165" i="1"/>
  <c r="D1165" i="1"/>
  <c r="C1166" i="1"/>
  <c r="D1166" i="1" s="1"/>
  <c r="C1167" i="1"/>
  <c r="D1167" i="1" s="1"/>
  <c r="C1168" i="1"/>
  <c r="D1168" i="1" s="1"/>
  <c r="C1169" i="1"/>
  <c r="D1169" i="1" s="1"/>
  <c r="C1170" i="1"/>
  <c r="D1170" i="1" s="1"/>
  <c r="C1171" i="1"/>
  <c r="D1171" i="1"/>
  <c r="C1172" i="1"/>
  <c r="D1172" i="1" s="1"/>
  <c r="C1173" i="1"/>
  <c r="D1173" i="1" s="1"/>
  <c r="C1174" i="1"/>
  <c r="D1174" i="1" s="1"/>
  <c r="C1175" i="1"/>
  <c r="D1175" i="1" s="1"/>
  <c r="C1176" i="1"/>
  <c r="D1176" i="1" s="1"/>
  <c r="C1177" i="1"/>
  <c r="D1177" i="1" s="1"/>
  <c r="C1178" i="1"/>
  <c r="D1178" i="1"/>
  <c r="C1179" i="1"/>
  <c r="D1179" i="1" s="1"/>
  <c r="C1180" i="1"/>
  <c r="D1180" i="1" s="1"/>
  <c r="C1181" i="1"/>
  <c r="D1181" i="1" s="1"/>
  <c r="C1182" i="1"/>
  <c r="D1182" i="1" s="1"/>
  <c r="C1183" i="1"/>
  <c r="D1183" i="1" s="1"/>
  <c r="C1184" i="1"/>
  <c r="D1184" i="1"/>
  <c r="C1185" i="1"/>
  <c r="D1185" i="1" s="1"/>
  <c r="C1186" i="1"/>
  <c r="D1186" i="1" s="1"/>
  <c r="C1187" i="1"/>
  <c r="D1187" i="1" s="1"/>
  <c r="C1188" i="1"/>
  <c r="D1188" i="1" s="1"/>
  <c r="C1189" i="1"/>
  <c r="D1189" i="1" s="1"/>
  <c r="C1190" i="1"/>
  <c r="D1190" i="1" s="1"/>
  <c r="C1191" i="1"/>
  <c r="D1191" i="1" s="1"/>
  <c r="C1192" i="1"/>
  <c r="D1192" i="1" s="1"/>
  <c r="C1193" i="1"/>
  <c r="D1193" i="1" s="1"/>
  <c r="C1194" i="1"/>
  <c r="D1194" i="1"/>
  <c r="C1195" i="1"/>
  <c r="D1195" i="1" s="1"/>
  <c r="C1196" i="1"/>
  <c r="D1196" i="1" s="1"/>
  <c r="C1197" i="1"/>
  <c r="D1197" i="1" s="1"/>
  <c r="C1198" i="1"/>
  <c r="D1198" i="1" s="1"/>
  <c r="C1199" i="1"/>
  <c r="D1199" i="1" s="1"/>
  <c r="C1200" i="1"/>
  <c r="D1200" i="1" s="1"/>
  <c r="C1201" i="1"/>
  <c r="D1201" i="1" s="1"/>
  <c r="C1202" i="1"/>
  <c r="D1202" i="1" s="1"/>
  <c r="C1203" i="1"/>
  <c r="D1203" i="1" s="1"/>
  <c r="C1204" i="1"/>
  <c r="D1204" i="1" s="1"/>
  <c r="C1205" i="1"/>
  <c r="D1205" i="1" s="1"/>
  <c r="C1206" i="1"/>
  <c r="D1206" i="1" s="1"/>
  <c r="C1207" i="1"/>
  <c r="D1207" i="1" s="1"/>
  <c r="C1208" i="1"/>
  <c r="D1208" i="1" s="1"/>
  <c r="C1209" i="1"/>
  <c r="D1209" i="1" s="1"/>
  <c r="C1210" i="1"/>
  <c r="D1210" i="1" s="1"/>
  <c r="C1211" i="1"/>
  <c r="D1211" i="1" s="1"/>
  <c r="C1212" i="1"/>
  <c r="D1212" i="1" s="1"/>
  <c r="C1213" i="1"/>
  <c r="D1213" i="1" s="1"/>
  <c r="C1214" i="1"/>
  <c r="D1214" i="1" s="1"/>
  <c r="C1215" i="1"/>
  <c r="D1215" i="1" s="1"/>
  <c r="C1216" i="1"/>
  <c r="D1216" i="1" s="1"/>
  <c r="C1217" i="1"/>
  <c r="D1217" i="1" s="1"/>
  <c r="C1218" i="1"/>
  <c r="D1218" i="1"/>
  <c r="C1219" i="1"/>
  <c r="D1219" i="1" s="1"/>
  <c r="C1220" i="1"/>
  <c r="D1220" i="1" s="1"/>
  <c r="C1221" i="1"/>
  <c r="D1221" i="1" s="1"/>
  <c r="C1222" i="1"/>
  <c r="D1222" i="1" s="1"/>
  <c r="C1223" i="1"/>
  <c r="D1223" i="1" s="1"/>
  <c r="C1224" i="1"/>
  <c r="D1224" i="1" s="1"/>
  <c r="C1225" i="1"/>
  <c r="D1225" i="1" s="1"/>
  <c r="C1226" i="1"/>
  <c r="D1226" i="1" s="1"/>
  <c r="C1227" i="1"/>
  <c r="D1227" i="1" s="1"/>
  <c r="C1228" i="1"/>
  <c r="D1228" i="1" s="1"/>
  <c r="C1229" i="1"/>
  <c r="D1229" i="1" s="1"/>
  <c r="C1230" i="1"/>
  <c r="D1230" i="1" s="1"/>
  <c r="C1231" i="1"/>
  <c r="D1231" i="1" s="1"/>
  <c r="C1232" i="1"/>
  <c r="D1232" i="1"/>
  <c r="C1233" i="1"/>
  <c r="D1233" i="1" s="1"/>
  <c r="C1234" i="1"/>
  <c r="D1234" i="1"/>
  <c r="C1235" i="1"/>
  <c r="D1235" i="1" s="1"/>
  <c r="C1236" i="1"/>
  <c r="D1236" i="1" s="1"/>
  <c r="C1237" i="1"/>
  <c r="D1237" i="1" s="1"/>
  <c r="C1238" i="1"/>
  <c r="D1238" i="1" s="1"/>
  <c r="C1239" i="1"/>
  <c r="D1239" i="1" s="1"/>
  <c r="C1240" i="1"/>
  <c r="D1240" i="1" s="1"/>
  <c r="C1241" i="1"/>
  <c r="D1241" i="1" s="1"/>
  <c r="C1242" i="1"/>
  <c r="D1242" i="1"/>
  <c r="C1243" i="1"/>
  <c r="D1243" i="1" s="1"/>
  <c r="C1244" i="1"/>
  <c r="D1244" i="1" s="1"/>
  <c r="C1245" i="1"/>
  <c r="D1245" i="1" s="1"/>
  <c r="C1246" i="1"/>
  <c r="D1246" i="1" s="1"/>
  <c r="C1247" i="1"/>
  <c r="D1247" i="1" s="1"/>
  <c r="C1248" i="1"/>
  <c r="D1248" i="1"/>
  <c r="C1249" i="1"/>
  <c r="D1249" i="1" s="1"/>
  <c r="C1250" i="1"/>
  <c r="D1250" i="1" s="1"/>
  <c r="C1251" i="1"/>
  <c r="D1251" i="1" s="1"/>
  <c r="C1252" i="1"/>
  <c r="D1252" i="1" s="1"/>
  <c r="C1253" i="1"/>
  <c r="D1253" i="1" s="1"/>
  <c r="C1254" i="1"/>
  <c r="D1254" i="1" s="1"/>
  <c r="C1255" i="1"/>
  <c r="D1255" i="1" s="1"/>
  <c r="C1256" i="1"/>
  <c r="D1256" i="1" s="1"/>
  <c r="C1257" i="1"/>
  <c r="D1257" i="1" s="1"/>
  <c r="C1258" i="1"/>
  <c r="D1258" i="1"/>
  <c r="C1259" i="1"/>
  <c r="D1259" i="1" s="1"/>
  <c r="C1260" i="1"/>
  <c r="D1260" i="1" s="1"/>
  <c r="C1261" i="1"/>
  <c r="D1261" i="1" s="1"/>
  <c r="C1262" i="1"/>
  <c r="D1262" i="1" s="1"/>
  <c r="C1263" i="1"/>
  <c r="D1263" i="1" s="1"/>
  <c r="C1264" i="1"/>
  <c r="D1264" i="1" s="1"/>
  <c r="C1265" i="1"/>
  <c r="D1265" i="1" s="1"/>
  <c r="C1266" i="1"/>
  <c r="D1266" i="1" s="1"/>
  <c r="C1267" i="1"/>
  <c r="D1267" i="1" s="1"/>
  <c r="C1268" i="1"/>
  <c r="D1268" i="1" s="1"/>
  <c r="C1269" i="1"/>
  <c r="D1269" i="1" s="1"/>
  <c r="C1270" i="1"/>
  <c r="D1270" i="1" s="1"/>
  <c r="C1271" i="1"/>
  <c r="D1271" i="1" s="1"/>
  <c r="C1272" i="1"/>
  <c r="D1272" i="1" s="1"/>
  <c r="C1273" i="1"/>
  <c r="D1273" i="1" s="1"/>
  <c r="C1274" i="1"/>
  <c r="D1274" i="1" s="1"/>
  <c r="C1275" i="1"/>
  <c r="D1275" i="1" s="1"/>
  <c r="C1276" i="1"/>
  <c r="D1276" i="1" s="1"/>
  <c r="C1277" i="1"/>
  <c r="D1277" i="1" s="1"/>
  <c r="C1278" i="1"/>
  <c r="D1278" i="1" s="1"/>
  <c r="C1279" i="1"/>
  <c r="D1279" i="1" s="1"/>
  <c r="C1280" i="1"/>
  <c r="D1280" i="1" s="1"/>
  <c r="C1281" i="1"/>
  <c r="D1281" i="1" s="1"/>
  <c r="C1282" i="1"/>
  <c r="D1282" i="1"/>
  <c r="C1283" i="1"/>
  <c r="D1283" i="1" s="1"/>
  <c r="C1284" i="1"/>
  <c r="D1284" i="1" s="1"/>
  <c r="C1285" i="1"/>
  <c r="D1285" i="1" s="1"/>
  <c r="C1286" i="1"/>
  <c r="D1286" i="1" s="1"/>
  <c r="C1287" i="1"/>
  <c r="D1287" i="1" s="1"/>
  <c r="C1288" i="1"/>
  <c r="D1288" i="1" s="1"/>
  <c r="C1289" i="1"/>
  <c r="D1289" i="1" s="1"/>
  <c r="C1290" i="1"/>
  <c r="D1290" i="1" s="1"/>
  <c r="C1291" i="1"/>
  <c r="D1291" i="1" s="1"/>
  <c r="C1292" i="1"/>
  <c r="D1292" i="1" s="1"/>
  <c r="C1293" i="1"/>
  <c r="D1293" i="1" s="1"/>
  <c r="C1294" i="1"/>
  <c r="D1294" i="1" s="1"/>
  <c r="C1295" i="1"/>
  <c r="D1295" i="1" s="1"/>
  <c r="C1296" i="1"/>
  <c r="D1296" i="1"/>
  <c r="C1297" i="1"/>
  <c r="D1297" i="1" s="1"/>
  <c r="C1298" i="1"/>
  <c r="D1298" i="1"/>
  <c r="C1299" i="1"/>
  <c r="D1299" i="1" s="1"/>
  <c r="C1300" i="1"/>
  <c r="D1300" i="1" s="1"/>
  <c r="C1301" i="1"/>
  <c r="D1301" i="1" s="1"/>
  <c r="C1302" i="1"/>
  <c r="D1302" i="1" s="1"/>
  <c r="C1303" i="1"/>
  <c r="D1303" i="1" s="1"/>
  <c r="C1304" i="1"/>
  <c r="D1304" i="1" s="1"/>
  <c r="C1305" i="1"/>
  <c r="D1305" i="1" s="1"/>
  <c r="C1306" i="1"/>
  <c r="D1306" i="1"/>
  <c r="C1307" i="1"/>
  <c r="D1307" i="1" s="1"/>
  <c r="C1308" i="1"/>
  <c r="D1308" i="1" s="1"/>
  <c r="C1309" i="1"/>
  <c r="D1309" i="1" s="1"/>
  <c r="C1310" i="1"/>
  <c r="D1310" i="1" s="1"/>
  <c r="C1311" i="1"/>
  <c r="D1311" i="1" s="1"/>
  <c r="C1312" i="1"/>
  <c r="D1312" i="1"/>
  <c r="C1313" i="1"/>
  <c r="D1313" i="1" s="1"/>
  <c r="C1314" i="1"/>
  <c r="D1314" i="1" s="1"/>
  <c r="C1315" i="1"/>
  <c r="D1315" i="1" s="1"/>
  <c r="C1316" i="1"/>
  <c r="D1316" i="1" s="1"/>
  <c r="C1317" i="1"/>
  <c r="D1317" i="1" s="1"/>
  <c r="C1318" i="1"/>
  <c r="D1318" i="1" s="1"/>
  <c r="C1319" i="1"/>
  <c r="D1319" i="1" s="1"/>
  <c r="C1320" i="1"/>
  <c r="D1320" i="1" s="1"/>
  <c r="C1321" i="1"/>
  <c r="D1321" i="1" s="1"/>
  <c r="C1322" i="1"/>
  <c r="D1322" i="1"/>
  <c r="C1323" i="1"/>
  <c r="D1323" i="1" s="1"/>
  <c r="C1324" i="1"/>
  <c r="D1324" i="1" s="1"/>
  <c r="C1325" i="1"/>
  <c r="D1325" i="1" s="1"/>
  <c r="C1326" i="1"/>
  <c r="D1326" i="1" s="1"/>
  <c r="C1327" i="1"/>
  <c r="D1327" i="1" s="1"/>
  <c r="C1328" i="1"/>
  <c r="D1328" i="1" s="1"/>
  <c r="C1329" i="1"/>
  <c r="D1329" i="1" s="1"/>
  <c r="C1330" i="1"/>
  <c r="D1330" i="1" s="1"/>
  <c r="C1331" i="1"/>
  <c r="D1331" i="1" s="1"/>
  <c r="C1332" i="1"/>
  <c r="D1332" i="1" s="1"/>
  <c r="C1333" i="1"/>
  <c r="D1333" i="1" s="1"/>
  <c r="C1334" i="1"/>
  <c r="D1334" i="1" s="1"/>
  <c r="C1335" i="1"/>
  <c r="D1335" i="1" s="1"/>
  <c r="C1336" i="1"/>
  <c r="D1336" i="1" s="1"/>
  <c r="C1337" i="1"/>
  <c r="D1337" i="1" s="1"/>
  <c r="C1338" i="1"/>
  <c r="D1338" i="1" s="1"/>
  <c r="C1339" i="1"/>
  <c r="D1339" i="1" s="1"/>
  <c r="C1340" i="1"/>
  <c r="D1340" i="1" s="1"/>
  <c r="C1341" i="1"/>
  <c r="D1341" i="1" s="1"/>
  <c r="C1342" i="1"/>
  <c r="D1342" i="1" s="1"/>
  <c r="C1343" i="1"/>
  <c r="D1343" i="1" s="1"/>
  <c r="C1344" i="1"/>
  <c r="D1344" i="1" s="1"/>
  <c r="C1345" i="1"/>
  <c r="D1345" i="1" s="1"/>
  <c r="C1346" i="1"/>
  <c r="D1346" i="1"/>
  <c r="C1347" i="1"/>
  <c r="D1347" i="1" s="1"/>
  <c r="C1348" i="1"/>
  <c r="D1348" i="1" s="1"/>
  <c r="C1349" i="1"/>
  <c r="D1349" i="1" s="1"/>
  <c r="C1350" i="1"/>
  <c r="D1350" i="1" s="1"/>
  <c r="C1351" i="1"/>
  <c r="D1351" i="1" s="1"/>
  <c r="C1352" i="1"/>
  <c r="D1352" i="1" s="1"/>
  <c r="C1353" i="1"/>
  <c r="D1353" i="1" s="1"/>
  <c r="C1354" i="1"/>
  <c r="D1354" i="1" s="1"/>
  <c r="C1355" i="1"/>
  <c r="D1355" i="1" s="1"/>
  <c r="C1356" i="1"/>
  <c r="D1356" i="1" s="1"/>
  <c r="C1357" i="1"/>
  <c r="D1357" i="1" s="1"/>
  <c r="C1358" i="1"/>
  <c r="D1358" i="1" s="1"/>
  <c r="C1359" i="1"/>
  <c r="D1359" i="1" s="1"/>
  <c r="C1360" i="1"/>
  <c r="D1360" i="1"/>
  <c r="C1361" i="1"/>
  <c r="D1361" i="1" s="1"/>
  <c r="C1362" i="1"/>
  <c r="D1362" i="1"/>
  <c r="C1363" i="1"/>
  <c r="D1363" i="1" s="1"/>
  <c r="C1364" i="1"/>
  <c r="D1364" i="1" s="1"/>
  <c r="C1365" i="1"/>
  <c r="D1365" i="1" s="1"/>
  <c r="C1366" i="1"/>
  <c r="D1366" i="1" s="1"/>
  <c r="C1367" i="1"/>
  <c r="D1367" i="1" s="1"/>
  <c r="C1368" i="1"/>
  <c r="D1368" i="1" s="1"/>
  <c r="C1369" i="1"/>
  <c r="D1369" i="1" s="1"/>
  <c r="C1370" i="1"/>
  <c r="D1370" i="1"/>
  <c r="C1371" i="1"/>
  <c r="D1371" i="1" s="1"/>
  <c r="C1372" i="1"/>
  <c r="D1372" i="1" s="1"/>
  <c r="C1373" i="1"/>
  <c r="D1373" i="1" s="1"/>
  <c r="C1374" i="1"/>
  <c r="D1374" i="1" s="1"/>
  <c r="C1375" i="1"/>
  <c r="D1375" i="1" s="1"/>
  <c r="C1376" i="1"/>
  <c r="D1376" i="1"/>
  <c r="C1377" i="1"/>
  <c r="D1377" i="1" s="1"/>
  <c r="C1378" i="1"/>
  <c r="D1378" i="1" s="1"/>
  <c r="C1379" i="1"/>
  <c r="D1379" i="1" s="1"/>
  <c r="C1380" i="1"/>
  <c r="D1380" i="1" s="1"/>
  <c r="C1381" i="1"/>
  <c r="D1381" i="1" s="1"/>
  <c r="C1382" i="1"/>
  <c r="D1382" i="1" s="1"/>
  <c r="C1383" i="1"/>
  <c r="D1383" i="1" s="1"/>
  <c r="C1384" i="1"/>
  <c r="D1384" i="1" s="1"/>
  <c r="C1385" i="1"/>
  <c r="D1385" i="1" s="1"/>
  <c r="C1386" i="1"/>
  <c r="D1386" i="1"/>
  <c r="C1387" i="1"/>
  <c r="D1387" i="1" s="1"/>
  <c r="C1388" i="1"/>
  <c r="D1388" i="1" s="1"/>
  <c r="C1389" i="1"/>
  <c r="D1389" i="1" s="1"/>
  <c r="C1390" i="1"/>
  <c r="D1390" i="1" s="1"/>
  <c r="C1391" i="1"/>
  <c r="D1391" i="1" s="1"/>
  <c r="C1392" i="1"/>
  <c r="D1392" i="1" s="1"/>
  <c r="C1393" i="1"/>
  <c r="D1393" i="1" s="1"/>
  <c r="C1394" i="1"/>
  <c r="D1394" i="1" s="1"/>
  <c r="C1395" i="1"/>
  <c r="D1395" i="1" s="1"/>
  <c r="C1396" i="1"/>
  <c r="D1396" i="1" s="1"/>
  <c r="C1397" i="1"/>
  <c r="D1397" i="1" s="1"/>
  <c r="C1398" i="1"/>
  <c r="D1398" i="1" s="1"/>
  <c r="C1399" i="1"/>
  <c r="D1399" i="1" s="1"/>
  <c r="C1400" i="1"/>
  <c r="D1400" i="1" s="1"/>
  <c r="C1401" i="1"/>
  <c r="D1401" i="1" s="1"/>
  <c r="C1402" i="1"/>
  <c r="D1402" i="1" s="1"/>
  <c r="C1403" i="1"/>
  <c r="D1403" i="1" s="1"/>
  <c r="C1404" i="1"/>
  <c r="D1404" i="1" s="1"/>
  <c r="C1405" i="1"/>
  <c r="D1405" i="1" s="1"/>
  <c r="C1406" i="1"/>
  <c r="D1406" i="1" s="1"/>
  <c r="C1407" i="1"/>
  <c r="D1407" i="1" s="1"/>
  <c r="C1408" i="1"/>
  <c r="D1408" i="1" s="1"/>
  <c r="C1409" i="1"/>
  <c r="D1409" i="1" s="1"/>
  <c r="C1410" i="1"/>
  <c r="D1410" i="1"/>
  <c r="C1411" i="1"/>
  <c r="D1411" i="1" s="1"/>
  <c r="C1412" i="1"/>
  <c r="D1412" i="1" s="1"/>
  <c r="C1413" i="1"/>
  <c r="D1413" i="1" s="1"/>
  <c r="C1414" i="1"/>
  <c r="D1414" i="1" s="1"/>
  <c r="C1415" i="1"/>
  <c r="D1415" i="1" s="1"/>
  <c r="C1416" i="1"/>
  <c r="D1416" i="1" s="1"/>
  <c r="C1417" i="1"/>
  <c r="D1417" i="1" s="1"/>
  <c r="C1418" i="1"/>
  <c r="D1418" i="1" s="1"/>
  <c r="C1419" i="1"/>
  <c r="D1419" i="1" s="1"/>
  <c r="C1420" i="1"/>
  <c r="D1420" i="1" s="1"/>
  <c r="C1421" i="1"/>
  <c r="D1421" i="1" s="1"/>
  <c r="C1422" i="1"/>
  <c r="D1422" i="1" s="1"/>
  <c r="C1423" i="1"/>
  <c r="D1423" i="1" s="1"/>
  <c r="C1424" i="1"/>
  <c r="D1424" i="1"/>
  <c r="C1425" i="1"/>
  <c r="D1425" i="1" s="1"/>
  <c r="C1426" i="1"/>
  <c r="D1426" i="1"/>
  <c r="C1427" i="1"/>
  <c r="D1427" i="1" s="1"/>
  <c r="C1428" i="1"/>
  <c r="D1428" i="1" s="1"/>
  <c r="C1429" i="1"/>
  <c r="D1429" i="1" s="1"/>
  <c r="C1430" i="1"/>
  <c r="D1430" i="1" s="1"/>
  <c r="C1431" i="1"/>
  <c r="D1431" i="1" s="1"/>
  <c r="C1432" i="1"/>
  <c r="D1432" i="1" s="1"/>
  <c r="C1433" i="1"/>
  <c r="D1433" i="1" s="1"/>
  <c r="C1434" i="1"/>
  <c r="D1434" i="1"/>
  <c r="C1435" i="1"/>
  <c r="D1435" i="1" s="1"/>
  <c r="C1436" i="1"/>
  <c r="D1436" i="1" s="1"/>
  <c r="C1437" i="1"/>
  <c r="D1437" i="1" s="1"/>
  <c r="C1438" i="1"/>
  <c r="D1438" i="1" s="1"/>
  <c r="C1439" i="1"/>
  <c r="D1439" i="1" s="1"/>
  <c r="C1440" i="1"/>
  <c r="D1440" i="1"/>
  <c r="C1441" i="1"/>
  <c r="D1441" i="1" s="1"/>
  <c r="C1442" i="1"/>
  <c r="D1442" i="1" s="1"/>
  <c r="C1443" i="1"/>
  <c r="D1443" i="1" s="1"/>
  <c r="C1444" i="1"/>
  <c r="D1444" i="1" s="1"/>
  <c r="C1445" i="1"/>
  <c r="D1445" i="1" s="1"/>
  <c r="C1446" i="1"/>
  <c r="D1446" i="1" s="1"/>
  <c r="C1447" i="1"/>
  <c r="D1447" i="1" s="1"/>
  <c r="C1448" i="1"/>
  <c r="D1448" i="1" s="1"/>
  <c r="C1449" i="1"/>
  <c r="D1449" i="1" s="1"/>
  <c r="C1450" i="1"/>
  <c r="D1450" i="1"/>
  <c r="C1451" i="1"/>
  <c r="D1451" i="1" s="1"/>
  <c r="C1452" i="1"/>
  <c r="D1452" i="1" s="1"/>
  <c r="C1453" i="1"/>
  <c r="D1453" i="1" s="1"/>
  <c r="C1454" i="1"/>
  <c r="D1454" i="1" s="1"/>
  <c r="C1455" i="1"/>
  <c r="D1455" i="1" s="1"/>
  <c r="C1456" i="1"/>
  <c r="D1456" i="1" s="1"/>
  <c r="C1457" i="1"/>
  <c r="D1457" i="1" s="1"/>
  <c r="C1458" i="1"/>
  <c r="D1458" i="1" s="1"/>
  <c r="C1459" i="1"/>
  <c r="D1459" i="1" s="1"/>
  <c r="C1460" i="1"/>
  <c r="D1460" i="1" s="1"/>
  <c r="C1461" i="1"/>
  <c r="D1461" i="1" s="1"/>
  <c r="C1462" i="1"/>
  <c r="D1462" i="1" s="1"/>
  <c r="C1463" i="1"/>
  <c r="D1463" i="1" s="1"/>
  <c r="C1464" i="1"/>
  <c r="D1464" i="1" s="1"/>
  <c r="C1465" i="1"/>
  <c r="D1465" i="1" s="1"/>
  <c r="C1466" i="1"/>
  <c r="D1466" i="1" s="1"/>
  <c r="C1467" i="1"/>
  <c r="D1467" i="1" s="1"/>
  <c r="C1468" i="1"/>
  <c r="D1468" i="1" s="1"/>
  <c r="C1469" i="1"/>
  <c r="D1469" i="1" s="1"/>
  <c r="C1470" i="1"/>
  <c r="D1470" i="1" s="1"/>
  <c r="C1471" i="1"/>
  <c r="D1471" i="1" s="1"/>
  <c r="C1472" i="1"/>
  <c r="D1472" i="1" s="1"/>
  <c r="C1473" i="1"/>
  <c r="D1473" i="1" s="1"/>
  <c r="C1474" i="1"/>
  <c r="D1474" i="1"/>
  <c r="C1475" i="1"/>
  <c r="D1475" i="1" s="1"/>
  <c r="C1476" i="1"/>
  <c r="D1476" i="1" s="1"/>
  <c r="C1477" i="1"/>
  <c r="D1477" i="1" s="1"/>
  <c r="C1478" i="1"/>
  <c r="D1478" i="1" s="1"/>
  <c r="C1479" i="1"/>
  <c r="D1479" i="1" s="1"/>
  <c r="C1480" i="1"/>
  <c r="D1480" i="1" s="1"/>
  <c r="C1481" i="1"/>
  <c r="D1481" i="1" s="1"/>
  <c r="C1482" i="1"/>
  <c r="D1482" i="1" s="1"/>
  <c r="C1483" i="1"/>
  <c r="D1483" i="1" s="1"/>
  <c r="C1484" i="1"/>
  <c r="D1484" i="1" s="1"/>
  <c r="C1485" i="1"/>
  <c r="D1485" i="1" s="1"/>
  <c r="C1486" i="1"/>
  <c r="D1486" i="1" s="1"/>
  <c r="C1487" i="1"/>
  <c r="D1487" i="1" s="1"/>
  <c r="C1488" i="1"/>
  <c r="D1488" i="1"/>
  <c r="C1489" i="1"/>
  <c r="D1489" i="1" s="1"/>
  <c r="C1490" i="1"/>
  <c r="D1490" i="1"/>
  <c r="C1491" i="1"/>
  <c r="D1491" i="1" s="1"/>
  <c r="C1492" i="1"/>
  <c r="D1492" i="1" s="1"/>
  <c r="C1493" i="1"/>
  <c r="D1493" i="1" s="1"/>
  <c r="C1494" i="1"/>
  <c r="D1494" i="1" s="1"/>
  <c r="C1495" i="1"/>
  <c r="D1495" i="1" s="1"/>
  <c r="C1496" i="1"/>
  <c r="D1496" i="1" s="1"/>
  <c r="C1497" i="1"/>
  <c r="D1497" i="1" s="1"/>
  <c r="C1498" i="1"/>
  <c r="D1498" i="1"/>
  <c r="C1499" i="1"/>
  <c r="D1499" i="1" s="1"/>
  <c r="C1500" i="1"/>
  <c r="D1500" i="1" s="1"/>
  <c r="C1501" i="1"/>
  <c r="D1501" i="1" s="1"/>
  <c r="C1502" i="1"/>
  <c r="D1502" i="1" s="1"/>
  <c r="C1503" i="1"/>
  <c r="D1503" i="1" s="1"/>
  <c r="C1504" i="1"/>
  <c r="D1504" i="1"/>
  <c r="C1505" i="1"/>
  <c r="D1505" i="1" s="1"/>
  <c r="C1506" i="1"/>
  <c r="D1506" i="1" s="1"/>
  <c r="C1507" i="1"/>
  <c r="D1507" i="1" s="1"/>
  <c r="C1508" i="1"/>
  <c r="D1508" i="1" s="1"/>
  <c r="C1509" i="1"/>
  <c r="D1509" i="1" s="1"/>
  <c r="C1510" i="1"/>
  <c r="D1510" i="1" s="1"/>
  <c r="C1511" i="1"/>
  <c r="D1511" i="1" s="1"/>
  <c r="C1512" i="1"/>
  <c r="D1512" i="1" s="1"/>
  <c r="C1513" i="1"/>
  <c r="D1513" i="1" s="1"/>
  <c r="C1514" i="1"/>
  <c r="D1514" i="1"/>
  <c r="C1515" i="1"/>
  <c r="D1515" i="1" s="1"/>
  <c r="C1516" i="1"/>
  <c r="D1516" i="1" s="1"/>
  <c r="C1517" i="1"/>
  <c r="D1517" i="1" s="1"/>
  <c r="C1518" i="1"/>
  <c r="D1518" i="1" s="1"/>
  <c r="C1519" i="1"/>
  <c r="D1519" i="1" s="1"/>
  <c r="C1520" i="1"/>
  <c r="D1520" i="1" s="1"/>
  <c r="C1521" i="1"/>
  <c r="D1521" i="1" s="1"/>
  <c r="C1522" i="1"/>
  <c r="D1522" i="1" s="1"/>
  <c r="C1523" i="1"/>
  <c r="D1523" i="1" s="1"/>
  <c r="C1524" i="1"/>
  <c r="D1524" i="1" s="1"/>
  <c r="C1525" i="1"/>
  <c r="D1525" i="1" s="1"/>
  <c r="C1526" i="1"/>
  <c r="D1526" i="1" s="1"/>
  <c r="C1527" i="1"/>
  <c r="D1527" i="1" s="1"/>
  <c r="C1528" i="1"/>
  <c r="D1528" i="1" s="1"/>
  <c r="C1529" i="1"/>
  <c r="D1529" i="1" s="1"/>
  <c r="C1530" i="1"/>
  <c r="D1530" i="1" s="1"/>
  <c r="C1531" i="1"/>
  <c r="D1531" i="1" s="1"/>
  <c r="C1532" i="1"/>
  <c r="D1532" i="1" s="1"/>
  <c r="C1533" i="1"/>
  <c r="D1533" i="1" s="1"/>
  <c r="C1534" i="1"/>
  <c r="D1534" i="1" s="1"/>
  <c r="C1535" i="1"/>
  <c r="D1535" i="1" s="1"/>
  <c r="C1536" i="1"/>
  <c r="D1536" i="1" s="1"/>
  <c r="C1537" i="1"/>
  <c r="D1537" i="1" s="1"/>
  <c r="C1538" i="1"/>
  <c r="D1538" i="1"/>
  <c r="C1539" i="1"/>
  <c r="D1539" i="1" s="1"/>
  <c r="C1540" i="1"/>
  <c r="D1540" i="1" s="1"/>
  <c r="C1541" i="1"/>
  <c r="D1541" i="1" s="1"/>
  <c r="C1542" i="1"/>
  <c r="D1542" i="1" s="1"/>
  <c r="C1543" i="1"/>
  <c r="D1543" i="1" s="1"/>
  <c r="C1544" i="1"/>
  <c r="D1544" i="1" s="1"/>
  <c r="C1545" i="1"/>
  <c r="D1545" i="1" s="1"/>
  <c r="C1546" i="1"/>
  <c r="D1546" i="1" s="1"/>
  <c r="C1547" i="1"/>
  <c r="D1547" i="1" s="1"/>
  <c r="C1548" i="1"/>
  <c r="D1548" i="1" s="1"/>
  <c r="C1549" i="1"/>
  <c r="D1549" i="1" s="1"/>
  <c r="C1550" i="1"/>
  <c r="D1550" i="1" s="1"/>
  <c r="C1551" i="1"/>
  <c r="D1551" i="1" s="1"/>
  <c r="C1552" i="1"/>
  <c r="D1552" i="1"/>
  <c r="C1553" i="1"/>
  <c r="D1553" i="1" s="1"/>
  <c r="C1554" i="1"/>
  <c r="D1554" i="1"/>
  <c r="C1555" i="1"/>
  <c r="D1555" i="1" s="1"/>
  <c r="C1556" i="1"/>
  <c r="D1556" i="1" s="1"/>
  <c r="C1557" i="1"/>
  <c r="D1557" i="1" s="1"/>
  <c r="C1558" i="1"/>
  <c r="D1558" i="1" s="1"/>
  <c r="C1559" i="1"/>
  <c r="D1559" i="1" s="1"/>
  <c r="C1560" i="1"/>
  <c r="D1560" i="1" s="1"/>
  <c r="C1561" i="1"/>
  <c r="D1561" i="1" s="1"/>
  <c r="C1562" i="1"/>
  <c r="D1562" i="1"/>
  <c r="C1563" i="1"/>
  <c r="D1563" i="1" s="1"/>
  <c r="C1564" i="1"/>
  <c r="D1564" i="1" s="1"/>
  <c r="C1565" i="1"/>
  <c r="D1565" i="1" s="1"/>
  <c r="C1566" i="1"/>
  <c r="D1566" i="1" s="1"/>
  <c r="C1567" i="1"/>
  <c r="D1567" i="1" s="1"/>
  <c r="C1568" i="1"/>
  <c r="D1568" i="1"/>
  <c r="C1569" i="1"/>
  <c r="D1569" i="1" s="1"/>
  <c r="C1570" i="1"/>
  <c r="D1570" i="1" s="1"/>
  <c r="C1571" i="1"/>
  <c r="D1571" i="1" s="1"/>
  <c r="C1572" i="1"/>
  <c r="D1572" i="1" s="1"/>
  <c r="C1573" i="1"/>
  <c r="D1573" i="1" s="1"/>
  <c r="C1574" i="1"/>
  <c r="D1574" i="1" s="1"/>
  <c r="C1575" i="1"/>
  <c r="D1575" i="1" s="1"/>
  <c r="C1576" i="1"/>
  <c r="D1576" i="1" s="1"/>
  <c r="C1577" i="1"/>
  <c r="D1577" i="1" s="1"/>
  <c r="C1578" i="1"/>
  <c r="D1578" i="1"/>
  <c r="C1579" i="1"/>
  <c r="D1579" i="1" s="1"/>
  <c r="C1580" i="1"/>
  <c r="D1580" i="1" s="1"/>
  <c r="C1581" i="1"/>
  <c r="D1581" i="1" s="1"/>
  <c r="C1582" i="1"/>
  <c r="D1582" i="1" s="1"/>
  <c r="C1583" i="1"/>
  <c r="D1583" i="1" s="1"/>
  <c r="C1584" i="1"/>
  <c r="D1584" i="1" s="1"/>
  <c r="C1585" i="1"/>
  <c r="D1585" i="1" s="1"/>
  <c r="C1586" i="1"/>
  <c r="D1586" i="1" s="1"/>
  <c r="C1587" i="1"/>
  <c r="D1587" i="1" s="1"/>
  <c r="C1588" i="1"/>
  <c r="D1588" i="1" s="1"/>
  <c r="C1589" i="1"/>
  <c r="D1589" i="1" s="1"/>
  <c r="C1590" i="1"/>
  <c r="D1590" i="1" s="1"/>
  <c r="C1591" i="1"/>
  <c r="D1591" i="1" s="1"/>
  <c r="C1592" i="1"/>
  <c r="D1592" i="1" s="1"/>
  <c r="C1593" i="1"/>
  <c r="D1593" i="1" s="1"/>
  <c r="C1594" i="1"/>
  <c r="D1594" i="1" s="1"/>
  <c r="C1595" i="1"/>
  <c r="D1595" i="1" s="1"/>
  <c r="C1596" i="1"/>
  <c r="D1596" i="1" s="1"/>
  <c r="C1597" i="1"/>
  <c r="D1597" i="1" s="1"/>
  <c r="C1598" i="1"/>
  <c r="D1598" i="1" s="1"/>
  <c r="C1599" i="1"/>
  <c r="D1599" i="1" s="1"/>
  <c r="C1600" i="1"/>
  <c r="D1600" i="1" s="1"/>
  <c r="C1601" i="1"/>
  <c r="D1601" i="1" s="1"/>
  <c r="C1602" i="1"/>
  <c r="D1602" i="1"/>
  <c r="C1603" i="1"/>
  <c r="D1603" i="1" s="1"/>
  <c r="C1604" i="1"/>
  <c r="D1604" i="1" s="1"/>
  <c r="C1605" i="1"/>
  <c r="D1605" i="1" s="1"/>
  <c r="C1606" i="1"/>
  <c r="D1606" i="1" s="1"/>
  <c r="C1607" i="1"/>
  <c r="D1607" i="1" s="1"/>
  <c r="C1608" i="1"/>
  <c r="D1608" i="1" s="1"/>
  <c r="C1609" i="1"/>
  <c r="D1609" i="1" s="1"/>
  <c r="C1610" i="1"/>
  <c r="D1610" i="1" s="1"/>
  <c r="C1611" i="1"/>
  <c r="D1611" i="1" s="1"/>
  <c r="C1612" i="1"/>
  <c r="D1612" i="1" s="1"/>
  <c r="C1613" i="1"/>
  <c r="D1613" i="1" s="1"/>
  <c r="C1614" i="1"/>
  <c r="D1614" i="1" s="1"/>
  <c r="C1615" i="1"/>
  <c r="D1615" i="1" s="1"/>
  <c r="C1616" i="1"/>
  <c r="D1616" i="1"/>
  <c r="C1617" i="1"/>
  <c r="D1617" i="1" s="1"/>
  <c r="C1618" i="1"/>
  <c r="D1618" i="1"/>
  <c r="C1619" i="1"/>
  <c r="D1619" i="1" s="1"/>
  <c r="C1620" i="1"/>
  <c r="D1620" i="1" s="1"/>
  <c r="C1621" i="1"/>
  <c r="D1621" i="1" s="1"/>
  <c r="C1622" i="1"/>
  <c r="D1622" i="1" s="1"/>
  <c r="C1623" i="1"/>
  <c r="D1623" i="1" s="1"/>
  <c r="C1624" i="1"/>
  <c r="D1624" i="1" s="1"/>
  <c r="C1625" i="1"/>
  <c r="D1625" i="1" s="1"/>
  <c r="C1626" i="1"/>
  <c r="D1626" i="1"/>
  <c r="C1627" i="1"/>
  <c r="D1627" i="1" s="1"/>
  <c r="C1628" i="1"/>
  <c r="D1628" i="1" s="1"/>
  <c r="C1629" i="1"/>
  <c r="D1629" i="1" s="1"/>
  <c r="C1630" i="1"/>
  <c r="D1630" i="1" s="1"/>
  <c r="C1631" i="1"/>
  <c r="D1631" i="1" s="1"/>
  <c r="C1632" i="1"/>
  <c r="D1632" i="1"/>
  <c r="C1633" i="1"/>
  <c r="D1633" i="1" s="1"/>
  <c r="C1634" i="1"/>
  <c r="D1634" i="1" s="1"/>
  <c r="C1635" i="1"/>
  <c r="D1635" i="1" s="1"/>
  <c r="C1636" i="1"/>
  <c r="D1636" i="1" s="1"/>
  <c r="C1637" i="1"/>
  <c r="D1637" i="1" s="1"/>
  <c r="C1638" i="1"/>
  <c r="D1638" i="1" s="1"/>
  <c r="C1639" i="1"/>
  <c r="D1639" i="1" s="1"/>
  <c r="C1640" i="1"/>
  <c r="D1640" i="1" s="1"/>
  <c r="C1641" i="1"/>
  <c r="D1641" i="1" s="1"/>
  <c r="C1642" i="1"/>
  <c r="D1642" i="1"/>
  <c r="C1643" i="1"/>
  <c r="D1643" i="1" s="1"/>
  <c r="C1644" i="1"/>
  <c r="D1644" i="1" s="1"/>
  <c r="C1645" i="1"/>
  <c r="D1645" i="1" s="1"/>
  <c r="C1646" i="1"/>
  <c r="D1646" i="1" s="1"/>
  <c r="C1647" i="1"/>
  <c r="D1647" i="1" s="1"/>
  <c r="C1648" i="1"/>
  <c r="D1648" i="1" s="1"/>
  <c r="C1649" i="1"/>
  <c r="D1649" i="1" s="1"/>
  <c r="C1650" i="1"/>
  <c r="D1650" i="1" s="1"/>
  <c r="C1651" i="1"/>
  <c r="D1651" i="1" s="1"/>
  <c r="C1652" i="1"/>
  <c r="D1652" i="1" s="1"/>
  <c r="C1653" i="1"/>
  <c r="D1653" i="1" s="1"/>
  <c r="C1654" i="1"/>
  <c r="D1654" i="1" s="1"/>
  <c r="C1655" i="1"/>
  <c r="D1655" i="1" s="1"/>
  <c r="C1656" i="1"/>
  <c r="D1656" i="1" s="1"/>
  <c r="C1657" i="1"/>
  <c r="D1657" i="1" s="1"/>
  <c r="C1658" i="1"/>
  <c r="D1658" i="1" s="1"/>
  <c r="C1659" i="1"/>
  <c r="D1659" i="1" s="1"/>
  <c r="C1660" i="1"/>
  <c r="D1660" i="1" s="1"/>
  <c r="C1661" i="1"/>
  <c r="D1661" i="1" s="1"/>
  <c r="C1662" i="1"/>
  <c r="D1662" i="1" s="1"/>
  <c r="C1663" i="1"/>
  <c r="D1663" i="1" s="1"/>
  <c r="C1664" i="1"/>
  <c r="D1664" i="1" s="1"/>
  <c r="C1665" i="1"/>
  <c r="D1665" i="1" s="1"/>
  <c r="C1666" i="1"/>
  <c r="D1666" i="1"/>
  <c r="C1667" i="1"/>
  <c r="D1667" i="1" s="1"/>
  <c r="C1668" i="1"/>
  <c r="D1668" i="1" s="1"/>
  <c r="C1669" i="1"/>
  <c r="D1669" i="1" s="1"/>
  <c r="C1670" i="1"/>
  <c r="D1670" i="1" s="1"/>
  <c r="C1671" i="1"/>
  <c r="D1671" i="1" s="1"/>
  <c r="C1672" i="1"/>
  <c r="D1672" i="1" s="1"/>
  <c r="C1673" i="1"/>
  <c r="D1673" i="1" s="1"/>
  <c r="C1674" i="1"/>
  <c r="D1674" i="1" s="1"/>
  <c r="C1675" i="1"/>
  <c r="D1675" i="1" s="1"/>
  <c r="C1676" i="1"/>
  <c r="D1676" i="1" s="1"/>
  <c r="C1677" i="1"/>
  <c r="D1677" i="1" s="1"/>
  <c r="C1678" i="1"/>
  <c r="D1678" i="1" s="1"/>
  <c r="C1679" i="1"/>
  <c r="D1679" i="1" s="1"/>
  <c r="C1680" i="1"/>
  <c r="D1680" i="1"/>
  <c r="C1681" i="1"/>
  <c r="D1681" i="1" s="1"/>
  <c r="C1682" i="1"/>
  <c r="D1682" i="1"/>
  <c r="C1683" i="1"/>
  <c r="D1683" i="1" s="1"/>
  <c r="C1684" i="1"/>
  <c r="D1684" i="1" s="1"/>
  <c r="C1685" i="1"/>
  <c r="D1685" i="1" s="1"/>
  <c r="C1686" i="1"/>
  <c r="D1686" i="1" s="1"/>
  <c r="C1687" i="1"/>
  <c r="D1687" i="1" s="1"/>
  <c r="C1688" i="1"/>
  <c r="D1688" i="1" s="1"/>
  <c r="C1689" i="1"/>
  <c r="D1689" i="1" s="1"/>
  <c r="C1690" i="1"/>
  <c r="D1690" i="1"/>
  <c r="C1691" i="1"/>
  <c r="D1691" i="1" s="1"/>
  <c r="C1692" i="1"/>
  <c r="D1692" i="1" s="1"/>
  <c r="C1693" i="1"/>
  <c r="D1693" i="1" s="1"/>
  <c r="C1694" i="1"/>
  <c r="D1694" i="1" s="1"/>
  <c r="C1695" i="1"/>
  <c r="D1695" i="1" s="1"/>
  <c r="C1696" i="1"/>
  <c r="D1696" i="1"/>
  <c r="C1697" i="1"/>
  <c r="D1697" i="1" s="1"/>
  <c r="C1698" i="1"/>
  <c r="D1698" i="1" s="1"/>
  <c r="C1699" i="1"/>
  <c r="D1699" i="1" s="1"/>
  <c r="C1700" i="1"/>
  <c r="D1700" i="1" s="1"/>
  <c r="C1701" i="1"/>
  <c r="D1701" i="1" s="1"/>
  <c r="C1702" i="1"/>
  <c r="D1702" i="1" s="1"/>
  <c r="C1703" i="1"/>
  <c r="D1703" i="1" s="1"/>
  <c r="C1704" i="1"/>
  <c r="D1704" i="1" s="1"/>
  <c r="C1705" i="1"/>
  <c r="D1705" i="1" s="1"/>
  <c r="C1706" i="1"/>
  <c r="D1706" i="1"/>
  <c r="C1707" i="1"/>
  <c r="D1707" i="1" s="1"/>
  <c r="C1708" i="1"/>
  <c r="D1708" i="1" s="1"/>
  <c r="C1709" i="1"/>
  <c r="D1709" i="1" s="1"/>
  <c r="C1710" i="1"/>
  <c r="D1710" i="1" s="1"/>
  <c r="C1711" i="1"/>
  <c r="D1711" i="1" s="1"/>
  <c r="C1712" i="1"/>
  <c r="D1712" i="1" s="1"/>
  <c r="C1713" i="1"/>
  <c r="D1713" i="1" s="1"/>
  <c r="C1714" i="1"/>
  <c r="D1714" i="1" s="1"/>
  <c r="C1715" i="1"/>
  <c r="D1715" i="1" s="1"/>
  <c r="C1716" i="1"/>
  <c r="D1716" i="1" s="1"/>
  <c r="C1717" i="1"/>
  <c r="D1717" i="1" s="1"/>
  <c r="C1718" i="1"/>
  <c r="D1718" i="1" s="1"/>
  <c r="C1719" i="1"/>
  <c r="D1719" i="1" s="1"/>
  <c r="C1720" i="1"/>
  <c r="D1720" i="1" s="1"/>
  <c r="C1721" i="1"/>
  <c r="D1721" i="1" s="1"/>
  <c r="C1722" i="1"/>
  <c r="D1722" i="1" s="1"/>
  <c r="C1723" i="1"/>
  <c r="D1723" i="1" s="1"/>
  <c r="C1724" i="1"/>
  <c r="D1724" i="1" s="1"/>
  <c r="C1725" i="1"/>
  <c r="D1725" i="1" s="1"/>
  <c r="C1726" i="1"/>
  <c r="D1726" i="1" s="1"/>
  <c r="C1727" i="1"/>
  <c r="D1727" i="1" s="1"/>
  <c r="C1728" i="1"/>
  <c r="D1728" i="1" s="1"/>
  <c r="C1729" i="1"/>
  <c r="D1729" i="1" s="1"/>
  <c r="C1730" i="1"/>
  <c r="D1730" i="1"/>
  <c r="C1731" i="1"/>
  <c r="D1731" i="1" s="1"/>
  <c r="C1732" i="1"/>
  <c r="D1732" i="1" s="1"/>
  <c r="C1733" i="1"/>
  <c r="D1733" i="1" s="1"/>
  <c r="C1734" i="1"/>
  <c r="D1734" i="1" s="1"/>
  <c r="C1735" i="1"/>
  <c r="D1735" i="1" s="1"/>
  <c r="C1736" i="1"/>
  <c r="D1736" i="1" s="1"/>
  <c r="C1737" i="1"/>
  <c r="D1737" i="1" s="1"/>
  <c r="C1738" i="1"/>
  <c r="D1738" i="1" s="1"/>
  <c r="C1739" i="1"/>
  <c r="D1739" i="1" s="1"/>
  <c r="C1740" i="1"/>
  <c r="D1740" i="1" s="1"/>
  <c r="C1741" i="1"/>
  <c r="D1741" i="1" s="1"/>
  <c r="C1742" i="1"/>
  <c r="D1742" i="1" s="1"/>
  <c r="C1743" i="1"/>
  <c r="D1743" i="1" s="1"/>
  <c r="C1744" i="1"/>
  <c r="D1744" i="1"/>
  <c r="C1745" i="1"/>
  <c r="D1745" i="1" s="1"/>
  <c r="C1746" i="1"/>
  <c r="D1746" i="1"/>
  <c r="C1747" i="1"/>
  <c r="D1747" i="1" s="1"/>
  <c r="C1748" i="1"/>
  <c r="D1748" i="1" s="1"/>
  <c r="C1749" i="1"/>
  <c r="D1749" i="1" s="1"/>
  <c r="C1750" i="1"/>
  <c r="D1750" i="1" s="1"/>
  <c r="C1751" i="1"/>
  <c r="D1751" i="1" s="1"/>
  <c r="C1752" i="1"/>
  <c r="D1752" i="1" s="1"/>
  <c r="C1753" i="1"/>
  <c r="D1753" i="1" s="1"/>
  <c r="C1754" i="1"/>
  <c r="D1754" i="1"/>
  <c r="C1755" i="1"/>
  <c r="D1755" i="1" s="1"/>
  <c r="C1756" i="1"/>
  <c r="D1756" i="1" s="1"/>
  <c r="C1757" i="1"/>
  <c r="D1757" i="1" s="1"/>
  <c r="C1758" i="1"/>
  <c r="D1758" i="1" s="1"/>
  <c r="C1759" i="1"/>
  <c r="D1759" i="1" s="1"/>
  <c r="C1760" i="1"/>
  <c r="D1760" i="1"/>
  <c r="C1761" i="1"/>
  <c r="D1761" i="1" s="1"/>
  <c r="C1762" i="1"/>
  <c r="D1762" i="1" s="1"/>
  <c r="C1763" i="1"/>
  <c r="D1763" i="1" s="1"/>
  <c r="C1764" i="1"/>
  <c r="D1764" i="1" s="1"/>
  <c r="C1765" i="1"/>
  <c r="D1765" i="1" s="1"/>
  <c r="C1766" i="1"/>
  <c r="D1766" i="1" s="1"/>
  <c r="C1767" i="1"/>
  <c r="D1767" i="1" s="1"/>
  <c r="C1768" i="1"/>
  <c r="D1768" i="1" s="1"/>
  <c r="C1769" i="1"/>
  <c r="D1769" i="1" s="1"/>
  <c r="C1770" i="1"/>
  <c r="D1770" i="1"/>
  <c r="C1771" i="1"/>
  <c r="D1771" i="1" s="1"/>
  <c r="C1772" i="1"/>
  <c r="D1772" i="1" s="1"/>
  <c r="C1773" i="1"/>
  <c r="D1773" i="1" s="1"/>
  <c r="C1774" i="1"/>
  <c r="D1774" i="1" s="1"/>
  <c r="C1775" i="1"/>
  <c r="D1775" i="1" s="1"/>
  <c r="C1776" i="1"/>
  <c r="D1776" i="1" s="1"/>
  <c r="C1777" i="1"/>
  <c r="D1777" i="1" s="1"/>
  <c r="C1778" i="1"/>
  <c r="D1778" i="1" s="1"/>
  <c r="C1779" i="1"/>
  <c r="D1779" i="1" s="1"/>
  <c r="C1780" i="1"/>
  <c r="D1780" i="1" s="1"/>
  <c r="C1781" i="1"/>
  <c r="D1781" i="1" s="1"/>
  <c r="C1782" i="1"/>
  <c r="D1782" i="1" s="1"/>
  <c r="C1783" i="1"/>
  <c r="D1783" i="1" s="1"/>
  <c r="C1784" i="1"/>
  <c r="D1784" i="1" s="1"/>
  <c r="C1785" i="1"/>
  <c r="D1785" i="1" s="1"/>
  <c r="C1786" i="1"/>
  <c r="D1786" i="1" s="1"/>
  <c r="C1787" i="1"/>
  <c r="D1787" i="1" s="1"/>
  <c r="C1788" i="1"/>
  <c r="D1788" i="1" s="1"/>
  <c r="C1789" i="1"/>
  <c r="D1789" i="1" s="1"/>
  <c r="C1790" i="1"/>
  <c r="D1790" i="1" s="1"/>
  <c r="C1791" i="1"/>
  <c r="D1791" i="1" s="1"/>
  <c r="C1792" i="1"/>
  <c r="D1792" i="1" s="1"/>
  <c r="C1793" i="1"/>
  <c r="D1793" i="1" s="1"/>
  <c r="C1794" i="1"/>
  <c r="D1794" i="1"/>
  <c r="C1795" i="1"/>
  <c r="D1795" i="1" s="1"/>
  <c r="C1796" i="1"/>
  <c r="D1796" i="1" s="1"/>
  <c r="C1797" i="1"/>
  <c r="D1797" i="1" s="1"/>
  <c r="C1798" i="1"/>
  <c r="D1798" i="1" s="1"/>
  <c r="C1799" i="1"/>
  <c r="D1799" i="1" s="1"/>
  <c r="C1800" i="1"/>
  <c r="D1800" i="1" s="1"/>
  <c r="C1801" i="1"/>
  <c r="D1801" i="1" s="1"/>
  <c r="C1802" i="1"/>
  <c r="D1802" i="1" s="1"/>
  <c r="C1803" i="1"/>
  <c r="D1803" i="1" s="1"/>
  <c r="C1804" i="1"/>
  <c r="D1804" i="1" s="1"/>
  <c r="C1805" i="1"/>
  <c r="D1805" i="1" s="1"/>
  <c r="C1806" i="1"/>
  <c r="D1806" i="1" s="1"/>
  <c r="C1807" i="1"/>
  <c r="D1807" i="1" s="1"/>
  <c r="C1808" i="1"/>
  <c r="D1808" i="1"/>
  <c r="C1809" i="1"/>
  <c r="D1809" i="1" s="1"/>
  <c r="C1810" i="1"/>
  <c r="D1810" i="1"/>
  <c r="C1811" i="1"/>
  <c r="D1811" i="1" s="1"/>
  <c r="C1812" i="1"/>
  <c r="D1812" i="1" s="1"/>
  <c r="C1813" i="1"/>
  <c r="D1813" i="1" s="1"/>
  <c r="C1814" i="1"/>
  <c r="D1814" i="1" s="1"/>
  <c r="C1815" i="1"/>
  <c r="D1815" i="1" s="1"/>
  <c r="C1816" i="1"/>
  <c r="D1816" i="1" s="1"/>
  <c r="C1817" i="1"/>
  <c r="D1817" i="1" s="1"/>
  <c r="C1818" i="1"/>
  <c r="D1818" i="1"/>
  <c r="C1819" i="1"/>
  <c r="D1819" i="1" s="1"/>
  <c r="C1820" i="1"/>
  <c r="D1820" i="1" s="1"/>
  <c r="C1821" i="1"/>
  <c r="D1821" i="1" s="1"/>
  <c r="C1822" i="1"/>
  <c r="D1822" i="1" s="1"/>
  <c r="C1823" i="1"/>
  <c r="D1823" i="1" s="1"/>
  <c r="C1824" i="1"/>
  <c r="D1824" i="1"/>
  <c r="C1825" i="1"/>
  <c r="D1825" i="1" s="1"/>
  <c r="C1826" i="1"/>
  <c r="D1826" i="1" s="1"/>
  <c r="C1827" i="1"/>
  <c r="D1827" i="1" s="1"/>
  <c r="C1828" i="1"/>
  <c r="D1828" i="1" s="1"/>
  <c r="C1829" i="1"/>
  <c r="D1829" i="1" s="1"/>
  <c r="C1830" i="1"/>
  <c r="D1830" i="1" s="1"/>
  <c r="C1831" i="1"/>
  <c r="D1831" i="1" s="1"/>
  <c r="C1832" i="1"/>
  <c r="D1832" i="1" s="1"/>
  <c r="C1833" i="1"/>
  <c r="D1833" i="1" s="1"/>
  <c r="C1834" i="1"/>
  <c r="D1834" i="1"/>
  <c r="C1835" i="1"/>
  <c r="D1835" i="1" s="1"/>
  <c r="C1836" i="1"/>
  <c r="D1836" i="1" s="1"/>
  <c r="C1837" i="1"/>
  <c r="D1837" i="1" s="1"/>
  <c r="C1838" i="1"/>
  <c r="D1838" i="1" s="1"/>
  <c r="C1839" i="1"/>
  <c r="D1839" i="1" s="1"/>
  <c r="C1840" i="1"/>
  <c r="D1840" i="1"/>
  <c r="C1841" i="1"/>
  <c r="D1841" i="1" s="1"/>
  <c r="C1842" i="1"/>
  <c r="D1842" i="1" s="1"/>
  <c r="C1843" i="1"/>
  <c r="D1843" i="1" s="1"/>
  <c r="C1844" i="1"/>
  <c r="D1844" i="1" s="1"/>
  <c r="C1845" i="1"/>
  <c r="D1845" i="1" s="1"/>
  <c r="C1846" i="1"/>
  <c r="D1846" i="1" s="1"/>
  <c r="C1847" i="1"/>
  <c r="D1847" i="1" s="1"/>
  <c r="C1848" i="1"/>
  <c r="D1848" i="1" s="1"/>
  <c r="C1849" i="1"/>
  <c r="D1849" i="1" s="1"/>
  <c r="C1850" i="1"/>
  <c r="D1850" i="1" s="1"/>
  <c r="C1851" i="1"/>
  <c r="D1851" i="1" s="1"/>
  <c r="C1852" i="1"/>
  <c r="D1852" i="1"/>
  <c r="C1853" i="1"/>
  <c r="D1853" i="1" s="1"/>
  <c r="C1854" i="1"/>
  <c r="D1854" i="1" s="1"/>
  <c r="C1855" i="1"/>
  <c r="D1855" i="1"/>
  <c r="C1856" i="1"/>
  <c r="D1856" i="1" s="1"/>
  <c r="C1857" i="1"/>
  <c r="D1857" i="1"/>
  <c r="C1858" i="1"/>
  <c r="D1858" i="1" s="1"/>
  <c r="C1859" i="1"/>
  <c r="D1859" i="1" s="1"/>
  <c r="C1860" i="1"/>
  <c r="D1860" i="1" s="1"/>
  <c r="C1861" i="1"/>
  <c r="D1861" i="1" s="1"/>
  <c r="C1862" i="1"/>
  <c r="D1862" i="1" s="1"/>
  <c r="C1863" i="1"/>
  <c r="D1863" i="1"/>
  <c r="C1864" i="1"/>
  <c r="D1864" i="1" s="1"/>
  <c r="C1865" i="1"/>
  <c r="D1865" i="1" s="1"/>
  <c r="C1866" i="1"/>
  <c r="D1866" i="1" s="1"/>
  <c r="C1867" i="1"/>
  <c r="D1867" i="1" s="1"/>
  <c r="C1868" i="1"/>
  <c r="D1868" i="1" s="1"/>
  <c r="C1869" i="1"/>
  <c r="D1869" i="1" s="1"/>
  <c r="C1870" i="1"/>
  <c r="D1870" i="1" s="1"/>
  <c r="C1871" i="1"/>
  <c r="D1871" i="1" s="1"/>
  <c r="C1872" i="1"/>
  <c r="D1872" i="1" s="1"/>
  <c r="C1873" i="1"/>
  <c r="D1873" i="1" s="1"/>
  <c r="C1874" i="1"/>
  <c r="D1874" i="1" s="1"/>
  <c r="C1875" i="1"/>
  <c r="D1875" i="1"/>
  <c r="C1876" i="1"/>
  <c r="D1876" i="1" s="1"/>
  <c r="C1877" i="1"/>
  <c r="D1877" i="1" s="1"/>
  <c r="C1878" i="1"/>
  <c r="D1878" i="1" s="1"/>
  <c r="C1879" i="1"/>
  <c r="D1879" i="1" s="1"/>
  <c r="C1880" i="1"/>
  <c r="D1880" i="1" s="1"/>
  <c r="C1881" i="1"/>
  <c r="D1881" i="1"/>
  <c r="C1882" i="1"/>
  <c r="D1882" i="1" s="1"/>
  <c r="C1883" i="1"/>
  <c r="D1883" i="1" s="1"/>
  <c r="C1884" i="1"/>
  <c r="D1884" i="1" s="1"/>
  <c r="C1885" i="1"/>
  <c r="D1885" i="1" s="1"/>
  <c r="C1886" i="1"/>
  <c r="D1886" i="1" s="1"/>
  <c r="C1887" i="1"/>
  <c r="D1887" i="1" s="1"/>
  <c r="C1888" i="1"/>
  <c r="D1888" i="1" s="1"/>
  <c r="C1889" i="1"/>
  <c r="D1889" i="1" s="1"/>
  <c r="C1890" i="1"/>
  <c r="D1890" i="1" s="1"/>
  <c r="C1891" i="1"/>
  <c r="D1891" i="1"/>
  <c r="C1892" i="1"/>
  <c r="D1892" i="1" s="1"/>
  <c r="C1893" i="1"/>
  <c r="D1893" i="1" s="1"/>
  <c r="C1894" i="1"/>
  <c r="D1894" i="1" s="1"/>
  <c r="C1895" i="1"/>
  <c r="D1895" i="1" s="1"/>
  <c r="C1896" i="1"/>
  <c r="D1896" i="1" s="1"/>
  <c r="C1897" i="1"/>
  <c r="D1897" i="1"/>
  <c r="C1898" i="1"/>
  <c r="D1898" i="1" s="1"/>
  <c r="C1899" i="1"/>
  <c r="D1899" i="1"/>
  <c r="C1900" i="1"/>
  <c r="D1900" i="1" s="1"/>
  <c r="C1901" i="1"/>
  <c r="D1901" i="1" s="1"/>
  <c r="C1902" i="1"/>
  <c r="D1902" i="1" s="1"/>
  <c r="C1903" i="1"/>
  <c r="D1903" i="1"/>
  <c r="C1904" i="1"/>
  <c r="D1904" i="1" s="1"/>
  <c r="C1905" i="1"/>
  <c r="D1905" i="1"/>
  <c r="C1906" i="1"/>
  <c r="D1906" i="1" s="1"/>
  <c r="C1907" i="1"/>
  <c r="D1907" i="1" s="1"/>
  <c r="C1908" i="1"/>
  <c r="D1908" i="1" s="1"/>
  <c r="C1909" i="1"/>
  <c r="D1909" i="1" s="1"/>
  <c r="C1910" i="1"/>
  <c r="D1910" i="1" s="1"/>
  <c r="C1911" i="1"/>
  <c r="D1911" i="1" s="1"/>
  <c r="C1912" i="1"/>
  <c r="D1912" i="1" s="1"/>
  <c r="C1913" i="1"/>
  <c r="D1913" i="1" s="1"/>
  <c r="C1914" i="1"/>
  <c r="D1914" i="1" s="1"/>
  <c r="C1915" i="1"/>
  <c r="D1915" i="1"/>
  <c r="C1916" i="1"/>
  <c r="D1916" i="1" s="1"/>
  <c r="C1917" i="1"/>
  <c r="D1917" i="1" s="1"/>
  <c r="C1918" i="1"/>
  <c r="D1918" i="1" s="1"/>
  <c r="C1919" i="1"/>
  <c r="D1919" i="1" s="1"/>
  <c r="C1920" i="1"/>
  <c r="D1920" i="1" s="1"/>
  <c r="C1921" i="1"/>
  <c r="D1921" i="1"/>
  <c r="C1922" i="1"/>
  <c r="D1922" i="1" s="1"/>
  <c r="C1923" i="1"/>
  <c r="D1923" i="1" s="1"/>
  <c r="C1924" i="1"/>
  <c r="D1924" i="1" s="1"/>
  <c r="C1925" i="1"/>
  <c r="D1925" i="1" s="1"/>
  <c r="C1926" i="1"/>
  <c r="D1926" i="1" s="1"/>
  <c r="C1927" i="1"/>
  <c r="D1927" i="1"/>
  <c r="C1928" i="1"/>
  <c r="D1928" i="1" s="1"/>
  <c r="C1929" i="1"/>
  <c r="D1929" i="1" s="1"/>
  <c r="C1930" i="1"/>
  <c r="D1930" i="1" s="1"/>
  <c r="C1931" i="1"/>
  <c r="D1931" i="1" s="1"/>
  <c r="C1932" i="1"/>
  <c r="D1932" i="1" s="1"/>
  <c r="C1933" i="1"/>
  <c r="D1933" i="1" s="1"/>
  <c r="C1934" i="1"/>
  <c r="D1934" i="1" s="1"/>
  <c r="C1935" i="1"/>
  <c r="D1935" i="1" s="1"/>
  <c r="C1936" i="1"/>
  <c r="D1936" i="1" s="1"/>
  <c r="C1937" i="1"/>
  <c r="D1937" i="1" s="1"/>
  <c r="C1938" i="1"/>
  <c r="D1938" i="1" s="1"/>
  <c r="C1939" i="1"/>
  <c r="D1939" i="1"/>
  <c r="C1940" i="1"/>
  <c r="D1940" i="1" s="1"/>
  <c r="C1941" i="1"/>
  <c r="D1941" i="1" s="1"/>
  <c r="C1942" i="1"/>
  <c r="D1942" i="1" s="1"/>
  <c r="C1943" i="1"/>
  <c r="D1943" i="1" s="1"/>
  <c r="C1944" i="1"/>
  <c r="D1944" i="1" s="1"/>
  <c r="C1945" i="1"/>
  <c r="D1945" i="1"/>
  <c r="C1946" i="1"/>
  <c r="D1946" i="1" s="1"/>
  <c r="C1947" i="1"/>
  <c r="D1947" i="1" s="1"/>
  <c r="C1948" i="1"/>
  <c r="D1948" i="1" s="1"/>
  <c r="C1949" i="1"/>
  <c r="D1949" i="1" s="1"/>
  <c r="C1950" i="1"/>
  <c r="D1950" i="1" s="1"/>
  <c r="C1951" i="1"/>
  <c r="D1951" i="1" s="1"/>
  <c r="C1952" i="1"/>
  <c r="D1952" i="1" s="1"/>
  <c r="C1953" i="1"/>
  <c r="D1953" i="1" s="1"/>
  <c r="C1954" i="1"/>
  <c r="D1954" i="1" s="1"/>
  <c r="C1955" i="1"/>
  <c r="D1955" i="1"/>
  <c r="C1956" i="1"/>
  <c r="D1956" i="1" s="1"/>
  <c r="C1957" i="1"/>
  <c r="D1957" i="1" s="1"/>
  <c r="C1958" i="1"/>
  <c r="D1958" i="1" s="1"/>
  <c r="C1959" i="1"/>
  <c r="D1959" i="1" s="1"/>
  <c r="C1960" i="1"/>
  <c r="D1960" i="1" s="1"/>
  <c r="C1961" i="1"/>
  <c r="D1961" i="1"/>
  <c r="C1962" i="1"/>
  <c r="D1962" i="1" s="1"/>
  <c r="C1963" i="1"/>
  <c r="D1963" i="1"/>
  <c r="C1964" i="1"/>
  <c r="D1964" i="1" s="1"/>
  <c r="C1965" i="1"/>
  <c r="D1965" i="1" s="1"/>
  <c r="C1966" i="1"/>
  <c r="D1966" i="1" s="1"/>
  <c r="C1967" i="1"/>
  <c r="D1967" i="1"/>
  <c r="C1968" i="1"/>
  <c r="D1968" i="1" s="1"/>
  <c r="C1969" i="1"/>
  <c r="D1969" i="1"/>
  <c r="C1970" i="1"/>
  <c r="D1970" i="1" s="1"/>
  <c r="C1971" i="1"/>
  <c r="D1971" i="1" s="1"/>
  <c r="C1972" i="1"/>
  <c r="D1972" i="1" s="1"/>
  <c r="C1973" i="1"/>
  <c r="D1973" i="1" s="1"/>
  <c r="C1974" i="1"/>
  <c r="D1974" i="1" s="1"/>
  <c r="C1975" i="1"/>
  <c r="D1975" i="1" s="1"/>
  <c r="C1976" i="1"/>
  <c r="D1976" i="1" s="1"/>
  <c r="C1977" i="1"/>
  <c r="D1977" i="1" s="1"/>
  <c r="C1978" i="1"/>
  <c r="D1978" i="1" s="1"/>
  <c r="C1979" i="1"/>
  <c r="D1979" i="1"/>
  <c r="C1980" i="1"/>
  <c r="D1980" i="1" s="1"/>
  <c r="C1981" i="1"/>
  <c r="D1981" i="1" s="1"/>
  <c r="C1982" i="1"/>
  <c r="D1982" i="1" s="1"/>
  <c r="C1983" i="1"/>
  <c r="D1983" i="1" s="1"/>
  <c r="C1984" i="1"/>
  <c r="D1984" i="1" s="1"/>
  <c r="C1985" i="1"/>
  <c r="D1985" i="1"/>
  <c r="C1986" i="1"/>
  <c r="D1986" i="1" s="1"/>
  <c r="C1987" i="1"/>
  <c r="D1987" i="1" s="1"/>
  <c r="C1988" i="1"/>
  <c r="D1988" i="1" s="1"/>
  <c r="C1989" i="1"/>
  <c r="D1989" i="1" s="1"/>
  <c r="C1990" i="1"/>
  <c r="D1990" i="1" s="1"/>
  <c r="C1991" i="1"/>
  <c r="D1991" i="1"/>
  <c r="C1992" i="1"/>
  <c r="D1992" i="1" s="1"/>
  <c r="C1993" i="1"/>
  <c r="D1993" i="1" s="1"/>
  <c r="C1994" i="1"/>
  <c r="D1994" i="1" s="1"/>
  <c r="C1995" i="1"/>
  <c r="D1995" i="1" s="1"/>
  <c r="C1996" i="1"/>
  <c r="D1996" i="1" s="1"/>
  <c r="C1997" i="1"/>
  <c r="D1997" i="1" s="1"/>
  <c r="C1998" i="1"/>
  <c r="D1998" i="1" s="1"/>
  <c r="C1999" i="1"/>
  <c r="D1999" i="1" s="1"/>
  <c r="C2000" i="1"/>
  <c r="D2000" i="1" s="1"/>
  <c r="C2001" i="1"/>
  <c r="D2001" i="1" s="1"/>
  <c r="C2002" i="1"/>
  <c r="D2002" i="1" s="1"/>
  <c r="C2003" i="1"/>
  <c r="D2003" i="1"/>
  <c r="C2004" i="1"/>
  <c r="D2004" i="1" s="1"/>
  <c r="C2005" i="1"/>
  <c r="D2005" i="1"/>
  <c r="C2006" i="1"/>
  <c r="D2006" i="1" s="1"/>
  <c r="C2007" i="1"/>
  <c r="D2007" i="1" s="1"/>
  <c r="C2008" i="1"/>
  <c r="D2008" i="1" s="1"/>
  <c r="C2009" i="1"/>
  <c r="D2009" i="1" s="1"/>
  <c r="C2010" i="1"/>
  <c r="D2010" i="1" s="1"/>
  <c r="C2011" i="1"/>
  <c r="D2011" i="1"/>
  <c r="C2012" i="1"/>
  <c r="D2012" i="1" s="1"/>
  <c r="C2013" i="1"/>
  <c r="D2013" i="1"/>
  <c r="C2014" i="1"/>
  <c r="D2014" i="1" s="1"/>
  <c r="C2015" i="1"/>
  <c r="D2015" i="1" s="1"/>
  <c r="C2016" i="1"/>
  <c r="D2016" i="1" s="1"/>
  <c r="C2017" i="1"/>
  <c r="D2017" i="1" s="1"/>
  <c r="C2018" i="1"/>
  <c r="D2018" i="1" s="1"/>
  <c r="C2019" i="1"/>
  <c r="D2019" i="1"/>
  <c r="C2020" i="1"/>
  <c r="D2020" i="1" s="1"/>
  <c r="C2021" i="1"/>
  <c r="D2021" i="1"/>
  <c r="C2022" i="1"/>
  <c r="D2022" i="1" s="1"/>
  <c r="C2023" i="1"/>
  <c r="D2023" i="1" s="1"/>
  <c r="C2024" i="1"/>
  <c r="D2024" i="1" s="1"/>
  <c r="C2025" i="1"/>
  <c r="D2025" i="1" s="1"/>
  <c r="C2026" i="1"/>
  <c r="D2026" i="1" s="1"/>
  <c r="C2027" i="1"/>
  <c r="D2027" i="1"/>
  <c r="C2028" i="1"/>
  <c r="D2028" i="1" s="1"/>
  <c r="C2029" i="1"/>
  <c r="D2029" i="1"/>
  <c r="C2030" i="1"/>
  <c r="D2030" i="1" s="1"/>
  <c r="C2031" i="1"/>
  <c r="D2031" i="1" s="1"/>
  <c r="C2032" i="1"/>
  <c r="D2032" i="1" s="1"/>
  <c r="C2033" i="1"/>
  <c r="D2033" i="1" s="1"/>
  <c r="C2034" i="1"/>
  <c r="D2034" i="1" s="1"/>
  <c r="C2035" i="1"/>
  <c r="D2035" i="1"/>
  <c r="C2036" i="1"/>
  <c r="D2036" i="1" s="1"/>
  <c r="C2037" i="1"/>
  <c r="D2037" i="1"/>
  <c r="C2038" i="1"/>
  <c r="D2038" i="1" s="1"/>
  <c r="C2039" i="1"/>
  <c r="D2039" i="1" s="1"/>
  <c r="C2040" i="1"/>
  <c r="D2040" i="1" s="1"/>
  <c r="C2041" i="1"/>
  <c r="D2041" i="1" s="1"/>
  <c r="C2042" i="1"/>
  <c r="D2042" i="1" s="1"/>
  <c r="C2043" i="1"/>
  <c r="D2043" i="1"/>
  <c r="C2044" i="1"/>
  <c r="D2044" i="1" s="1"/>
  <c r="C2045" i="1"/>
  <c r="D2045" i="1"/>
  <c r="C2046" i="1"/>
  <c r="D2046" i="1" s="1"/>
  <c r="C2047" i="1"/>
  <c r="D2047" i="1" s="1"/>
  <c r="C2048" i="1"/>
  <c r="D2048" i="1" s="1"/>
  <c r="C2049" i="1"/>
  <c r="D2049" i="1" s="1"/>
  <c r="C2050" i="1"/>
  <c r="D2050" i="1" s="1"/>
  <c r="C2051" i="1"/>
  <c r="D2051" i="1"/>
  <c r="C2052" i="1"/>
  <c r="D2052" i="1" s="1"/>
  <c r="C2053" i="1"/>
  <c r="D2053" i="1"/>
  <c r="C2054" i="1"/>
  <c r="D2054" i="1" s="1"/>
  <c r="C2055" i="1"/>
  <c r="D2055" i="1" s="1"/>
  <c r="C2056" i="1"/>
  <c r="D2056" i="1" s="1"/>
  <c r="C2057" i="1"/>
  <c r="D2057" i="1" s="1"/>
  <c r="C2058" i="1"/>
  <c r="D2058" i="1" s="1"/>
  <c r="C2059" i="1"/>
  <c r="D2059" i="1"/>
  <c r="C2060" i="1"/>
  <c r="D2060" i="1" s="1"/>
  <c r="C2061" i="1"/>
  <c r="D2061" i="1"/>
  <c r="C2062" i="1"/>
  <c r="D2062" i="1" s="1"/>
  <c r="C2063" i="1"/>
  <c r="D2063" i="1" s="1"/>
  <c r="C2064" i="1"/>
  <c r="D2064" i="1" s="1"/>
  <c r="C2065" i="1"/>
  <c r="D2065" i="1" s="1"/>
  <c r="C2066" i="1"/>
  <c r="D2066" i="1" s="1"/>
  <c r="C2067" i="1"/>
  <c r="D2067" i="1"/>
  <c r="C2068" i="1"/>
  <c r="D2068" i="1" s="1"/>
  <c r="C2069" i="1"/>
  <c r="D2069" i="1"/>
  <c r="C2070" i="1"/>
  <c r="D2070" i="1" s="1"/>
  <c r="C2071" i="1"/>
  <c r="D2071" i="1" s="1"/>
  <c r="C2072" i="1"/>
  <c r="D2072" i="1" s="1"/>
  <c r="C2073" i="1"/>
  <c r="D2073" i="1" s="1"/>
  <c r="C2074" i="1"/>
  <c r="D2074" i="1" s="1"/>
  <c r="C2075" i="1"/>
  <c r="D2075" i="1" s="1"/>
  <c r="C2076" i="1"/>
  <c r="D2076" i="1" s="1"/>
  <c r="C2077" i="1"/>
  <c r="D2077" i="1" s="1"/>
  <c r="C2078" i="1"/>
  <c r="D2078" i="1" s="1"/>
  <c r="C2079" i="1"/>
  <c r="D2079" i="1" s="1"/>
  <c r="C2080" i="1"/>
  <c r="D2080" i="1" s="1"/>
  <c r="C2081" i="1"/>
  <c r="D2081" i="1"/>
  <c r="C2082" i="1"/>
  <c r="D2082" i="1" s="1"/>
  <c r="C2083" i="1"/>
  <c r="D2083" i="1" s="1"/>
  <c r="C2084" i="1"/>
  <c r="D2084" i="1" s="1"/>
  <c r="C2085" i="1"/>
  <c r="D2085" i="1" s="1"/>
  <c r="C2086" i="1"/>
  <c r="D2086" i="1" s="1"/>
  <c r="C2087" i="1"/>
  <c r="D2087" i="1"/>
  <c r="C2088" i="1"/>
  <c r="D2088" i="1" s="1"/>
  <c r="C2089" i="1"/>
  <c r="D2089" i="1" s="1"/>
  <c r="C2090" i="1"/>
  <c r="D2090" i="1" s="1"/>
  <c r="C2091" i="1"/>
  <c r="D2091" i="1" s="1"/>
  <c r="C2092" i="1"/>
  <c r="D2092" i="1" s="1"/>
  <c r="C2093" i="1"/>
  <c r="D2093" i="1"/>
  <c r="C2094" i="1"/>
  <c r="D2094" i="1" s="1"/>
  <c r="C2095" i="1"/>
  <c r="D2095" i="1" s="1"/>
  <c r="C2096" i="1"/>
  <c r="D2096" i="1" s="1"/>
  <c r="C2097" i="1"/>
  <c r="D2097" i="1" s="1"/>
  <c r="C2098" i="1"/>
  <c r="D2098" i="1" s="1"/>
  <c r="C2099" i="1"/>
  <c r="D2099" i="1" s="1"/>
  <c r="C2100" i="1"/>
  <c r="D2100" i="1" s="1"/>
  <c r="C2101" i="1"/>
  <c r="D2101" i="1" s="1"/>
  <c r="C2102" i="1"/>
  <c r="D2102" i="1" s="1"/>
  <c r="C2103" i="1"/>
  <c r="D2103" i="1"/>
  <c r="C2104" i="1"/>
  <c r="D2104" i="1" s="1"/>
  <c r="C2105" i="1"/>
  <c r="D2105" i="1" s="1"/>
  <c r="C2106" i="1"/>
  <c r="D2106" i="1" s="1"/>
  <c r="C2107" i="1"/>
  <c r="D2107" i="1" s="1"/>
  <c r="C2108" i="1"/>
  <c r="D2108" i="1" s="1"/>
  <c r="C2109" i="1"/>
  <c r="D2109" i="1"/>
  <c r="C2110" i="1"/>
  <c r="D2110" i="1" s="1"/>
  <c r="C2111" i="1"/>
  <c r="D2111" i="1" s="1"/>
  <c r="C2112" i="1"/>
  <c r="D2112" i="1" s="1"/>
  <c r="C2113" i="1"/>
  <c r="D2113" i="1" s="1"/>
  <c r="C2114" i="1"/>
  <c r="D2114" i="1" s="1"/>
  <c r="C2115" i="1"/>
  <c r="D2115" i="1" s="1"/>
  <c r="C2116" i="1"/>
  <c r="D2116" i="1" s="1"/>
  <c r="C2117" i="1"/>
  <c r="D2117" i="1" s="1"/>
  <c r="C2118" i="1"/>
  <c r="D2118" i="1" s="1"/>
  <c r="C2119" i="1"/>
  <c r="D2119" i="1"/>
  <c r="C2120" i="1"/>
  <c r="D2120" i="1" s="1"/>
  <c r="C2121" i="1"/>
  <c r="D2121" i="1" s="1"/>
  <c r="C2122" i="1"/>
  <c r="D2122" i="1" s="1"/>
  <c r="C2123" i="1"/>
  <c r="D2123" i="1" s="1"/>
  <c r="C2124" i="1"/>
  <c r="D2124" i="1" s="1"/>
  <c r="C2125" i="1"/>
  <c r="D2125" i="1"/>
  <c r="C2126" i="1"/>
  <c r="D2126" i="1" s="1"/>
  <c r="C2127" i="1"/>
  <c r="D2127" i="1" s="1"/>
  <c r="C2128" i="1"/>
  <c r="D2128" i="1" s="1"/>
  <c r="C2129" i="1"/>
  <c r="D2129" i="1" s="1"/>
  <c r="C2130" i="1"/>
  <c r="D2130" i="1" s="1"/>
  <c r="C2131" i="1"/>
  <c r="D2131" i="1" s="1"/>
  <c r="C2132" i="1"/>
  <c r="D2132" i="1" s="1"/>
  <c r="C2133" i="1"/>
  <c r="D2133" i="1" s="1"/>
  <c r="C2134" i="1"/>
  <c r="D2134" i="1" s="1"/>
  <c r="C2135" i="1"/>
  <c r="D2135" i="1"/>
  <c r="C2136" i="1"/>
  <c r="D2136" i="1" s="1"/>
  <c r="C2137" i="1"/>
  <c r="D2137" i="1" s="1"/>
  <c r="C2138" i="1"/>
  <c r="D2138" i="1" s="1"/>
  <c r="C2139" i="1"/>
  <c r="D2139" i="1" s="1"/>
  <c r="C2140" i="1"/>
  <c r="D2140" i="1" s="1"/>
  <c r="C2141" i="1"/>
  <c r="D2141" i="1"/>
  <c r="C2142" i="1"/>
  <c r="D2142" i="1" s="1"/>
  <c r="C2143" i="1"/>
  <c r="D2143" i="1" s="1"/>
  <c r="C2144" i="1"/>
  <c r="D2144" i="1" s="1"/>
  <c r="C2145" i="1"/>
  <c r="D2145" i="1" s="1"/>
  <c r="C2146" i="1"/>
  <c r="D2146" i="1" s="1"/>
  <c r="C2147" i="1"/>
  <c r="D2147" i="1" s="1"/>
  <c r="C2148" i="1"/>
  <c r="D2148" i="1" s="1"/>
  <c r="C2149" i="1"/>
  <c r="D2149" i="1" s="1"/>
  <c r="C2150" i="1"/>
  <c r="D2150" i="1" s="1"/>
  <c r="C2151" i="1"/>
  <c r="D2151" i="1"/>
  <c r="C2152" i="1"/>
  <c r="D2152" i="1" s="1"/>
  <c r="C2153" i="1"/>
  <c r="D2153" i="1" s="1"/>
  <c r="C2154" i="1"/>
  <c r="D2154" i="1" s="1"/>
  <c r="C2155" i="1"/>
  <c r="D2155" i="1" s="1"/>
  <c r="C2156" i="1"/>
  <c r="D2156" i="1" s="1"/>
  <c r="C2157" i="1"/>
  <c r="D2157" i="1"/>
  <c r="C2158" i="1"/>
  <c r="D2158" i="1" s="1"/>
  <c r="C2159" i="1"/>
  <c r="D2159" i="1" s="1"/>
  <c r="C2160" i="1"/>
  <c r="D2160" i="1" s="1"/>
  <c r="C2161" i="1"/>
  <c r="D2161" i="1" s="1"/>
  <c r="C2162" i="1"/>
  <c r="D2162" i="1" s="1"/>
  <c r="C2163" i="1"/>
  <c r="D2163" i="1" s="1"/>
  <c r="C2164" i="1"/>
  <c r="D2164" i="1" s="1"/>
  <c r="C2165" i="1"/>
  <c r="D2165" i="1" s="1"/>
  <c r="C2166" i="1"/>
  <c r="D2166" i="1" s="1"/>
  <c r="C2167" i="1"/>
  <c r="D2167" i="1"/>
  <c r="C2168" i="1"/>
  <c r="D2168" i="1" s="1"/>
  <c r="C2169" i="1"/>
  <c r="D2169" i="1" s="1"/>
  <c r="C2170" i="1"/>
  <c r="D2170" i="1" s="1"/>
  <c r="C2171" i="1"/>
  <c r="D2171" i="1" s="1"/>
  <c r="C2172" i="1"/>
  <c r="D2172" i="1" s="1"/>
  <c r="C2173" i="1"/>
  <c r="D2173" i="1"/>
  <c r="C2174" i="1"/>
  <c r="D2174" i="1" s="1"/>
  <c r="C2175" i="1"/>
  <c r="D2175" i="1" s="1"/>
  <c r="C2176" i="1"/>
  <c r="D2176" i="1" s="1"/>
  <c r="C2177" i="1"/>
  <c r="D2177" i="1" s="1"/>
  <c r="C2178" i="1"/>
  <c r="D2178" i="1" s="1"/>
  <c r="C2179" i="1"/>
  <c r="D2179" i="1" s="1"/>
  <c r="C2180" i="1"/>
  <c r="D2180" i="1" s="1"/>
  <c r="C2181" i="1"/>
  <c r="D2181" i="1" s="1"/>
  <c r="C2182" i="1"/>
  <c r="D2182" i="1" s="1"/>
  <c r="C2183" i="1"/>
  <c r="D2183" i="1"/>
  <c r="C2184" i="1"/>
  <c r="D2184" i="1" s="1"/>
  <c r="C2185" i="1"/>
  <c r="D2185" i="1" s="1"/>
  <c r="C2186" i="1"/>
  <c r="D2186" i="1" s="1"/>
  <c r="C2187" i="1"/>
  <c r="D2187" i="1" s="1"/>
  <c r="C2188" i="1"/>
  <c r="D2188" i="1" s="1"/>
  <c r="C2189" i="1"/>
  <c r="D2189" i="1"/>
  <c r="C2190" i="1"/>
  <c r="D2190" i="1" s="1"/>
  <c r="C2191" i="1"/>
  <c r="D2191" i="1" s="1"/>
  <c r="C2192" i="1"/>
  <c r="D2192" i="1" s="1"/>
  <c r="C2193" i="1"/>
  <c r="D2193" i="1" s="1"/>
  <c r="C2194" i="1"/>
  <c r="D2194" i="1" s="1"/>
  <c r="C2195" i="1"/>
  <c r="D2195" i="1" s="1"/>
  <c r="C2196" i="1"/>
  <c r="D2196" i="1" s="1"/>
  <c r="C2197" i="1"/>
  <c r="D2197" i="1" s="1"/>
  <c r="C2198" i="1"/>
  <c r="D2198" i="1" s="1"/>
  <c r="C2199" i="1"/>
  <c r="D2199" i="1"/>
  <c r="C2200" i="1"/>
  <c r="D2200" i="1" s="1"/>
  <c r="C2201" i="1"/>
  <c r="D2201" i="1" s="1"/>
  <c r="C2202" i="1"/>
  <c r="D2202" i="1" s="1"/>
  <c r="C2203" i="1"/>
  <c r="D2203" i="1" s="1"/>
  <c r="C2204" i="1"/>
  <c r="D2204" i="1" s="1"/>
  <c r="C2205" i="1"/>
  <c r="D2205" i="1"/>
  <c r="C2206" i="1"/>
  <c r="D2206" i="1" s="1"/>
  <c r="C2207" i="1"/>
  <c r="D2207" i="1" s="1"/>
  <c r="C2208" i="1"/>
  <c r="D2208" i="1" s="1"/>
  <c r="C2209" i="1"/>
  <c r="D2209" i="1" s="1"/>
  <c r="C2210" i="1"/>
  <c r="D2210" i="1" s="1"/>
  <c r="C2211" i="1"/>
  <c r="D2211" i="1" s="1"/>
  <c r="C2212" i="1"/>
  <c r="D2212" i="1" s="1"/>
  <c r="C2213" i="1"/>
  <c r="D2213" i="1" s="1"/>
  <c r="C2214" i="1"/>
  <c r="D2214" i="1" s="1"/>
  <c r="C2215" i="1"/>
  <c r="D2215" i="1"/>
  <c r="C2216" i="1"/>
  <c r="D2216" i="1" s="1"/>
  <c r="C2217" i="1"/>
  <c r="D2217" i="1" s="1"/>
  <c r="C2218" i="1"/>
  <c r="D2218" i="1" s="1"/>
  <c r="C2219" i="1"/>
  <c r="D2219" i="1" s="1"/>
  <c r="C2220" i="1"/>
  <c r="D2220" i="1" s="1"/>
  <c r="C2221" i="1"/>
  <c r="D2221" i="1"/>
  <c r="C2222" i="1"/>
  <c r="D2222" i="1" s="1"/>
  <c r="C2223" i="1"/>
  <c r="D2223" i="1" s="1"/>
  <c r="C2224" i="1"/>
  <c r="D2224" i="1" s="1"/>
  <c r="C2225" i="1"/>
  <c r="D2225" i="1" s="1"/>
  <c r="C2226" i="1"/>
  <c r="D2226" i="1" s="1"/>
  <c r="C2227" i="1"/>
  <c r="D2227" i="1" s="1"/>
  <c r="C2228" i="1"/>
  <c r="D2228" i="1" s="1"/>
  <c r="C2229" i="1"/>
  <c r="D2229" i="1" s="1"/>
  <c r="C2230" i="1"/>
  <c r="D2230" i="1" s="1"/>
  <c r="C2231" i="1"/>
  <c r="D2231" i="1"/>
  <c r="C2232" i="1"/>
  <c r="D2232" i="1" s="1"/>
  <c r="C2233" i="1"/>
  <c r="D2233" i="1" s="1"/>
  <c r="C2234" i="1"/>
  <c r="D2234" i="1" s="1"/>
  <c r="C2235" i="1"/>
  <c r="D2235" i="1" s="1"/>
  <c r="C2236" i="1"/>
  <c r="D2236" i="1" s="1"/>
  <c r="C2237" i="1"/>
  <c r="D2237" i="1"/>
  <c r="C2238" i="1"/>
  <c r="D2238" i="1" s="1"/>
  <c r="C2239" i="1"/>
  <c r="D2239" i="1" s="1"/>
  <c r="C2240" i="1"/>
  <c r="D2240" i="1" s="1"/>
  <c r="C2241" i="1"/>
  <c r="D2241" i="1" s="1"/>
  <c r="C2242" i="1"/>
  <c r="D2242" i="1" s="1"/>
  <c r="C2243" i="1"/>
  <c r="D2243" i="1" s="1"/>
  <c r="C2244" i="1"/>
  <c r="D2244" i="1" s="1"/>
  <c r="C2245" i="1"/>
  <c r="D2245" i="1" s="1"/>
  <c r="C2246" i="1"/>
  <c r="D2246" i="1" s="1"/>
  <c r="C2247" i="1"/>
  <c r="D2247" i="1"/>
  <c r="C2248" i="1"/>
  <c r="D2248" i="1" s="1"/>
  <c r="C2249" i="1"/>
  <c r="D2249" i="1" s="1"/>
  <c r="C2250" i="1"/>
  <c r="D2250" i="1" s="1"/>
  <c r="C2251" i="1"/>
  <c r="D2251" i="1" s="1"/>
  <c r="C2252" i="1"/>
  <c r="D2252" i="1" s="1"/>
  <c r="C2253" i="1"/>
  <c r="D2253" i="1"/>
  <c r="C2254" i="1"/>
  <c r="D2254" i="1" s="1"/>
  <c r="C2255" i="1"/>
  <c r="D2255" i="1" s="1"/>
  <c r="C2256" i="1"/>
  <c r="D2256" i="1" s="1"/>
  <c r="C2257" i="1"/>
  <c r="D2257" i="1" s="1"/>
  <c r="C2258" i="1"/>
  <c r="D2258" i="1" s="1"/>
  <c r="C2259" i="1"/>
  <c r="D2259" i="1" s="1"/>
  <c r="C2260" i="1"/>
  <c r="D2260" i="1" s="1"/>
  <c r="C2261" i="1"/>
  <c r="D2261" i="1" s="1"/>
  <c r="C2262" i="1"/>
  <c r="D2262" i="1" s="1"/>
  <c r="C2263" i="1"/>
  <c r="D2263" i="1"/>
  <c r="C2264" i="1"/>
  <c r="D2264" i="1" s="1"/>
  <c r="C2265" i="1"/>
  <c r="D2265" i="1" s="1"/>
  <c r="C2266" i="1"/>
  <c r="D2266" i="1" s="1"/>
  <c r="C2267" i="1"/>
  <c r="D2267" i="1" s="1"/>
  <c r="C2268" i="1"/>
  <c r="D2268" i="1" s="1"/>
  <c r="C2269" i="1"/>
  <c r="D2269" i="1"/>
  <c r="C2270" i="1"/>
  <c r="D2270" i="1" s="1"/>
  <c r="C2271" i="1"/>
  <c r="D2271" i="1" s="1"/>
  <c r="C2272" i="1"/>
  <c r="D2272" i="1" s="1"/>
  <c r="C2273" i="1"/>
  <c r="D2273" i="1" s="1"/>
  <c r="C2274" i="1"/>
  <c r="D2274" i="1" s="1"/>
  <c r="C2275" i="1"/>
  <c r="D2275" i="1" s="1"/>
  <c r="C2276" i="1"/>
  <c r="D2276" i="1" s="1"/>
  <c r="C2277" i="1"/>
  <c r="D2277" i="1" s="1"/>
  <c r="C2278" i="1"/>
  <c r="D2278" i="1" s="1"/>
  <c r="C2279" i="1"/>
  <c r="D2279" i="1"/>
  <c r="C2280" i="1"/>
  <c r="D2280" i="1" s="1"/>
  <c r="C2281" i="1"/>
  <c r="D2281" i="1" s="1"/>
  <c r="C2282" i="1"/>
  <c r="D2282" i="1" s="1"/>
  <c r="C2283" i="1"/>
  <c r="D2283" i="1" s="1"/>
  <c r="C2284" i="1"/>
  <c r="D2284" i="1" s="1"/>
  <c r="C2285" i="1"/>
  <c r="D2285" i="1"/>
  <c r="C2286" i="1"/>
  <c r="D2286" i="1" s="1"/>
  <c r="C2287" i="1"/>
  <c r="D2287" i="1" s="1"/>
  <c r="C2288" i="1"/>
  <c r="D2288" i="1" s="1"/>
  <c r="C2289" i="1"/>
  <c r="D2289" i="1" s="1"/>
  <c r="C2290" i="1"/>
  <c r="D2290" i="1" s="1"/>
  <c r="C2291" i="1"/>
  <c r="D2291" i="1" s="1"/>
  <c r="C2292" i="1"/>
  <c r="D2292" i="1" s="1"/>
  <c r="C2293" i="1"/>
  <c r="D2293" i="1" s="1"/>
  <c r="C2294" i="1"/>
  <c r="D2294" i="1" s="1"/>
  <c r="C2295" i="1"/>
  <c r="D2295" i="1"/>
  <c r="C2296" i="1"/>
  <c r="D2296" i="1" s="1"/>
  <c r="C2297" i="1"/>
  <c r="D2297" i="1" s="1"/>
  <c r="C2298" i="1"/>
  <c r="D2298" i="1" s="1"/>
  <c r="C2299" i="1"/>
  <c r="D2299" i="1" s="1"/>
  <c r="C2300" i="1"/>
  <c r="D2300" i="1" s="1"/>
  <c r="C2301" i="1"/>
  <c r="D2301" i="1"/>
  <c r="C2302" i="1"/>
  <c r="D2302" i="1" s="1"/>
  <c r="C2303" i="1"/>
  <c r="D2303" i="1" s="1"/>
  <c r="C2304" i="1"/>
  <c r="D2304" i="1" s="1"/>
  <c r="C2305" i="1"/>
  <c r="D2305" i="1" s="1"/>
  <c r="C2306" i="1"/>
  <c r="D2306" i="1" s="1"/>
  <c r="C2307" i="1"/>
  <c r="D2307" i="1" s="1"/>
  <c r="C2308" i="1"/>
  <c r="D2308" i="1" s="1"/>
  <c r="C2309" i="1"/>
  <c r="D2309" i="1" s="1"/>
  <c r="C2310" i="1"/>
  <c r="D2310" i="1" s="1"/>
  <c r="C2311" i="1"/>
  <c r="D2311" i="1"/>
  <c r="C2312" i="1"/>
  <c r="D2312" i="1" s="1"/>
  <c r="C2313" i="1"/>
  <c r="D2313" i="1" s="1"/>
  <c r="C2314" i="1"/>
  <c r="D2314" i="1" s="1"/>
  <c r="C2315" i="1"/>
  <c r="D2315" i="1" s="1"/>
  <c r="C2316" i="1"/>
  <c r="D2316" i="1" s="1"/>
  <c r="C2317" i="1"/>
  <c r="D2317" i="1"/>
  <c r="C2318" i="1"/>
  <c r="D2318" i="1" s="1"/>
  <c r="C2319" i="1"/>
  <c r="D2319" i="1" s="1"/>
  <c r="C2320" i="1"/>
  <c r="D2320" i="1" s="1"/>
  <c r="C2321" i="1"/>
  <c r="D2321" i="1" s="1"/>
  <c r="C2322" i="1"/>
  <c r="D2322" i="1" s="1"/>
  <c r="C2323" i="1"/>
  <c r="D2323" i="1" s="1"/>
  <c r="C2324" i="1"/>
  <c r="D2324" i="1" s="1"/>
  <c r="C2325" i="1"/>
  <c r="D2325" i="1" s="1"/>
  <c r="C2326" i="1"/>
  <c r="D2326" i="1" s="1"/>
  <c r="C2327" i="1"/>
  <c r="D2327" i="1"/>
  <c r="C2328" i="1"/>
  <c r="D2328" i="1" s="1"/>
  <c r="C2329" i="1"/>
  <c r="D2329" i="1" s="1"/>
  <c r="C2330" i="1"/>
  <c r="D2330" i="1" s="1"/>
  <c r="C2331" i="1"/>
  <c r="D2331" i="1" s="1"/>
  <c r="C2332" i="1"/>
  <c r="D2332" i="1" s="1"/>
  <c r="C2333" i="1"/>
  <c r="D2333" i="1"/>
  <c r="C2334" i="1"/>
  <c r="D2334" i="1" s="1"/>
  <c r="C2335" i="1"/>
  <c r="D2335" i="1" s="1"/>
  <c r="C2336" i="1"/>
  <c r="D2336" i="1" s="1"/>
  <c r="C2337" i="1"/>
  <c r="D2337" i="1" s="1"/>
  <c r="C2338" i="1"/>
  <c r="D2338" i="1" s="1"/>
  <c r="C2339" i="1"/>
  <c r="D2339" i="1" s="1"/>
  <c r="C2340" i="1"/>
  <c r="D2340" i="1" s="1"/>
  <c r="C2341" i="1"/>
  <c r="D2341" i="1" s="1"/>
  <c r="C2342" i="1"/>
  <c r="D2342" i="1" s="1"/>
  <c r="C2343" i="1"/>
  <c r="D2343" i="1"/>
  <c r="C2344" i="1"/>
  <c r="D2344" i="1" s="1"/>
  <c r="C2345" i="1"/>
  <c r="D2345" i="1" s="1"/>
  <c r="C2346" i="1"/>
  <c r="D2346" i="1" s="1"/>
  <c r="C2347" i="1"/>
  <c r="D2347" i="1" s="1"/>
  <c r="C2348" i="1"/>
  <c r="D2348" i="1" s="1"/>
  <c r="C2349" i="1"/>
  <c r="D2349" i="1"/>
  <c r="C2350" i="1"/>
  <c r="D2350" i="1" s="1"/>
  <c r="C2351" i="1"/>
  <c r="D2351" i="1" s="1"/>
  <c r="C2352" i="1"/>
  <c r="D2352" i="1" s="1"/>
  <c r="C2353" i="1"/>
  <c r="D2353" i="1" s="1"/>
  <c r="C2354" i="1"/>
  <c r="D2354" i="1" s="1"/>
  <c r="C2355" i="1"/>
  <c r="D2355" i="1" s="1"/>
  <c r="C2356" i="1"/>
  <c r="D2356" i="1" s="1"/>
  <c r="C2357" i="1"/>
  <c r="D2357" i="1" s="1"/>
  <c r="C2358" i="1"/>
  <c r="D2358" i="1" s="1"/>
  <c r="C2359" i="1"/>
  <c r="D2359" i="1"/>
  <c r="C2360" i="1"/>
  <c r="D2360" i="1" s="1"/>
  <c r="C2361" i="1"/>
  <c r="D2361" i="1" s="1"/>
  <c r="C2362" i="1"/>
  <c r="D2362" i="1" s="1"/>
  <c r="C2363" i="1"/>
  <c r="D2363" i="1" s="1"/>
  <c r="C2364" i="1"/>
  <c r="D2364" i="1" s="1"/>
  <c r="C2365" i="1"/>
  <c r="D2365" i="1"/>
  <c r="C2366" i="1"/>
  <c r="D2366" i="1" s="1"/>
  <c r="C2367" i="1"/>
  <c r="D2367" i="1" s="1"/>
  <c r="C2368" i="1"/>
  <c r="D2368" i="1" s="1"/>
  <c r="C2369" i="1"/>
  <c r="D2369" i="1" s="1"/>
  <c r="C2370" i="1"/>
  <c r="D2370" i="1" s="1"/>
  <c r="C2371" i="1"/>
  <c r="D2371" i="1" s="1"/>
  <c r="C2372" i="1"/>
  <c r="D2372" i="1" s="1"/>
  <c r="C2373" i="1"/>
  <c r="D2373" i="1" s="1"/>
  <c r="C2374" i="1"/>
  <c r="D2374" i="1" s="1"/>
  <c r="C2375" i="1"/>
  <c r="D2375" i="1"/>
  <c r="C2376" i="1"/>
  <c r="D2376" i="1" s="1"/>
  <c r="C2377" i="1"/>
  <c r="D2377" i="1" s="1"/>
  <c r="C2378" i="1"/>
  <c r="D2378" i="1" s="1"/>
  <c r="C2379" i="1"/>
  <c r="D2379" i="1" s="1"/>
  <c r="C2380" i="1"/>
  <c r="D2380" i="1" s="1"/>
  <c r="C2381" i="1"/>
  <c r="D2381" i="1"/>
  <c r="C2382" i="1"/>
  <c r="D2382" i="1" s="1"/>
  <c r="C2383" i="1"/>
  <c r="D2383" i="1" s="1"/>
  <c r="C2384" i="1"/>
  <c r="D2384" i="1" s="1"/>
  <c r="C2385" i="1"/>
  <c r="D2385" i="1" s="1"/>
  <c r="C2386" i="1"/>
  <c r="D2386" i="1" s="1"/>
  <c r="C2387" i="1"/>
  <c r="D2387" i="1" s="1"/>
  <c r="C2388" i="1"/>
  <c r="D2388" i="1" s="1"/>
  <c r="C2389" i="1"/>
  <c r="D2389" i="1" s="1"/>
  <c r="C2390" i="1"/>
  <c r="D2390" i="1" s="1"/>
  <c r="C2391" i="1"/>
  <c r="D2391" i="1"/>
  <c r="C2392" i="1"/>
  <c r="D2392" i="1" s="1"/>
  <c r="C2393" i="1"/>
  <c r="D2393" i="1" s="1"/>
  <c r="C2394" i="1"/>
  <c r="D2394" i="1" s="1"/>
  <c r="C2395" i="1"/>
  <c r="D2395" i="1" s="1"/>
  <c r="C2396" i="1"/>
  <c r="D2396" i="1" s="1"/>
  <c r="C2397" i="1"/>
  <c r="D2397" i="1"/>
  <c r="C2398" i="1"/>
  <c r="D2398" i="1" s="1"/>
  <c r="C2399" i="1"/>
  <c r="D2399" i="1" s="1"/>
  <c r="C2400" i="1"/>
  <c r="D2400" i="1" s="1"/>
  <c r="C2401" i="1"/>
  <c r="D2401" i="1" s="1"/>
  <c r="C2402" i="1"/>
  <c r="D2402" i="1" s="1"/>
  <c r="C2403" i="1"/>
  <c r="D2403" i="1" s="1"/>
  <c r="C2404" i="1"/>
  <c r="D2404" i="1" s="1"/>
  <c r="C2405" i="1"/>
  <c r="D2405" i="1" s="1"/>
  <c r="C2406" i="1"/>
  <c r="D2406" i="1" s="1"/>
  <c r="C2407" i="1"/>
  <c r="D2407" i="1"/>
  <c r="C2408" i="1"/>
  <c r="D2408" i="1" s="1"/>
  <c r="C2409" i="1"/>
  <c r="D2409" i="1" s="1"/>
  <c r="C2410" i="1"/>
  <c r="D2410" i="1" s="1"/>
  <c r="C2411" i="1"/>
  <c r="D2411" i="1" s="1"/>
  <c r="C2412" i="1"/>
  <c r="D2412" i="1" s="1"/>
  <c r="C2413" i="1"/>
  <c r="D2413" i="1"/>
  <c r="C2414" i="1"/>
  <c r="D2414" i="1" s="1"/>
  <c r="C2415" i="1"/>
  <c r="D2415" i="1" s="1"/>
  <c r="C2416" i="1"/>
  <c r="D2416" i="1" s="1"/>
  <c r="C2417" i="1"/>
  <c r="D2417" i="1" s="1"/>
  <c r="C2418" i="1"/>
  <c r="D2418" i="1" s="1"/>
  <c r="C2419" i="1"/>
  <c r="D2419" i="1" s="1"/>
  <c r="C2420" i="1"/>
  <c r="D2420" i="1" s="1"/>
  <c r="C2421" i="1"/>
  <c r="D2421" i="1" s="1"/>
  <c r="C2422" i="1"/>
  <c r="D2422" i="1" s="1"/>
  <c r="C2423" i="1"/>
  <c r="D2423" i="1"/>
  <c r="C2424" i="1"/>
  <c r="D2424" i="1" s="1"/>
  <c r="C2425" i="1"/>
  <c r="D2425" i="1" s="1"/>
  <c r="C2426" i="1"/>
  <c r="D2426" i="1" s="1"/>
  <c r="C2427" i="1"/>
  <c r="D2427" i="1" s="1"/>
  <c r="C2428" i="1"/>
  <c r="D2428" i="1" s="1"/>
  <c r="C2429" i="1"/>
  <c r="D2429" i="1"/>
  <c r="C2430" i="1"/>
  <c r="D2430" i="1" s="1"/>
  <c r="C2431" i="1"/>
  <c r="D2431" i="1" s="1"/>
  <c r="C2432" i="1"/>
  <c r="D2432" i="1" s="1"/>
  <c r="C2433" i="1"/>
  <c r="D2433" i="1" s="1"/>
  <c r="C2434" i="1"/>
  <c r="D2434" i="1" s="1"/>
  <c r="C2435" i="1"/>
  <c r="D2435" i="1" s="1"/>
  <c r="C2436" i="1"/>
  <c r="D2436" i="1" s="1"/>
  <c r="C2437" i="1"/>
  <c r="D2437" i="1" s="1"/>
  <c r="C2438" i="1"/>
  <c r="D2438" i="1" s="1"/>
  <c r="C2439" i="1"/>
  <c r="D2439" i="1"/>
  <c r="C2440" i="1"/>
  <c r="D2440" i="1" s="1"/>
  <c r="C2441" i="1"/>
  <c r="D2441" i="1" s="1"/>
  <c r="C2442" i="1"/>
  <c r="D2442" i="1" s="1"/>
  <c r="C2443" i="1"/>
  <c r="D2443" i="1" s="1"/>
  <c r="C2444" i="1"/>
  <c r="D2444" i="1" s="1"/>
  <c r="C2445" i="1"/>
  <c r="D2445" i="1"/>
  <c r="C2446" i="1"/>
  <c r="D2446" i="1" s="1"/>
  <c r="C2447" i="1"/>
  <c r="D2447" i="1" s="1"/>
  <c r="C2448" i="1"/>
  <c r="D2448" i="1" s="1"/>
  <c r="C2449" i="1"/>
  <c r="D2449" i="1" s="1"/>
  <c r="C2450" i="1"/>
  <c r="D2450" i="1" s="1"/>
  <c r="C2451" i="1"/>
  <c r="D2451" i="1" s="1"/>
  <c r="C2452" i="1"/>
  <c r="D2452" i="1" s="1"/>
  <c r="C2453" i="1"/>
  <c r="D2453" i="1" s="1"/>
  <c r="C2454" i="1"/>
  <c r="D2454" i="1" s="1"/>
  <c r="C2455" i="1"/>
  <c r="D2455" i="1"/>
  <c r="C2456" i="1"/>
  <c r="D2456" i="1" s="1"/>
  <c r="C2457" i="1"/>
  <c r="D2457" i="1" s="1"/>
  <c r="C2458" i="1"/>
  <c r="D2458" i="1" s="1"/>
  <c r="C2459" i="1"/>
  <c r="D2459" i="1" s="1"/>
  <c r="C2460" i="1"/>
  <c r="D2460" i="1" s="1"/>
  <c r="C2461" i="1"/>
  <c r="D2461" i="1"/>
  <c r="C2462" i="1"/>
  <c r="D2462" i="1" s="1"/>
  <c r="C2463" i="1"/>
  <c r="D2463" i="1" s="1"/>
  <c r="C2464" i="1"/>
  <c r="D2464" i="1" s="1"/>
  <c r="C2465" i="1"/>
  <c r="D2465" i="1" s="1"/>
  <c r="C2466" i="1"/>
  <c r="D2466" i="1" s="1"/>
  <c r="C2467" i="1"/>
  <c r="D2467" i="1" s="1"/>
  <c r="C2468" i="1"/>
  <c r="D2468" i="1" s="1"/>
  <c r="C2469" i="1"/>
  <c r="D2469" i="1"/>
  <c r="C2470" i="1"/>
  <c r="D2470" i="1" s="1"/>
  <c r="C2471" i="1"/>
  <c r="D2471" i="1"/>
  <c r="C2472" i="1"/>
  <c r="D2472" i="1" s="1"/>
  <c r="C2473" i="1"/>
  <c r="D2473" i="1" s="1"/>
  <c r="C2474" i="1"/>
  <c r="D2474" i="1" s="1"/>
  <c r="C2475" i="1"/>
  <c r="D2475" i="1" s="1"/>
  <c r="C2476" i="1"/>
  <c r="D2476" i="1" s="1"/>
  <c r="C2477" i="1"/>
  <c r="D2477" i="1"/>
  <c r="C2478" i="1"/>
  <c r="D2478" i="1" s="1"/>
  <c r="C2479" i="1"/>
  <c r="D2479" i="1" s="1"/>
  <c r="C2480" i="1"/>
  <c r="D2480" i="1" s="1"/>
  <c r="C2481" i="1"/>
  <c r="D2481" i="1" s="1"/>
  <c r="C2482" i="1"/>
  <c r="D2482" i="1" s="1"/>
  <c r="C2483" i="1"/>
  <c r="D2483" i="1" s="1"/>
  <c r="C2484" i="1"/>
  <c r="D2484" i="1" s="1"/>
  <c r="C2485" i="1"/>
  <c r="D2485" i="1" s="1"/>
  <c r="C2486" i="1"/>
  <c r="D2486" i="1" s="1"/>
  <c r="C2487" i="1"/>
  <c r="D2487" i="1"/>
  <c r="C2488" i="1"/>
  <c r="D2488" i="1" s="1"/>
  <c r="C2489" i="1"/>
  <c r="D2489" i="1" s="1"/>
  <c r="C2490" i="1"/>
  <c r="D2490" i="1" s="1"/>
  <c r="C2491" i="1"/>
  <c r="D2491" i="1" s="1"/>
  <c r="C2492" i="1"/>
  <c r="D2492" i="1" s="1"/>
  <c r="C2493" i="1"/>
  <c r="D2493" i="1"/>
  <c r="C2494" i="1"/>
  <c r="D2494" i="1" s="1"/>
  <c r="C2495" i="1"/>
  <c r="D2495" i="1" s="1"/>
  <c r="C2496" i="1"/>
  <c r="D2496" i="1" s="1"/>
  <c r="C2497" i="1"/>
  <c r="D2497" i="1" s="1"/>
  <c r="C2498" i="1"/>
  <c r="D2498" i="1" s="1"/>
  <c r="C2499" i="1"/>
  <c r="D2499" i="1" s="1"/>
  <c r="C2500" i="1"/>
  <c r="D2500" i="1" s="1"/>
  <c r="C2501" i="1"/>
  <c r="D2501" i="1" s="1"/>
  <c r="C2502" i="1"/>
  <c r="D2502" i="1" s="1"/>
  <c r="C2503" i="1"/>
  <c r="D2503" i="1"/>
  <c r="C2504" i="1"/>
  <c r="D2504" i="1" s="1"/>
  <c r="C2505" i="1"/>
  <c r="D2505" i="1" s="1"/>
  <c r="C2506" i="1"/>
  <c r="D2506" i="1" s="1"/>
  <c r="C2507" i="1"/>
  <c r="D2507" i="1" s="1"/>
  <c r="C2508" i="1"/>
  <c r="D2508" i="1" s="1"/>
  <c r="C2509" i="1"/>
  <c r="D2509" i="1"/>
  <c r="C2510" i="1"/>
  <c r="D2510" i="1" s="1"/>
  <c r="C2511" i="1"/>
  <c r="D2511" i="1" s="1"/>
  <c r="C2512" i="1"/>
  <c r="D2512" i="1" s="1"/>
  <c r="C2513" i="1"/>
  <c r="D2513" i="1" s="1"/>
  <c r="C2514" i="1"/>
  <c r="D2514" i="1" s="1"/>
  <c r="C2515" i="1"/>
  <c r="D2515" i="1" s="1"/>
  <c r="C2516" i="1"/>
  <c r="D2516" i="1" s="1"/>
  <c r="C2517" i="1"/>
  <c r="D2517" i="1"/>
  <c r="C2518" i="1"/>
  <c r="D2518" i="1" s="1"/>
  <c r="C2519" i="1"/>
  <c r="D2519" i="1"/>
  <c r="C2520" i="1"/>
  <c r="D2520" i="1" s="1"/>
  <c r="C2521" i="1"/>
  <c r="D2521" i="1" s="1"/>
  <c r="C2522" i="1"/>
  <c r="D2522" i="1" s="1"/>
  <c r="C2523" i="1"/>
  <c r="D2523" i="1" s="1"/>
  <c r="C2524" i="1"/>
  <c r="D2524" i="1" s="1"/>
  <c r="C2525" i="1"/>
  <c r="D2525" i="1"/>
  <c r="C2526" i="1"/>
  <c r="D2526" i="1" s="1"/>
  <c r="C2527" i="1"/>
  <c r="D2527" i="1" s="1"/>
  <c r="C2528" i="1"/>
  <c r="D2528" i="1" s="1"/>
  <c r="C2529" i="1"/>
  <c r="D2529" i="1" s="1"/>
  <c r="C2530" i="1"/>
  <c r="D2530" i="1" s="1"/>
  <c r="C2531" i="1"/>
  <c r="D2531" i="1"/>
  <c r="C2532" i="1"/>
  <c r="D2532" i="1" s="1"/>
  <c r="C2533" i="1"/>
  <c r="D2533" i="1" s="1"/>
  <c r="C2534" i="1"/>
  <c r="D2534" i="1" s="1"/>
  <c r="C2535" i="1"/>
  <c r="D2535" i="1" s="1"/>
  <c r="C2536" i="1"/>
  <c r="D2536" i="1" s="1"/>
  <c r="C2537" i="1"/>
  <c r="D2537" i="1" s="1"/>
  <c r="C2538" i="1"/>
  <c r="D2538" i="1" s="1"/>
  <c r="C2539" i="1"/>
  <c r="D2539" i="1" s="1"/>
  <c r="C2540" i="1"/>
  <c r="D2540" i="1" s="1"/>
  <c r="C2541" i="1"/>
  <c r="D2541" i="1" s="1"/>
  <c r="C2542" i="1"/>
  <c r="D2542" i="1" s="1"/>
  <c r="C2543" i="1"/>
  <c r="D2543" i="1"/>
  <c r="C2544" i="1"/>
  <c r="D2544" i="1" s="1"/>
  <c r="C2545" i="1"/>
  <c r="D2545" i="1" s="1"/>
  <c r="C2546" i="1"/>
  <c r="D2546" i="1" s="1"/>
  <c r="C2547" i="1"/>
  <c r="D2547" i="1" s="1"/>
  <c r="C2548" i="1"/>
  <c r="D2548" i="1" s="1"/>
  <c r="C2549" i="1"/>
  <c r="D2549" i="1"/>
  <c r="C2550" i="1"/>
  <c r="D2550" i="1" s="1"/>
  <c r="C2551" i="1"/>
  <c r="D2551" i="1"/>
  <c r="C2552" i="1"/>
  <c r="D2552" i="1" s="1"/>
  <c r="C2553" i="1"/>
  <c r="D2553" i="1" s="1"/>
  <c r="C2554" i="1"/>
  <c r="D2554" i="1" s="1"/>
  <c r="C2555" i="1"/>
  <c r="D2555" i="1"/>
  <c r="C2556" i="1"/>
  <c r="D2556" i="1" s="1"/>
  <c r="C2557" i="1"/>
  <c r="D2557" i="1"/>
  <c r="C2558" i="1"/>
  <c r="D2558" i="1" s="1"/>
  <c r="C2559" i="1"/>
  <c r="D2559" i="1" s="1"/>
  <c r="C2560" i="1"/>
  <c r="D2560" i="1" s="1"/>
  <c r="C2561" i="1"/>
  <c r="D2561" i="1" s="1"/>
  <c r="C2562" i="1"/>
  <c r="D2562" i="1" s="1"/>
  <c r="C2563" i="1"/>
  <c r="D2563" i="1"/>
  <c r="C2564" i="1"/>
  <c r="D2564" i="1" s="1"/>
  <c r="C2565" i="1"/>
  <c r="D2565" i="1" s="1"/>
  <c r="C2566" i="1"/>
  <c r="D2566" i="1" s="1"/>
  <c r="C2567" i="1"/>
  <c r="D2567" i="1"/>
  <c r="C2568" i="1"/>
  <c r="D2568" i="1" s="1"/>
  <c r="C2569" i="1"/>
  <c r="D2569" i="1" s="1"/>
  <c r="C2570" i="1"/>
  <c r="D2570" i="1" s="1"/>
  <c r="C2571" i="1"/>
  <c r="D2571" i="1" s="1"/>
  <c r="C2572" i="1"/>
  <c r="D2572" i="1" s="1"/>
  <c r="C2573" i="1"/>
  <c r="D2573" i="1" s="1"/>
  <c r="C2574" i="1"/>
  <c r="D2574" i="1" s="1"/>
  <c r="C2575" i="1"/>
  <c r="D2575" i="1"/>
  <c r="C2576" i="1"/>
  <c r="D2576" i="1" s="1"/>
  <c r="C2577" i="1"/>
  <c r="D2577" i="1" s="1"/>
  <c r="C2578" i="1"/>
  <c r="D2578" i="1" s="1"/>
  <c r="C2579" i="1"/>
  <c r="D2579" i="1" s="1"/>
  <c r="C2580" i="1"/>
  <c r="D2580" i="1" s="1"/>
  <c r="C2581" i="1"/>
  <c r="D2581" i="1"/>
  <c r="C2582" i="1"/>
  <c r="D2582" i="1" s="1"/>
  <c r="C2583" i="1"/>
  <c r="D2583" i="1"/>
  <c r="C2584" i="1"/>
  <c r="D2584" i="1" s="1"/>
  <c r="C2585" i="1"/>
  <c r="D2585" i="1" s="1"/>
  <c r="C2586" i="1"/>
  <c r="D2586" i="1" s="1"/>
  <c r="C2587" i="1"/>
  <c r="D2587" i="1"/>
  <c r="C2588" i="1"/>
  <c r="D2588" i="1" s="1"/>
  <c r="C2589" i="1"/>
  <c r="D2589" i="1"/>
  <c r="C2590" i="1"/>
  <c r="D2590" i="1" s="1"/>
  <c r="C2591" i="1"/>
  <c r="D2591" i="1" s="1"/>
  <c r="C2592" i="1"/>
  <c r="D2592" i="1" s="1"/>
  <c r="C2593" i="1"/>
  <c r="D2593" i="1" s="1"/>
  <c r="C2594" i="1"/>
  <c r="D2594" i="1" s="1"/>
  <c r="C2595" i="1"/>
  <c r="D2595" i="1"/>
  <c r="C2596" i="1"/>
  <c r="D2596" i="1" s="1"/>
  <c r="C2597" i="1"/>
  <c r="D2597" i="1" s="1"/>
  <c r="C2598" i="1"/>
  <c r="D2598" i="1" s="1"/>
  <c r="C2599" i="1"/>
  <c r="D2599" i="1"/>
  <c r="C2600" i="1"/>
  <c r="D2600" i="1" s="1"/>
  <c r="C2601" i="1"/>
  <c r="D2601" i="1" s="1"/>
  <c r="C2602" i="1"/>
  <c r="D2602" i="1" s="1"/>
  <c r="C2603" i="1"/>
  <c r="D2603" i="1" s="1"/>
  <c r="C2604" i="1"/>
  <c r="D2604" i="1" s="1"/>
  <c r="C2605" i="1"/>
  <c r="D2605" i="1"/>
  <c r="C2606" i="1"/>
  <c r="D2606" i="1" s="1"/>
  <c r="C2607" i="1"/>
  <c r="D2607" i="1"/>
  <c r="C2608" i="1"/>
  <c r="D2608" i="1" s="1"/>
  <c r="C2609" i="1"/>
  <c r="D2609" i="1" s="1"/>
  <c r="C2610" i="1"/>
  <c r="D2610" i="1" s="1"/>
  <c r="C2611" i="1"/>
  <c r="D2611" i="1"/>
  <c r="C2612" i="1"/>
  <c r="D2612" i="1" s="1"/>
  <c r="C2613" i="1"/>
  <c r="D2613" i="1"/>
  <c r="C2614" i="1"/>
  <c r="D2614" i="1" s="1"/>
  <c r="C2615" i="1"/>
  <c r="D2615" i="1"/>
  <c r="C2616" i="1"/>
  <c r="D2616" i="1" s="1"/>
  <c r="C2617" i="1"/>
  <c r="D2617" i="1" s="1"/>
  <c r="C2618" i="1"/>
  <c r="D2618" i="1" s="1"/>
  <c r="C2619" i="1"/>
  <c r="D2619" i="1"/>
  <c r="C2620" i="1"/>
  <c r="D2620" i="1" s="1"/>
  <c r="C2621" i="1"/>
  <c r="D2621" i="1"/>
  <c r="C2622" i="1"/>
  <c r="D2622" i="1" s="1"/>
  <c r="C2623" i="1"/>
  <c r="D2623" i="1" s="1"/>
  <c r="C2624" i="1"/>
  <c r="D2624" i="1" s="1"/>
  <c r="C2625" i="1"/>
  <c r="D2625" i="1" s="1"/>
  <c r="C2626" i="1"/>
  <c r="D2626" i="1" s="1"/>
  <c r="C2627" i="1"/>
  <c r="D2627" i="1"/>
  <c r="C2628" i="1"/>
  <c r="D2628" i="1" s="1"/>
  <c r="C2629" i="1"/>
  <c r="D2629" i="1" s="1"/>
  <c r="C2630" i="1"/>
  <c r="D2630" i="1" s="1"/>
  <c r="C2631" i="1"/>
  <c r="D2631" i="1" s="1"/>
  <c r="C2632" i="1"/>
  <c r="D2632" i="1" s="1"/>
  <c r="C2633" i="1"/>
  <c r="D2633" i="1" s="1"/>
  <c r="C2634" i="1"/>
  <c r="D2634" i="1" s="1"/>
  <c r="C2635" i="1"/>
  <c r="D2635" i="1" s="1"/>
  <c r="C2636" i="1"/>
  <c r="D2636" i="1" s="1"/>
  <c r="C2637" i="1"/>
  <c r="D2637" i="1"/>
  <c r="C2638" i="1"/>
  <c r="D2638" i="1" s="1"/>
  <c r="C2639" i="1"/>
  <c r="D2639" i="1"/>
  <c r="C2640" i="1"/>
  <c r="D2640" i="1" s="1"/>
  <c r="C2" i="1"/>
  <c r="D2" i="1" s="1"/>
</calcChain>
</file>

<file path=xl/sharedStrings.xml><?xml version="1.0" encoding="utf-8"?>
<sst xmlns="http://schemas.openxmlformats.org/spreadsheetml/2006/main" count="20030" uniqueCount="88">
  <si>
    <t>Date Of Death Year</t>
  </si>
  <si>
    <t>Date Of Death Month</t>
  </si>
  <si>
    <t>Sex</t>
  </si>
  <si>
    <t>Race/Ethnicity</t>
  </si>
  <si>
    <t>AgeGroup</t>
  </si>
  <si>
    <t>AllCause</t>
  </si>
  <si>
    <t>NaturalCause</t>
  </si>
  <si>
    <t>Septicemia (A40-A41)</t>
  </si>
  <si>
    <t>Malignant neoplasms (C00-C97)</t>
  </si>
  <si>
    <t>Diabetes mellitus (E10-E14)</t>
  </si>
  <si>
    <t>Alzheimer disease (G30)</t>
  </si>
  <si>
    <t>Influenza and pneumonia (J09-J18)</t>
  </si>
  <si>
    <t>Chronic lower respiratory diseases (J40-J47)</t>
  </si>
  <si>
    <t>Other diseases of respiratory system (J00-J06,J30-J39,J67,J70-J98)</t>
  </si>
  <si>
    <t>Nephritis, nephrotic syndrome and nephrosis (N00-N07,N17-N19,N25-N27)</t>
  </si>
  <si>
    <t>Symptoms, signs and abnormal clinical and laboratory findings, not elsewhere classified (R00-R99)</t>
  </si>
  <si>
    <t>Diseases of heart (I00-I09,I11,I13,I20-I51)</t>
  </si>
  <si>
    <t>Cerebrovascular diseases (I60-I69)</t>
  </si>
  <si>
    <t>COVID-19 (U071, Multiple Cause of Death)</t>
  </si>
  <si>
    <t>COVID-19 (U071, Underlying Cause of Death)</t>
  </si>
  <si>
    <t>AnalysisDate</t>
  </si>
  <si>
    <t>Note</t>
  </si>
  <si>
    <t>flag_allcause</t>
  </si>
  <si>
    <t>flag_natcause</t>
  </si>
  <si>
    <t>flag_sept</t>
  </si>
  <si>
    <t>flag_neopl</t>
  </si>
  <si>
    <t>flag_diab</t>
  </si>
  <si>
    <t>flag_alz</t>
  </si>
  <si>
    <t>flag_inflpn</t>
  </si>
  <si>
    <t>flag_clrd</t>
  </si>
  <si>
    <t>flag_otherresp</t>
  </si>
  <si>
    <t>flag_nephr</t>
  </si>
  <si>
    <t>flag_otherunk</t>
  </si>
  <si>
    <t>flag_hd</t>
  </si>
  <si>
    <t>flag_stroke</t>
  </si>
  <si>
    <t>flag_cov19mcod</t>
  </si>
  <si>
    <t>flag_cov19ucod</t>
  </si>
  <si>
    <t>Female (F)</t>
  </si>
  <si>
    <t>Hispanic</t>
  </si>
  <si>
    <t>0-4 years</t>
  </si>
  <si>
    <t>Suppressed (counts 1-9)</t>
  </si>
  <si>
    <t>15-24 years</t>
  </si>
  <si>
    <t>25-34 years</t>
  </si>
  <si>
    <t>35-44 years</t>
  </si>
  <si>
    <t>45-54 years</t>
  </si>
  <si>
    <t>5-14 years</t>
  </si>
  <si>
    <t>55-64 years</t>
  </si>
  <si>
    <t>65-74 years</t>
  </si>
  <si>
    <t>75-84 years</t>
  </si>
  <si>
    <t>85 years and over</t>
  </si>
  <si>
    <t>Non-Hispanic American Indian or Alaska Native</t>
  </si>
  <si>
    <t>Non-Hispanic Asian</t>
  </si>
  <si>
    <t>Non-Hispanic Black</t>
  </si>
  <si>
    <t>Non-Hispanic White</t>
  </si>
  <si>
    <t>Other</t>
  </si>
  <si>
    <t>Male (M)</t>
  </si>
  <si>
    <t>Data are provisional, and values in the most recent months are incomplete.</t>
  </si>
  <si>
    <t>Date</t>
  </si>
  <si>
    <t>Date 2</t>
  </si>
  <si>
    <t>Row Labels</t>
  </si>
  <si>
    <t>1/01/2019</t>
  </si>
  <si>
    <t>1/01/2020</t>
  </si>
  <si>
    <t>10/01/2019</t>
  </si>
  <si>
    <t>10/01/2020</t>
  </si>
  <si>
    <t>11/01/2019</t>
  </si>
  <si>
    <t>12/01/2019</t>
  </si>
  <si>
    <t>2/01/2019</t>
  </si>
  <si>
    <t>2/01/2020</t>
  </si>
  <si>
    <t>3/01/2019</t>
  </si>
  <si>
    <t>3/01/2020</t>
  </si>
  <si>
    <t>4/01/2019</t>
  </si>
  <si>
    <t>4/01/2020</t>
  </si>
  <si>
    <t>5/01/2019</t>
  </si>
  <si>
    <t>5/01/2020</t>
  </si>
  <si>
    <t>6/01/2019</t>
  </si>
  <si>
    <t>6/01/2020</t>
  </si>
  <si>
    <t>7/01/2019</t>
  </si>
  <si>
    <t>7/01/2020</t>
  </si>
  <si>
    <t>8/01/2019</t>
  </si>
  <si>
    <t>8/01/2020</t>
  </si>
  <si>
    <t>9/01/2019</t>
  </si>
  <si>
    <t>9/01/2020</t>
  </si>
  <si>
    <t>(blank)</t>
  </si>
  <si>
    <t>Grand Total</t>
  </si>
  <si>
    <t>Sum of NaturalCause</t>
  </si>
  <si>
    <t>Sum of COVID-19 (U071, Multiple Cause of Death)</t>
  </si>
  <si>
    <t>Sum of COVID-19 (U071, Underlying Cause of Death)</t>
  </si>
  <si>
    <t>Total Covid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</si>
</sst>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Drummond" refreshedDate="44166.759142592593" createdVersion="6" refreshedVersion="6" minRefreshableVersion="3" recordCount="2640" xr:uid="{A480E9FF-E499-4251-92ED-4EE749A5BE90}">
  <cacheSource type="worksheet">
    <worksheetSource ref="A1:V1048576" sheet="Monthly_provisional_counts_of_d"/>
  </cacheSource>
  <cacheFields count="22">
    <cacheField name="Date Of Death Year" numFmtId="0">
      <sharedItems containsString="0" containsBlank="1" containsNumber="1" containsInteger="1" minValue="2019" maxValue="2020"/>
    </cacheField>
    <cacheField name="Date Of Death Month" numFmtId="0">
      <sharedItems containsString="0" containsBlank="1" containsNumber="1" containsInteger="1" minValue="1" maxValue="12"/>
    </cacheField>
    <cacheField name="Date" numFmtId="0">
      <sharedItems containsBlank="1"/>
    </cacheField>
    <cacheField name="Date 2" numFmtId="0">
      <sharedItems containsBlank="1" count="23">
        <s v="1/01/2019"/>
        <s v="2/01/2019"/>
        <s v="3/01/2019"/>
        <s v="4/01/2019"/>
        <s v="5/01/2019"/>
        <s v="6/01/2019"/>
        <s v="7/01/2019"/>
        <s v="8/01/2019"/>
        <s v="9/01/2019"/>
        <s v="10/01/2019"/>
        <s v="11/01/2019"/>
        <s v="12/01/2019"/>
        <s v="1/01/2020"/>
        <s v="2/01/2020"/>
        <s v="3/01/2020"/>
        <s v="4/01/2020"/>
        <s v="5/01/2020"/>
        <s v="6/01/2020"/>
        <s v="7/01/2020"/>
        <s v="8/01/2020"/>
        <s v="9/01/2020"/>
        <s v="10/01/2020"/>
        <m/>
      </sharedItems>
    </cacheField>
    <cacheField name="Sex" numFmtId="0">
      <sharedItems containsBlank="1"/>
    </cacheField>
    <cacheField name="Race/Ethnicity" numFmtId="0">
      <sharedItems containsBlank="1"/>
    </cacheField>
    <cacheField name="AgeGroup" numFmtId="0">
      <sharedItems containsBlank="1"/>
    </cacheField>
    <cacheField name="AllCause" numFmtId="0">
      <sharedItems containsString="0" containsBlank="1" containsNumber="1" containsInteger="1" minValue="10" maxValue="48967"/>
    </cacheField>
    <cacheField name="NaturalCause" numFmtId="0">
      <sharedItems containsString="0" containsBlank="1" containsNumber="1" containsInteger="1" minValue="0" maxValue="47998"/>
    </cacheField>
    <cacheField name="Septicemia (A40-A41)" numFmtId="0">
      <sharedItems containsString="0" containsBlank="1" containsNumber="1" containsInteger="1" minValue="0" maxValue="484"/>
    </cacheField>
    <cacheField name="Malignant neoplasms (C00-C97)" numFmtId="0">
      <sharedItems containsString="0" containsBlank="1" containsNumber="1" containsInteger="1" minValue="0" maxValue="6498"/>
    </cacheField>
    <cacheField name="Diabetes mellitus (E10-E14)" numFmtId="0">
      <sharedItems containsString="0" containsBlank="1" containsNumber="1" containsInteger="1" minValue="0" maxValue="939"/>
    </cacheField>
    <cacheField name="Alzheimer disease (G30)" numFmtId="0">
      <sharedItems containsString="0" containsBlank="1" containsNumber="1" containsInteger="1" minValue="0" maxValue="4725"/>
    </cacheField>
    <cacheField name="Influenza and pneumonia (J09-J18)" numFmtId="0">
      <sharedItems containsString="0" containsBlank="1" containsNumber="1" containsInteger="1" minValue="0" maxValue="1217"/>
    </cacheField>
    <cacheField name="Chronic lower respiratory diseases (J40-J47)" numFmtId="0">
      <sharedItems containsString="0" containsBlank="1" containsNumber="1" containsInteger="1" minValue="0" maxValue="2408"/>
    </cacheField>
    <cacheField name="Other diseases of respiratory system (J00-J06,J30-J39,J67,J70-J98)" numFmtId="0">
      <sharedItems containsString="0" containsBlank="1" containsNumber="1" containsInteger="1" minValue="0" maxValue="666"/>
    </cacheField>
    <cacheField name="Nephritis, nephrotic syndrome and nephrosis (N00-N07,N17-N19,N25-N27)" numFmtId="0">
      <sharedItems containsString="0" containsBlank="1" containsNumber="1" containsInteger="1" minValue="0" maxValue="653"/>
    </cacheField>
    <cacheField name="Symptoms, signs and abnormal clinical and laboratory findings, not elsewhere classified (R00-R99)" numFmtId="0">
      <sharedItems containsString="0" containsBlank="1" containsNumber="1" containsInteger="1" minValue="0" maxValue="946"/>
    </cacheField>
    <cacheField name="Diseases of heart (I00-I09,I11,I13,I20-I51)" numFmtId="0">
      <sharedItems containsString="0" containsBlank="1" containsNumber="1" containsInteger="1" minValue="0" maxValue="11506"/>
    </cacheField>
    <cacheField name="Cerebrovascular diseases (I60-I69)" numFmtId="0">
      <sharedItems containsString="0" containsBlank="1" containsNumber="1" containsInteger="1" minValue="0" maxValue="3293"/>
    </cacheField>
    <cacheField name="COVID-19 (U071, Multiple Cause of Death)" numFmtId="0">
      <sharedItems containsString="0" containsBlank="1" containsNumber="1" containsInteger="1" minValue="0" maxValue="8702"/>
    </cacheField>
    <cacheField name="COVID-19 (U071, Underlying Cause of Death)" numFmtId="0">
      <sharedItems containsString="0" containsBlank="1" containsNumber="1" containsInteger="1" minValue="0" maxValue="80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0">
  <r>
    <n v="2019"/>
    <n v="1"/>
    <s v="1/01/2019"/>
    <x v="0"/>
    <s v="Female (F)"/>
    <s v="Hispanic"/>
    <s v="0-4 years"/>
    <n v="184"/>
    <n v="164"/>
    <m/>
    <m/>
    <n v="0"/>
    <n v="0"/>
    <m/>
    <n v="0"/>
    <m/>
    <n v="0"/>
    <n v="22"/>
    <m/>
    <n v="0"/>
    <n v="0"/>
    <n v="0"/>
  </r>
  <r>
    <n v="2019"/>
    <n v="1"/>
    <s v="1/01/2019"/>
    <x v="0"/>
    <s v="Female (F)"/>
    <s v="Hispanic"/>
    <s v="15-24 years"/>
    <n v="125"/>
    <n v="46"/>
    <n v="0"/>
    <m/>
    <m/>
    <n v="0"/>
    <n v="0"/>
    <m/>
    <m/>
    <m/>
    <m/>
    <m/>
    <m/>
    <n v="0"/>
    <n v="0"/>
  </r>
  <r>
    <n v="2019"/>
    <n v="1"/>
    <s v="1/01/2019"/>
    <x v="0"/>
    <s v="Female (F)"/>
    <s v="Hispanic"/>
    <s v="25-34 years"/>
    <n v="198"/>
    <n v="100"/>
    <m/>
    <n v="29"/>
    <m/>
    <n v="0"/>
    <m/>
    <m/>
    <m/>
    <n v="0"/>
    <m/>
    <m/>
    <m/>
    <n v="0"/>
    <n v="0"/>
  </r>
  <r>
    <n v="2019"/>
    <n v="1"/>
    <s v="1/01/2019"/>
    <x v="0"/>
    <s v="Female (F)"/>
    <s v="Hispanic"/>
    <s v="35-44 years"/>
    <n v="336"/>
    <n v="262"/>
    <m/>
    <n v="96"/>
    <m/>
    <n v="0"/>
    <n v="11"/>
    <m/>
    <m/>
    <m/>
    <m/>
    <n v="26"/>
    <n v="10"/>
    <n v="0"/>
    <n v="0"/>
  </r>
  <r>
    <n v="2019"/>
    <n v="1"/>
    <s v="1/01/2019"/>
    <x v="0"/>
    <s v="Female (F)"/>
    <s v="Hispanic"/>
    <s v="45-54 years"/>
    <n v="590"/>
    <n v="504"/>
    <m/>
    <n v="212"/>
    <n v="40"/>
    <m/>
    <n v="15"/>
    <m/>
    <m/>
    <m/>
    <m/>
    <n v="64"/>
    <n v="28"/>
    <n v="0"/>
    <n v="0"/>
  </r>
  <r>
    <n v="2019"/>
    <n v="1"/>
    <s v="1/01/2019"/>
    <x v="0"/>
    <s v="Female (F)"/>
    <s v="Hispanic"/>
    <s v="5-14 years"/>
    <n v="44"/>
    <n v="28"/>
    <m/>
    <m/>
    <m/>
    <n v="0"/>
    <m/>
    <m/>
    <n v="0"/>
    <n v="0"/>
    <n v="0"/>
    <n v="0"/>
    <n v="0"/>
    <n v="0"/>
    <n v="0"/>
  </r>
  <r>
    <n v="2019"/>
    <n v="1"/>
    <s v="1/01/2019"/>
    <x v="0"/>
    <s v="Female (F)"/>
    <s v="Hispanic"/>
    <s v="55-64 years"/>
    <n v="1001"/>
    <n v="952"/>
    <n v="20"/>
    <n v="369"/>
    <n v="63"/>
    <m/>
    <n v="33"/>
    <n v="25"/>
    <n v="26"/>
    <n v="21"/>
    <m/>
    <n v="148"/>
    <n v="36"/>
    <n v="0"/>
    <n v="0"/>
  </r>
  <r>
    <n v="2019"/>
    <n v="1"/>
    <s v="1/01/2019"/>
    <x v="0"/>
    <s v="Female (F)"/>
    <s v="Hispanic"/>
    <s v="65-74 years"/>
    <n v="1367"/>
    <n v="1323"/>
    <n v="22"/>
    <n v="385"/>
    <n v="88"/>
    <n v="32"/>
    <n v="41"/>
    <n v="43"/>
    <n v="38"/>
    <n v="54"/>
    <m/>
    <n v="252"/>
    <n v="78"/>
    <n v="0"/>
    <n v="0"/>
  </r>
  <r>
    <n v="2019"/>
    <n v="1"/>
    <s v="1/01/2019"/>
    <x v="0"/>
    <s v="Female (F)"/>
    <s v="Hispanic"/>
    <s v="75-84 years"/>
    <n v="1969"/>
    <n v="1926"/>
    <n v="34"/>
    <n v="368"/>
    <n v="96"/>
    <n v="126"/>
    <n v="55"/>
    <n v="77"/>
    <n v="58"/>
    <n v="54"/>
    <m/>
    <n v="424"/>
    <n v="146"/>
    <n v="0"/>
    <n v="0"/>
  </r>
  <r>
    <n v="2019"/>
    <n v="1"/>
    <s v="1/01/2019"/>
    <x v="0"/>
    <s v="Female (F)"/>
    <s v="Hispanic"/>
    <s v="85 years and over"/>
    <n v="2730"/>
    <n v="2672"/>
    <n v="28"/>
    <n v="275"/>
    <n v="83"/>
    <n v="375"/>
    <n v="93"/>
    <n v="115"/>
    <n v="38"/>
    <n v="44"/>
    <n v="19"/>
    <n v="749"/>
    <n v="242"/>
    <n v="0"/>
    <n v="0"/>
  </r>
  <r>
    <n v="2019"/>
    <n v="1"/>
    <s v="1/01/2019"/>
    <x v="0"/>
    <s v="Female (F)"/>
    <s v="Non-Hispanic American Indian or Alaska Native"/>
    <s v="0-4 years"/>
    <n v="17"/>
    <n v="15"/>
    <n v="0"/>
    <n v="0"/>
    <n v="0"/>
    <n v="0"/>
    <n v="0"/>
    <n v="0"/>
    <n v="0"/>
    <n v="0"/>
    <m/>
    <n v="0"/>
    <n v="0"/>
    <n v="0"/>
    <n v="0"/>
  </r>
  <r>
    <n v="2019"/>
    <n v="1"/>
    <s v="1/01/2019"/>
    <x v="0"/>
    <s v="Female (F)"/>
    <s v="Non-Hispanic American Indian or Alaska Native"/>
    <s v="15-24 years"/>
    <n v="12"/>
    <m/>
    <n v="0"/>
    <n v="0"/>
    <n v="0"/>
    <n v="0"/>
    <m/>
    <n v="0"/>
    <n v="0"/>
    <n v="0"/>
    <n v="0"/>
    <n v="0"/>
    <n v="0"/>
    <n v="0"/>
    <n v="0"/>
  </r>
  <r>
    <n v="2019"/>
    <n v="1"/>
    <s v="1/01/2019"/>
    <x v="0"/>
    <s v="Female (F)"/>
    <s v="Non-Hispanic American Indian or Alaska Native"/>
    <s v="25-34 years"/>
    <n v="43"/>
    <n v="21"/>
    <n v="0"/>
    <n v="0"/>
    <m/>
    <n v="0"/>
    <m/>
    <n v="0"/>
    <n v="0"/>
    <m/>
    <n v="0"/>
    <m/>
    <n v="0"/>
    <n v="0"/>
    <n v="0"/>
  </r>
  <r>
    <n v="2019"/>
    <n v="1"/>
    <s v="1/01/2019"/>
    <x v="0"/>
    <s v="Female (F)"/>
    <s v="Non-Hispanic American Indian or Alaska Native"/>
    <s v="35-44 years"/>
    <n v="55"/>
    <n v="38"/>
    <n v="0"/>
    <m/>
    <m/>
    <n v="0"/>
    <m/>
    <n v="0"/>
    <m/>
    <m/>
    <m/>
    <m/>
    <m/>
    <n v="0"/>
    <n v="0"/>
  </r>
  <r>
    <n v="2019"/>
    <n v="1"/>
    <s v="1/01/2019"/>
    <x v="0"/>
    <s v="Female (F)"/>
    <s v="Non-Hispanic American Indian or Alaska Native"/>
    <s v="45-54 years"/>
    <n v="68"/>
    <n v="53"/>
    <m/>
    <m/>
    <m/>
    <n v="0"/>
    <m/>
    <m/>
    <n v="0"/>
    <n v="0"/>
    <n v="0"/>
    <m/>
    <m/>
    <n v="0"/>
    <n v="0"/>
  </r>
  <r>
    <n v="2019"/>
    <n v="1"/>
    <s v="1/01/2019"/>
    <x v="0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1"/>
    <s v="1/01/2019"/>
    <x v="0"/>
    <s v="Female (F)"/>
    <s v="Non-Hispanic American Indian or Alaska Native"/>
    <s v="55-64 years"/>
    <n v="129"/>
    <n v="119"/>
    <m/>
    <n v="29"/>
    <n v="10"/>
    <n v="0"/>
    <m/>
    <m/>
    <m/>
    <m/>
    <m/>
    <n v="23"/>
    <m/>
    <n v="0"/>
    <n v="0"/>
  </r>
  <r>
    <n v="2019"/>
    <n v="1"/>
    <s v="1/01/2019"/>
    <x v="0"/>
    <s v="Female (F)"/>
    <s v="Non-Hispanic American Indian or Alaska Native"/>
    <s v="65-74 years"/>
    <n v="149"/>
    <n v="143"/>
    <m/>
    <n v="37"/>
    <n v="13"/>
    <m/>
    <m/>
    <m/>
    <m/>
    <m/>
    <n v="0"/>
    <n v="30"/>
    <m/>
    <n v="0"/>
    <n v="0"/>
  </r>
  <r>
    <n v="2019"/>
    <n v="1"/>
    <s v="1/01/2019"/>
    <x v="0"/>
    <s v="Female (F)"/>
    <s v="Non-Hispanic American Indian or Alaska Native"/>
    <s v="75-84 years"/>
    <n v="148"/>
    <n v="140"/>
    <m/>
    <n v="28"/>
    <m/>
    <m/>
    <m/>
    <m/>
    <m/>
    <m/>
    <m/>
    <n v="34"/>
    <n v="12"/>
    <n v="0"/>
    <n v="0"/>
  </r>
  <r>
    <n v="2019"/>
    <n v="1"/>
    <s v="1/01/2019"/>
    <x v="0"/>
    <s v="Female (F)"/>
    <s v="Non-Hispanic American Indian or Alaska Native"/>
    <s v="85 years and over"/>
    <n v="150"/>
    <n v="143"/>
    <m/>
    <m/>
    <m/>
    <n v="19"/>
    <m/>
    <m/>
    <m/>
    <m/>
    <m/>
    <n v="45"/>
    <m/>
    <n v="0"/>
    <n v="0"/>
  </r>
  <r>
    <n v="2019"/>
    <n v="1"/>
    <s v="1/01/2019"/>
    <x v="0"/>
    <s v="Female (F)"/>
    <s v="Non-Hispanic Asian"/>
    <s v="0-4 years"/>
    <n v="24"/>
    <n v="23"/>
    <n v="0"/>
    <n v="0"/>
    <n v="0"/>
    <n v="0"/>
    <m/>
    <n v="0"/>
    <n v="0"/>
    <n v="0"/>
    <m/>
    <m/>
    <n v="0"/>
    <n v="0"/>
    <n v="0"/>
  </r>
  <r>
    <n v="2019"/>
    <n v="1"/>
    <s v="1/01/2019"/>
    <x v="0"/>
    <s v="Female (F)"/>
    <s v="Non-Hispanic Asian"/>
    <s v="15-24 years"/>
    <n v="13"/>
    <m/>
    <n v="0"/>
    <m/>
    <n v="0"/>
    <n v="0"/>
    <m/>
    <n v="0"/>
    <n v="0"/>
    <n v="0"/>
    <m/>
    <n v="0"/>
    <m/>
    <n v="0"/>
    <n v="0"/>
  </r>
  <r>
    <n v="2019"/>
    <n v="1"/>
    <s v="1/01/2019"/>
    <x v="0"/>
    <s v="Female (F)"/>
    <s v="Non-Hispanic Asian"/>
    <s v="25-34 years"/>
    <n v="32"/>
    <n v="22"/>
    <n v="0"/>
    <n v="10"/>
    <m/>
    <n v="0"/>
    <n v="0"/>
    <m/>
    <m/>
    <n v="0"/>
    <n v="0"/>
    <m/>
    <n v="0"/>
    <n v="0"/>
    <n v="0"/>
  </r>
  <r>
    <n v="2019"/>
    <n v="1"/>
    <s v="1/01/2019"/>
    <x v="0"/>
    <s v="Female (F)"/>
    <s v="Non-Hispanic Asian"/>
    <s v="35-44 years"/>
    <n v="64"/>
    <n v="51"/>
    <m/>
    <n v="27"/>
    <m/>
    <n v="0"/>
    <m/>
    <n v="0"/>
    <m/>
    <n v="0"/>
    <m/>
    <m/>
    <m/>
    <n v="0"/>
    <n v="0"/>
  </r>
  <r>
    <n v="2019"/>
    <n v="1"/>
    <s v="1/01/2019"/>
    <x v="0"/>
    <s v="Female (F)"/>
    <s v="Non-Hispanic Asian"/>
    <s v="45-54 years"/>
    <n v="108"/>
    <n v="92"/>
    <m/>
    <n v="46"/>
    <m/>
    <n v="0"/>
    <m/>
    <m/>
    <m/>
    <n v="0"/>
    <n v="0"/>
    <n v="13"/>
    <m/>
    <n v="0"/>
    <n v="0"/>
  </r>
  <r>
    <n v="2019"/>
    <n v="1"/>
    <s v="1/01/2019"/>
    <x v="0"/>
    <s v="Female (F)"/>
    <s v="Non-Hispanic Asian"/>
    <s v="5-14 years"/>
    <m/>
    <m/>
    <n v="0"/>
    <m/>
    <n v="0"/>
    <n v="0"/>
    <m/>
    <n v="0"/>
    <n v="0"/>
    <n v="0"/>
    <n v="0"/>
    <n v="0"/>
    <n v="0"/>
    <n v="0"/>
    <n v="0"/>
  </r>
  <r>
    <n v="2019"/>
    <n v="1"/>
    <s v="1/01/2019"/>
    <x v="0"/>
    <s v="Female (F)"/>
    <s v="Non-Hispanic Asian"/>
    <s v="55-64 years"/>
    <n v="258"/>
    <n v="239"/>
    <m/>
    <n v="122"/>
    <m/>
    <m/>
    <m/>
    <m/>
    <m/>
    <m/>
    <m/>
    <n v="30"/>
    <n v="13"/>
    <n v="0"/>
    <n v="0"/>
  </r>
  <r>
    <n v="2019"/>
    <n v="1"/>
    <s v="1/01/2019"/>
    <x v="0"/>
    <s v="Female (F)"/>
    <s v="Non-Hispanic Asian"/>
    <s v="65-74 years"/>
    <n v="450"/>
    <n v="437"/>
    <m/>
    <n v="159"/>
    <n v="28"/>
    <m/>
    <m/>
    <m/>
    <n v="10"/>
    <m/>
    <m/>
    <n v="83"/>
    <n v="37"/>
    <n v="0"/>
    <n v="0"/>
  </r>
  <r>
    <n v="2019"/>
    <n v="1"/>
    <s v="1/01/2019"/>
    <x v="0"/>
    <s v="Female (F)"/>
    <s v="Non-Hispanic Asian"/>
    <s v="75-84 years"/>
    <n v="743"/>
    <n v="722"/>
    <n v="10"/>
    <n v="167"/>
    <n v="50"/>
    <n v="29"/>
    <n v="25"/>
    <n v="17"/>
    <n v="19"/>
    <n v="26"/>
    <m/>
    <n v="157"/>
    <n v="76"/>
    <n v="0"/>
    <n v="0"/>
  </r>
  <r>
    <n v="2019"/>
    <n v="1"/>
    <s v="1/01/2019"/>
    <x v="0"/>
    <s v="Female (F)"/>
    <s v="Non-Hispanic Asian"/>
    <s v="85 years and over"/>
    <n v="1342"/>
    <n v="1302"/>
    <n v="24"/>
    <n v="156"/>
    <n v="55"/>
    <n v="135"/>
    <n v="46"/>
    <n v="45"/>
    <n v="25"/>
    <n v="27"/>
    <n v="10"/>
    <n v="334"/>
    <n v="116"/>
    <n v="0"/>
    <n v="0"/>
  </r>
  <r>
    <n v="2019"/>
    <n v="1"/>
    <s v="1/01/2019"/>
    <x v="0"/>
    <s v="Female (F)"/>
    <s v="Non-Hispanic Black"/>
    <s v="0-4 years"/>
    <n v="262"/>
    <n v="233"/>
    <m/>
    <m/>
    <n v="0"/>
    <n v="0"/>
    <m/>
    <m/>
    <m/>
    <n v="0"/>
    <n v="34"/>
    <m/>
    <m/>
    <n v="0"/>
    <n v="0"/>
  </r>
  <r>
    <n v="2019"/>
    <n v="1"/>
    <s v="1/01/2019"/>
    <x v="0"/>
    <s v="Female (F)"/>
    <s v="Non-Hispanic Black"/>
    <s v="15-24 years"/>
    <n v="140"/>
    <n v="65"/>
    <m/>
    <n v="11"/>
    <m/>
    <n v="0"/>
    <m/>
    <n v="0"/>
    <m/>
    <n v="0"/>
    <m/>
    <m/>
    <m/>
    <n v="0"/>
    <n v="0"/>
  </r>
  <r>
    <n v="2019"/>
    <n v="1"/>
    <s v="1/01/2019"/>
    <x v="0"/>
    <s v="Female (F)"/>
    <s v="Non-Hispanic Black"/>
    <s v="25-34 years"/>
    <n v="305"/>
    <n v="192"/>
    <m/>
    <n v="28"/>
    <n v="12"/>
    <n v="0"/>
    <m/>
    <m/>
    <m/>
    <m/>
    <n v="11"/>
    <n v="31"/>
    <m/>
    <n v="0"/>
    <n v="0"/>
  </r>
  <r>
    <n v="2019"/>
    <n v="1"/>
    <s v="1/01/2019"/>
    <x v="0"/>
    <s v="Female (F)"/>
    <s v="Non-Hispanic Black"/>
    <s v="35-44 years"/>
    <n v="532"/>
    <n v="426"/>
    <n v="19"/>
    <n v="104"/>
    <n v="24"/>
    <n v="0"/>
    <m/>
    <m/>
    <n v="12"/>
    <m/>
    <m/>
    <n v="92"/>
    <n v="12"/>
    <n v="0"/>
    <n v="0"/>
  </r>
  <r>
    <n v="2019"/>
    <n v="1"/>
    <s v="1/01/2019"/>
    <x v="0"/>
    <s v="Female (F)"/>
    <s v="Non-Hispanic Black"/>
    <s v="45-54 years"/>
    <n v="1131"/>
    <n v="1018"/>
    <n v="28"/>
    <n v="290"/>
    <n v="61"/>
    <m/>
    <n v="26"/>
    <n v="27"/>
    <n v="11"/>
    <n v="30"/>
    <n v="11"/>
    <n v="229"/>
    <n v="55"/>
    <n v="0"/>
    <n v="0"/>
  </r>
  <r>
    <n v="2019"/>
    <n v="1"/>
    <s v="1/01/2019"/>
    <x v="0"/>
    <s v="Female (F)"/>
    <s v="Non-Hispanic Black"/>
    <s v="5-14 years"/>
    <n v="44"/>
    <n v="27"/>
    <m/>
    <m/>
    <m/>
    <n v="0"/>
    <n v="0"/>
    <m/>
    <m/>
    <n v="0"/>
    <m/>
    <m/>
    <m/>
    <n v="0"/>
    <n v="0"/>
  </r>
  <r>
    <n v="2019"/>
    <n v="1"/>
    <s v="1/01/2019"/>
    <x v="0"/>
    <s v="Female (F)"/>
    <s v="Non-Hispanic Black"/>
    <s v="55-64 years"/>
    <n v="2473"/>
    <n v="2328"/>
    <n v="52"/>
    <n v="704"/>
    <n v="140"/>
    <m/>
    <n v="37"/>
    <n v="105"/>
    <n v="45"/>
    <n v="72"/>
    <n v="27"/>
    <n v="551"/>
    <n v="140"/>
    <n v="0"/>
    <n v="0"/>
  </r>
  <r>
    <n v="2019"/>
    <n v="1"/>
    <s v="1/01/2019"/>
    <x v="0"/>
    <s v="Female (F)"/>
    <s v="Non-Hispanic Black"/>
    <s v="65-74 years"/>
    <n v="3049"/>
    <n v="2962"/>
    <n v="66"/>
    <n v="795"/>
    <n v="170"/>
    <n v="44"/>
    <n v="61"/>
    <n v="141"/>
    <n v="46"/>
    <n v="98"/>
    <n v="22"/>
    <n v="766"/>
    <n v="191"/>
    <n v="0"/>
    <n v="0"/>
  </r>
  <r>
    <n v="2019"/>
    <n v="1"/>
    <s v="1/01/2019"/>
    <x v="0"/>
    <s v="Female (F)"/>
    <s v="Non-Hispanic Black"/>
    <s v="75-84 years"/>
    <n v="3277"/>
    <n v="3214"/>
    <n v="73"/>
    <n v="626"/>
    <n v="153"/>
    <n v="163"/>
    <n v="71"/>
    <n v="137"/>
    <n v="64"/>
    <n v="103"/>
    <n v="34"/>
    <n v="818"/>
    <n v="259"/>
    <n v="0"/>
    <n v="0"/>
  </r>
  <r>
    <n v="2019"/>
    <n v="1"/>
    <s v="1/01/2019"/>
    <x v="0"/>
    <s v="Female (F)"/>
    <s v="Non-Hispanic Black"/>
    <s v="85 years and over"/>
    <n v="3725"/>
    <n v="3687"/>
    <n v="61"/>
    <n v="359"/>
    <n v="126"/>
    <n v="399"/>
    <n v="73"/>
    <n v="114"/>
    <n v="35"/>
    <n v="117"/>
    <n v="44"/>
    <n v="1072"/>
    <n v="328"/>
    <n v="0"/>
    <n v="0"/>
  </r>
  <r>
    <n v="2019"/>
    <n v="1"/>
    <s v="1/01/2019"/>
    <x v="0"/>
    <s v="Female (F)"/>
    <s v="Non-Hispanic White"/>
    <s v="0-4 years"/>
    <n v="335"/>
    <n v="287"/>
    <m/>
    <m/>
    <n v="0"/>
    <n v="0"/>
    <m/>
    <m/>
    <m/>
    <n v="0"/>
    <n v="28"/>
    <m/>
    <m/>
    <n v="0"/>
    <n v="0"/>
  </r>
  <r>
    <n v="2019"/>
    <n v="1"/>
    <s v="1/01/2019"/>
    <x v="0"/>
    <s v="Female (F)"/>
    <s v="Non-Hispanic White"/>
    <s v="15-24 years"/>
    <n v="338"/>
    <n v="140"/>
    <m/>
    <n v="31"/>
    <m/>
    <n v="0"/>
    <m/>
    <m/>
    <m/>
    <m/>
    <m/>
    <n v="19"/>
    <m/>
    <n v="0"/>
    <n v="0"/>
  </r>
  <r>
    <n v="2019"/>
    <n v="1"/>
    <s v="1/01/2019"/>
    <x v="0"/>
    <s v="Female (F)"/>
    <s v="Non-Hispanic White"/>
    <s v="25-34 years"/>
    <n v="831"/>
    <n v="345"/>
    <m/>
    <n v="76"/>
    <n v="12"/>
    <n v="0"/>
    <n v="12"/>
    <m/>
    <m/>
    <m/>
    <n v="10"/>
    <n v="43"/>
    <m/>
    <n v="0"/>
    <n v="0"/>
  </r>
  <r>
    <n v="2019"/>
    <n v="1"/>
    <s v="1/01/2019"/>
    <x v="0"/>
    <s v="Female (F)"/>
    <s v="Non-Hispanic White"/>
    <s v="35-44 years"/>
    <n v="1580"/>
    <n v="1045"/>
    <n v="17"/>
    <n v="321"/>
    <n v="33"/>
    <n v="0"/>
    <n v="33"/>
    <n v="18"/>
    <n v="10"/>
    <m/>
    <n v="18"/>
    <n v="155"/>
    <n v="33"/>
    <n v="0"/>
    <n v="0"/>
  </r>
  <r>
    <n v="2019"/>
    <n v="1"/>
    <s v="1/01/2019"/>
    <x v="0"/>
    <s v="Female (F)"/>
    <s v="Non-Hispanic White"/>
    <s v="45-54 years"/>
    <n v="3577"/>
    <n v="2949"/>
    <n v="55"/>
    <n v="1054"/>
    <n v="109"/>
    <m/>
    <n v="72"/>
    <n v="157"/>
    <n v="50"/>
    <n v="51"/>
    <n v="35"/>
    <n v="495"/>
    <n v="100"/>
    <n v="0"/>
    <n v="0"/>
  </r>
  <r>
    <n v="2019"/>
    <n v="1"/>
    <s v="1/01/2019"/>
    <x v="0"/>
    <s v="Female (F)"/>
    <s v="Non-Hispanic White"/>
    <s v="5-14 years"/>
    <n v="96"/>
    <n v="58"/>
    <m/>
    <n v="14"/>
    <n v="0"/>
    <n v="0"/>
    <n v="0"/>
    <n v="0"/>
    <n v="0"/>
    <n v="0"/>
    <m/>
    <m/>
    <m/>
    <n v="0"/>
    <n v="0"/>
  </r>
  <r>
    <n v="2019"/>
    <n v="1"/>
    <s v="1/01/2019"/>
    <x v="0"/>
    <s v="Female (F)"/>
    <s v="Non-Hispanic White"/>
    <s v="55-64 years"/>
    <n v="9381"/>
    <n v="8727"/>
    <n v="170"/>
    <n v="3299"/>
    <n v="314"/>
    <n v="52"/>
    <n v="191"/>
    <n v="727"/>
    <n v="134"/>
    <n v="111"/>
    <n v="70"/>
    <n v="1537"/>
    <n v="279"/>
    <n v="0"/>
    <n v="0"/>
  </r>
  <r>
    <n v="2019"/>
    <n v="1"/>
    <s v="1/01/2019"/>
    <x v="0"/>
    <s v="Female (F)"/>
    <s v="Non-Hispanic White"/>
    <s v="65-74 years"/>
    <n v="16075"/>
    <n v="15527"/>
    <n v="275"/>
    <n v="5157"/>
    <n v="543"/>
    <n v="336"/>
    <n v="330"/>
    <n v="1653"/>
    <n v="329"/>
    <n v="304"/>
    <n v="113"/>
    <n v="2863"/>
    <n v="627"/>
    <n v="0"/>
    <n v="0"/>
  </r>
  <r>
    <n v="2019"/>
    <n v="1"/>
    <s v="1/01/2019"/>
    <x v="0"/>
    <s v="Female (F)"/>
    <s v="Non-Hispanic White"/>
    <s v="75-84 years"/>
    <n v="24187"/>
    <n v="23553"/>
    <n v="368"/>
    <n v="5216"/>
    <n v="583"/>
    <n v="1541"/>
    <n v="488"/>
    <n v="2403"/>
    <n v="452"/>
    <n v="427"/>
    <n v="230"/>
    <n v="5043"/>
    <n v="1491"/>
    <n v="0"/>
    <n v="0"/>
  </r>
  <r>
    <n v="2019"/>
    <n v="1"/>
    <s v="1/01/2019"/>
    <x v="0"/>
    <s v="Female (F)"/>
    <s v="Non-Hispanic White"/>
    <s v="85 years and over"/>
    <n v="41559"/>
    <n v="40334"/>
    <n v="484"/>
    <n v="3898"/>
    <n v="649"/>
    <n v="4293"/>
    <n v="1143"/>
    <n v="2281"/>
    <n v="596"/>
    <n v="645"/>
    <n v="665"/>
    <n v="11506"/>
    <n v="3293"/>
    <n v="0"/>
    <n v="0"/>
  </r>
  <r>
    <n v="2019"/>
    <n v="1"/>
    <s v="1/01/2019"/>
    <x v="0"/>
    <s v="Female (F)"/>
    <s v="Other"/>
    <s v="0-4 years"/>
    <n v="37"/>
    <n v="30"/>
    <m/>
    <n v="0"/>
    <n v="0"/>
    <n v="0"/>
    <n v="0"/>
    <m/>
    <n v="0"/>
    <n v="0"/>
    <m/>
    <n v="0"/>
    <n v="0"/>
    <n v="0"/>
    <n v="0"/>
  </r>
  <r>
    <n v="2019"/>
    <n v="1"/>
    <s v="1/01/2019"/>
    <x v="0"/>
    <s v="Female (F)"/>
    <s v="Other"/>
    <s v="15-24 years"/>
    <n v="17"/>
    <m/>
    <n v="0"/>
    <n v="0"/>
    <n v="0"/>
    <n v="0"/>
    <n v="0"/>
    <n v="0"/>
    <n v="0"/>
    <n v="0"/>
    <m/>
    <n v="0"/>
    <n v="0"/>
    <n v="0"/>
    <n v="0"/>
  </r>
  <r>
    <n v="2019"/>
    <n v="1"/>
    <s v="1/01/2019"/>
    <x v="0"/>
    <s v="Female (F)"/>
    <s v="Other"/>
    <s v="25-34 years"/>
    <n v="28"/>
    <n v="15"/>
    <n v="0"/>
    <m/>
    <m/>
    <n v="0"/>
    <n v="0"/>
    <n v="0"/>
    <n v="0"/>
    <n v="0"/>
    <n v="0"/>
    <m/>
    <m/>
    <n v="0"/>
    <n v="0"/>
  </r>
  <r>
    <n v="2019"/>
    <n v="1"/>
    <s v="1/01/2019"/>
    <x v="0"/>
    <s v="Female (F)"/>
    <s v="Other"/>
    <s v="35-44 years"/>
    <n v="35"/>
    <n v="25"/>
    <n v="0"/>
    <m/>
    <m/>
    <n v="0"/>
    <n v="0"/>
    <m/>
    <n v="0"/>
    <n v="0"/>
    <m/>
    <m/>
    <n v="0"/>
    <n v="0"/>
    <n v="0"/>
  </r>
  <r>
    <n v="2019"/>
    <n v="1"/>
    <s v="1/01/2019"/>
    <x v="0"/>
    <s v="Female (F)"/>
    <s v="Other"/>
    <s v="45-54 years"/>
    <n v="87"/>
    <n v="75"/>
    <n v="0"/>
    <n v="20"/>
    <m/>
    <n v="0"/>
    <m/>
    <m/>
    <m/>
    <m/>
    <n v="0"/>
    <n v="17"/>
    <m/>
    <n v="0"/>
    <n v="0"/>
  </r>
  <r>
    <n v="2019"/>
    <n v="1"/>
    <s v="1/01/2019"/>
    <x v="0"/>
    <s v="Female (F)"/>
    <s v="Other"/>
    <s v="5-14 years"/>
    <m/>
    <m/>
    <n v="0"/>
    <m/>
    <n v="0"/>
    <n v="0"/>
    <n v="0"/>
    <n v="0"/>
    <n v="0"/>
    <n v="0"/>
    <n v="0"/>
    <m/>
    <m/>
    <n v="0"/>
    <n v="0"/>
  </r>
  <r>
    <n v="2019"/>
    <n v="1"/>
    <s v="1/01/2019"/>
    <x v="0"/>
    <s v="Female (F)"/>
    <s v="Other"/>
    <s v="55-64 years"/>
    <n v="149"/>
    <n v="132"/>
    <m/>
    <n v="50"/>
    <m/>
    <m/>
    <m/>
    <m/>
    <m/>
    <m/>
    <m/>
    <n v="19"/>
    <m/>
    <n v="0"/>
    <n v="0"/>
  </r>
  <r>
    <n v="2019"/>
    <n v="1"/>
    <s v="1/01/2019"/>
    <x v="0"/>
    <s v="Female (F)"/>
    <s v="Other"/>
    <s v="65-74 years"/>
    <n v="169"/>
    <n v="161"/>
    <m/>
    <n v="52"/>
    <m/>
    <m/>
    <m/>
    <n v="17"/>
    <m/>
    <m/>
    <n v="0"/>
    <n v="31"/>
    <m/>
    <n v="0"/>
    <n v="0"/>
  </r>
  <r>
    <n v="2019"/>
    <n v="1"/>
    <s v="1/01/2019"/>
    <x v="0"/>
    <s v="Female (F)"/>
    <s v="Other"/>
    <s v="75-84 years"/>
    <n v="162"/>
    <n v="159"/>
    <m/>
    <n v="35"/>
    <m/>
    <m/>
    <m/>
    <n v="15"/>
    <m/>
    <m/>
    <m/>
    <n v="31"/>
    <n v="12"/>
    <n v="0"/>
    <n v="0"/>
  </r>
  <r>
    <n v="2019"/>
    <n v="1"/>
    <s v="1/01/2019"/>
    <x v="0"/>
    <s v="Female (F)"/>
    <s v="Other"/>
    <s v="85 years and over"/>
    <n v="203"/>
    <n v="196"/>
    <n v="0"/>
    <n v="14"/>
    <m/>
    <n v="18"/>
    <m/>
    <n v="12"/>
    <m/>
    <m/>
    <n v="0"/>
    <n v="53"/>
    <n v="23"/>
    <n v="0"/>
    <n v="0"/>
  </r>
  <r>
    <n v="2019"/>
    <n v="1"/>
    <s v="1/01/2019"/>
    <x v="0"/>
    <s v="Male (M)"/>
    <s v="Hispanic"/>
    <s v="0-4 years"/>
    <n v="262"/>
    <n v="237"/>
    <m/>
    <m/>
    <n v="0"/>
    <n v="0"/>
    <m/>
    <n v="0"/>
    <m/>
    <n v="0"/>
    <n v="25"/>
    <m/>
    <m/>
    <n v="0"/>
    <n v="0"/>
  </r>
  <r>
    <n v="2019"/>
    <n v="1"/>
    <s v="1/01/2019"/>
    <x v="0"/>
    <s v="Male (M)"/>
    <s v="Hispanic"/>
    <s v="15-24 years"/>
    <n v="340"/>
    <n v="67"/>
    <n v="0"/>
    <n v="14"/>
    <m/>
    <n v="0"/>
    <m/>
    <m/>
    <m/>
    <m/>
    <m/>
    <m/>
    <m/>
    <n v="0"/>
    <n v="0"/>
  </r>
  <r>
    <n v="2019"/>
    <n v="1"/>
    <s v="1/01/2019"/>
    <x v="0"/>
    <s v="Male (M)"/>
    <s v="Hispanic"/>
    <s v="25-34 years"/>
    <n v="552"/>
    <n v="195"/>
    <m/>
    <n v="33"/>
    <m/>
    <n v="0"/>
    <n v="10"/>
    <m/>
    <m/>
    <m/>
    <n v="13"/>
    <n v="28"/>
    <m/>
    <n v="0"/>
    <n v="0"/>
  </r>
  <r>
    <n v="2019"/>
    <n v="1"/>
    <s v="1/01/2019"/>
    <x v="0"/>
    <s v="Male (M)"/>
    <s v="Hispanic"/>
    <s v="35-44 years"/>
    <n v="637"/>
    <n v="386"/>
    <m/>
    <n v="70"/>
    <n v="22"/>
    <n v="0"/>
    <n v="18"/>
    <m/>
    <m/>
    <m/>
    <n v="15"/>
    <n v="71"/>
    <n v="17"/>
    <n v="0"/>
    <n v="0"/>
  </r>
  <r>
    <n v="2019"/>
    <n v="1"/>
    <s v="1/01/2019"/>
    <x v="0"/>
    <s v="Male (M)"/>
    <s v="Hispanic"/>
    <s v="45-54 years"/>
    <n v="1150"/>
    <n v="897"/>
    <n v="12"/>
    <n v="189"/>
    <n v="70"/>
    <m/>
    <n v="39"/>
    <n v="11"/>
    <n v="10"/>
    <n v="24"/>
    <n v="13"/>
    <n v="181"/>
    <n v="53"/>
    <n v="0"/>
    <n v="0"/>
  </r>
  <r>
    <n v="2019"/>
    <n v="1"/>
    <s v="1/01/2019"/>
    <x v="0"/>
    <s v="Male (M)"/>
    <s v="Hispanic"/>
    <s v="5-14 years"/>
    <n v="54"/>
    <n v="27"/>
    <n v="0"/>
    <n v="12"/>
    <m/>
    <n v="0"/>
    <m/>
    <n v="0"/>
    <m/>
    <n v="0"/>
    <n v="0"/>
    <n v="0"/>
    <n v="0"/>
    <n v="0"/>
    <n v="0"/>
  </r>
  <r>
    <n v="2019"/>
    <n v="1"/>
    <s v="1/01/2019"/>
    <x v="0"/>
    <s v="Male (M)"/>
    <s v="Hispanic"/>
    <s v="55-64 years"/>
    <n v="1805"/>
    <n v="1617"/>
    <n v="29"/>
    <n v="403"/>
    <n v="117"/>
    <m/>
    <n v="51"/>
    <n v="29"/>
    <n v="23"/>
    <n v="49"/>
    <n v="20"/>
    <n v="402"/>
    <n v="68"/>
    <n v="0"/>
    <n v="0"/>
  </r>
  <r>
    <n v="2019"/>
    <n v="1"/>
    <s v="1/01/2019"/>
    <x v="0"/>
    <s v="Male (M)"/>
    <s v="Hispanic"/>
    <s v="65-74 years"/>
    <n v="2007"/>
    <n v="1919"/>
    <n v="33"/>
    <n v="545"/>
    <n v="140"/>
    <n v="15"/>
    <n v="53"/>
    <n v="52"/>
    <n v="42"/>
    <n v="65"/>
    <m/>
    <n v="495"/>
    <n v="111"/>
    <n v="0"/>
    <n v="0"/>
  </r>
  <r>
    <n v="2019"/>
    <n v="1"/>
    <s v="1/01/2019"/>
    <x v="0"/>
    <s v="Male (M)"/>
    <s v="Hispanic"/>
    <s v="75-84 years"/>
    <n v="1980"/>
    <n v="1919"/>
    <n v="29"/>
    <n v="434"/>
    <n v="120"/>
    <n v="81"/>
    <n v="63"/>
    <n v="103"/>
    <n v="48"/>
    <n v="56"/>
    <n v="10"/>
    <n v="481"/>
    <n v="131"/>
    <n v="0"/>
    <n v="0"/>
  </r>
  <r>
    <n v="2019"/>
    <n v="1"/>
    <s v="1/01/2019"/>
    <x v="0"/>
    <s v="Male (M)"/>
    <s v="Hispanic"/>
    <s v="85 years and over"/>
    <n v="1799"/>
    <n v="1750"/>
    <n v="19"/>
    <n v="257"/>
    <n v="81"/>
    <n v="128"/>
    <n v="54"/>
    <n v="94"/>
    <n v="27"/>
    <n v="41"/>
    <n v="10"/>
    <n v="537"/>
    <n v="139"/>
    <n v="0"/>
    <n v="0"/>
  </r>
  <r>
    <n v="2019"/>
    <n v="1"/>
    <s v="1/01/2019"/>
    <x v="0"/>
    <s v="Male (M)"/>
    <s v="Non-Hispanic American Indian or Alaska Native"/>
    <s v="0-4 years"/>
    <n v="22"/>
    <n v="20"/>
    <n v="0"/>
    <n v="0"/>
    <n v="0"/>
    <n v="0"/>
    <m/>
    <n v="0"/>
    <n v="0"/>
    <n v="0"/>
    <m/>
    <n v="0"/>
    <m/>
    <n v="0"/>
    <n v="0"/>
  </r>
  <r>
    <n v="2019"/>
    <n v="1"/>
    <s v="1/01/2019"/>
    <x v="0"/>
    <s v="Male (M)"/>
    <s v="Non-Hispanic American Indian or Alaska Native"/>
    <s v="15-24 years"/>
    <n v="22"/>
    <m/>
    <n v="0"/>
    <n v="0"/>
    <n v="0"/>
    <n v="0"/>
    <m/>
    <n v="0"/>
    <m/>
    <n v="0"/>
    <n v="0"/>
    <m/>
    <n v="0"/>
    <n v="0"/>
    <n v="0"/>
  </r>
  <r>
    <n v="2019"/>
    <n v="1"/>
    <s v="1/01/2019"/>
    <x v="0"/>
    <s v="Male (M)"/>
    <s v="Non-Hispanic American Indian or Alaska Native"/>
    <s v="25-34 years"/>
    <n v="55"/>
    <n v="23"/>
    <m/>
    <m/>
    <m/>
    <n v="0"/>
    <m/>
    <n v="0"/>
    <n v="0"/>
    <n v="0"/>
    <n v="0"/>
    <m/>
    <m/>
    <n v="0"/>
    <n v="0"/>
  </r>
  <r>
    <n v="2019"/>
    <n v="1"/>
    <s v="1/01/2019"/>
    <x v="0"/>
    <s v="Male (M)"/>
    <s v="Non-Hispanic American Indian or Alaska Native"/>
    <s v="35-44 years"/>
    <n v="73"/>
    <n v="35"/>
    <m/>
    <m/>
    <m/>
    <n v="0"/>
    <m/>
    <n v="0"/>
    <n v="0"/>
    <m/>
    <m/>
    <m/>
    <n v="0"/>
    <n v="0"/>
    <n v="0"/>
  </r>
  <r>
    <n v="2019"/>
    <n v="1"/>
    <s v="1/01/2019"/>
    <x v="0"/>
    <s v="Male (M)"/>
    <s v="Non-Hispanic American Indian or Alaska Native"/>
    <s v="45-54 years"/>
    <n v="125"/>
    <n v="88"/>
    <m/>
    <n v="11"/>
    <n v="12"/>
    <n v="0"/>
    <m/>
    <m/>
    <m/>
    <m/>
    <m/>
    <n v="18"/>
    <m/>
    <n v="0"/>
    <n v="0"/>
  </r>
  <r>
    <n v="2019"/>
    <n v="1"/>
    <s v="1/01/2019"/>
    <x v="0"/>
    <s v="Male (M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19"/>
    <n v="1"/>
    <s v="1/01/2019"/>
    <x v="0"/>
    <s v="Male (M)"/>
    <s v="Non-Hispanic American Indian or Alaska Native"/>
    <s v="55-64 years"/>
    <n v="170"/>
    <n v="150"/>
    <m/>
    <n v="33"/>
    <n v="12"/>
    <n v="0"/>
    <m/>
    <m/>
    <m/>
    <m/>
    <m/>
    <n v="38"/>
    <m/>
    <n v="0"/>
    <n v="0"/>
  </r>
  <r>
    <n v="2019"/>
    <n v="1"/>
    <s v="1/01/2019"/>
    <x v="0"/>
    <s v="Male (M)"/>
    <s v="Non-Hispanic American Indian or Alaska Native"/>
    <s v="65-74 years"/>
    <n v="187"/>
    <n v="174"/>
    <m/>
    <n v="41"/>
    <n v="17"/>
    <n v="0"/>
    <m/>
    <n v="15"/>
    <m/>
    <n v="0"/>
    <m/>
    <n v="40"/>
    <n v="10"/>
    <n v="0"/>
    <n v="0"/>
  </r>
  <r>
    <n v="2019"/>
    <n v="1"/>
    <s v="1/01/2019"/>
    <x v="0"/>
    <s v="Male (M)"/>
    <s v="Non-Hispanic American Indian or Alaska Native"/>
    <s v="75-84 years"/>
    <n v="147"/>
    <n v="146"/>
    <m/>
    <n v="30"/>
    <n v="11"/>
    <m/>
    <m/>
    <n v="11"/>
    <m/>
    <m/>
    <n v="0"/>
    <n v="38"/>
    <m/>
    <n v="0"/>
    <n v="0"/>
  </r>
  <r>
    <n v="2019"/>
    <n v="1"/>
    <s v="1/01/2019"/>
    <x v="0"/>
    <s v="Male (M)"/>
    <s v="Non-Hispanic American Indian or Alaska Native"/>
    <s v="85 years and over"/>
    <n v="75"/>
    <n v="71"/>
    <m/>
    <n v="12"/>
    <m/>
    <m/>
    <n v="0"/>
    <m/>
    <m/>
    <m/>
    <n v="0"/>
    <n v="24"/>
    <m/>
    <n v="0"/>
    <n v="0"/>
  </r>
  <r>
    <n v="2019"/>
    <n v="1"/>
    <s v="1/01/2019"/>
    <x v="0"/>
    <s v="Male (M)"/>
    <s v="Non-Hispanic Asian"/>
    <s v="0-4 years"/>
    <n v="45"/>
    <n v="43"/>
    <m/>
    <n v="0"/>
    <n v="0"/>
    <n v="0"/>
    <m/>
    <n v="0"/>
    <m/>
    <n v="0"/>
    <n v="0"/>
    <n v="0"/>
    <n v="0"/>
    <n v="0"/>
    <n v="0"/>
  </r>
  <r>
    <n v="2019"/>
    <n v="1"/>
    <s v="1/01/2019"/>
    <x v="0"/>
    <s v="Male (M)"/>
    <s v="Non-Hispanic Asian"/>
    <s v="15-24 years"/>
    <n v="48"/>
    <n v="19"/>
    <n v="0"/>
    <m/>
    <n v="0"/>
    <n v="0"/>
    <n v="0"/>
    <n v="0"/>
    <n v="0"/>
    <n v="0"/>
    <n v="0"/>
    <m/>
    <n v="0"/>
    <n v="0"/>
    <n v="0"/>
  </r>
  <r>
    <n v="2019"/>
    <n v="1"/>
    <s v="1/01/2019"/>
    <x v="0"/>
    <s v="Male (M)"/>
    <s v="Non-Hispanic Asian"/>
    <s v="25-34 years"/>
    <n v="65"/>
    <n v="29"/>
    <n v="0"/>
    <m/>
    <m/>
    <n v="0"/>
    <m/>
    <n v="0"/>
    <n v="0"/>
    <n v="0"/>
    <m/>
    <m/>
    <m/>
    <n v="0"/>
    <n v="0"/>
  </r>
  <r>
    <n v="2019"/>
    <n v="1"/>
    <s v="1/01/2019"/>
    <x v="0"/>
    <s v="Male (M)"/>
    <s v="Non-Hispanic Asian"/>
    <s v="35-44 years"/>
    <n v="109"/>
    <n v="65"/>
    <m/>
    <n v="13"/>
    <n v="0"/>
    <n v="0"/>
    <m/>
    <m/>
    <n v="0"/>
    <m/>
    <m/>
    <n v="18"/>
    <m/>
    <n v="0"/>
    <n v="0"/>
  </r>
  <r>
    <n v="2019"/>
    <n v="1"/>
    <s v="1/01/2019"/>
    <x v="0"/>
    <s v="Male (M)"/>
    <s v="Non-Hispanic Asian"/>
    <s v="45-54 years"/>
    <n v="222"/>
    <n v="189"/>
    <m/>
    <n v="40"/>
    <n v="18"/>
    <n v="0"/>
    <m/>
    <m/>
    <m/>
    <m/>
    <m/>
    <n v="54"/>
    <n v="11"/>
    <n v="0"/>
    <n v="0"/>
  </r>
  <r>
    <n v="2019"/>
    <n v="1"/>
    <s v="1/01/2019"/>
    <x v="0"/>
    <s v="Male (M)"/>
    <s v="Non-Hispanic Asian"/>
    <s v="5-14 years"/>
    <n v="11"/>
    <m/>
    <n v="0"/>
    <m/>
    <n v="0"/>
    <n v="0"/>
    <n v="0"/>
    <n v="0"/>
    <n v="0"/>
    <n v="0"/>
    <m/>
    <m/>
    <n v="0"/>
    <n v="0"/>
    <n v="0"/>
  </r>
  <r>
    <n v="2019"/>
    <n v="1"/>
    <s v="1/01/2019"/>
    <x v="0"/>
    <s v="Male (M)"/>
    <s v="Non-Hispanic Asian"/>
    <s v="55-64 years"/>
    <n v="488"/>
    <n v="449"/>
    <m/>
    <n v="164"/>
    <n v="28"/>
    <n v="0"/>
    <n v="12"/>
    <m/>
    <m/>
    <m/>
    <m/>
    <n v="128"/>
    <n v="20"/>
    <n v="0"/>
    <n v="0"/>
  </r>
  <r>
    <n v="2019"/>
    <n v="1"/>
    <s v="1/01/2019"/>
    <x v="0"/>
    <s v="Male (M)"/>
    <s v="Non-Hispanic Asian"/>
    <s v="65-74 years"/>
    <n v="578"/>
    <n v="546"/>
    <m/>
    <n v="195"/>
    <n v="22"/>
    <m/>
    <n v="17"/>
    <n v="10"/>
    <m/>
    <n v="12"/>
    <m/>
    <n v="148"/>
    <n v="36"/>
    <n v="0"/>
    <n v="0"/>
  </r>
  <r>
    <n v="2019"/>
    <n v="1"/>
    <s v="1/01/2019"/>
    <x v="0"/>
    <s v="Male (M)"/>
    <s v="Non-Hispanic Asian"/>
    <s v="75-84 years"/>
    <n v="848"/>
    <n v="820"/>
    <n v="13"/>
    <n v="195"/>
    <n v="49"/>
    <n v="26"/>
    <n v="37"/>
    <n v="36"/>
    <n v="14"/>
    <n v="27"/>
    <m/>
    <n v="218"/>
    <n v="57"/>
    <n v="0"/>
    <n v="0"/>
  </r>
  <r>
    <n v="2019"/>
    <n v="1"/>
    <s v="1/01/2019"/>
    <x v="0"/>
    <s v="Male (M)"/>
    <s v="Non-Hispanic Asian"/>
    <s v="85 years and over"/>
    <n v="879"/>
    <n v="845"/>
    <m/>
    <n v="120"/>
    <n v="47"/>
    <n v="47"/>
    <n v="49"/>
    <n v="54"/>
    <m/>
    <n v="14"/>
    <n v="10"/>
    <n v="241"/>
    <n v="66"/>
    <n v="0"/>
    <n v="0"/>
  </r>
  <r>
    <n v="2019"/>
    <n v="1"/>
    <s v="1/01/2019"/>
    <x v="0"/>
    <s v="Male (M)"/>
    <s v="Non-Hispanic Black"/>
    <s v="0-4 years"/>
    <n v="289"/>
    <n v="242"/>
    <m/>
    <m/>
    <n v="0"/>
    <n v="0"/>
    <m/>
    <m/>
    <m/>
    <n v="0"/>
    <n v="40"/>
    <m/>
    <n v="0"/>
    <n v="0"/>
    <n v="0"/>
  </r>
  <r>
    <n v="2019"/>
    <n v="1"/>
    <s v="1/01/2019"/>
    <x v="0"/>
    <s v="Male (M)"/>
    <s v="Non-Hispanic Black"/>
    <s v="15-24 years"/>
    <n v="401"/>
    <n v="73"/>
    <m/>
    <n v="12"/>
    <m/>
    <n v="0"/>
    <m/>
    <m/>
    <n v="0"/>
    <n v="0"/>
    <m/>
    <n v="12"/>
    <m/>
    <n v="0"/>
    <n v="0"/>
  </r>
  <r>
    <n v="2019"/>
    <n v="1"/>
    <s v="1/01/2019"/>
    <x v="0"/>
    <s v="Male (M)"/>
    <s v="Non-Hispanic Black"/>
    <s v="25-34 years"/>
    <n v="650"/>
    <n v="199"/>
    <m/>
    <n v="20"/>
    <n v="16"/>
    <n v="0"/>
    <m/>
    <m/>
    <m/>
    <m/>
    <m/>
    <n v="53"/>
    <m/>
    <n v="0"/>
    <n v="0"/>
  </r>
  <r>
    <n v="2019"/>
    <n v="1"/>
    <s v="1/01/2019"/>
    <x v="0"/>
    <s v="Male (M)"/>
    <s v="Non-Hispanic Black"/>
    <s v="35-44 years"/>
    <n v="854"/>
    <n v="500"/>
    <m/>
    <n v="60"/>
    <n v="40"/>
    <n v="0"/>
    <m/>
    <m/>
    <m/>
    <n v="18"/>
    <n v="13"/>
    <n v="153"/>
    <n v="20"/>
    <n v="0"/>
    <n v="0"/>
  </r>
  <r>
    <n v="2019"/>
    <n v="1"/>
    <s v="1/01/2019"/>
    <x v="0"/>
    <s v="Male (M)"/>
    <s v="Non-Hispanic Black"/>
    <s v="45-54 years"/>
    <n v="1542"/>
    <n v="1235"/>
    <n v="23"/>
    <n v="207"/>
    <n v="88"/>
    <m/>
    <n v="24"/>
    <n v="26"/>
    <n v="12"/>
    <n v="39"/>
    <n v="14"/>
    <n v="439"/>
    <n v="62"/>
    <n v="0"/>
    <n v="0"/>
  </r>
  <r>
    <n v="2019"/>
    <n v="1"/>
    <s v="1/01/2019"/>
    <x v="0"/>
    <s v="Male (M)"/>
    <s v="Non-Hispanic Black"/>
    <s v="5-14 years"/>
    <n v="63"/>
    <n v="36"/>
    <n v="0"/>
    <m/>
    <n v="0"/>
    <n v="0"/>
    <n v="0"/>
    <m/>
    <m/>
    <n v="0"/>
    <n v="0"/>
    <n v="0"/>
    <m/>
    <n v="0"/>
    <n v="0"/>
  </r>
  <r>
    <n v="2019"/>
    <n v="1"/>
    <s v="1/01/2019"/>
    <x v="0"/>
    <s v="Male (M)"/>
    <s v="Non-Hispanic Black"/>
    <s v="55-64 years"/>
    <n v="3494"/>
    <n v="3125"/>
    <n v="65"/>
    <n v="761"/>
    <n v="187"/>
    <m/>
    <n v="51"/>
    <n v="95"/>
    <n v="38"/>
    <n v="80"/>
    <n v="39"/>
    <n v="997"/>
    <n v="177"/>
    <n v="0"/>
    <n v="0"/>
  </r>
  <r>
    <n v="2019"/>
    <n v="1"/>
    <s v="1/01/2019"/>
    <x v="0"/>
    <s v="Male (M)"/>
    <s v="Non-Hispanic Black"/>
    <s v="65-74 years"/>
    <n v="3776"/>
    <n v="3607"/>
    <n v="80"/>
    <n v="1011"/>
    <n v="200"/>
    <n v="22"/>
    <n v="57"/>
    <n v="158"/>
    <n v="56"/>
    <n v="129"/>
    <n v="27"/>
    <n v="1051"/>
    <n v="181"/>
    <n v="0"/>
    <n v="0"/>
  </r>
  <r>
    <n v="2019"/>
    <n v="1"/>
    <s v="1/01/2019"/>
    <x v="0"/>
    <s v="Male (M)"/>
    <s v="Non-Hispanic Black"/>
    <s v="75-84 years"/>
    <n v="2987"/>
    <n v="2907"/>
    <n v="64"/>
    <n v="653"/>
    <n v="152"/>
    <n v="81"/>
    <n v="72"/>
    <n v="131"/>
    <n v="34"/>
    <n v="107"/>
    <n v="18"/>
    <n v="824"/>
    <n v="182"/>
    <n v="0"/>
    <n v="0"/>
  </r>
  <r>
    <n v="2019"/>
    <n v="1"/>
    <s v="1/01/2019"/>
    <x v="0"/>
    <s v="Male (M)"/>
    <s v="Non-Hispanic Black"/>
    <s v="85 years and over"/>
    <n v="1787"/>
    <n v="1748"/>
    <n v="22"/>
    <n v="261"/>
    <n v="65"/>
    <n v="109"/>
    <n v="38"/>
    <n v="86"/>
    <n v="14"/>
    <n v="78"/>
    <n v="17"/>
    <n v="522"/>
    <n v="112"/>
    <n v="0"/>
    <n v="0"/>
  </r>
  <r>
    <n v="2019"/>
    <n v="1"/>
    <s v="1/01/2019"/>
    <x v="0"/>
    <s v="Male (M)"/>
    <s v="Non-Hispanic White"/>
    <s v="0-4 years"/>
    <n v="490"/>
    <n v="424"/>
    <m/>
    <m/>
    <m/>
    <n v="0"/>
    <m/>
    <m/>
    <n v="12"/>
    <m/>
    <n v="54"/>
    <n v="11"/>
    <m/>
    <n v="0"/>
    <n v="0"/>
  </r>
  <r>
    <n v="2019"/>
    <n v="1"/>
    <s v="1/01/2019"/>
    <x v="0"/>
    <s v="Male (M)"/>
    <s v="Non-Hispanic White"/>
    <s v="15-24 years"/>
    <n v="849"/>
    <n v="187"/>
    <m/>
    <n v="35"/>
    <n v="11"/>
    <n v="0"/>
    <m/>
    <n v="0"/>
    <m/>
    <m/>
    <n v="13"/>
    <n v="19"/>
    <m/>
    <n v="0"/>
    <n v="0"/>
  </r>
  <r>
    <n v="2019"/>
    <n v="1"/>
    <s v="1/01/2019"/>
    <x v="0"/>
    <s v="Male (M)"/>
    <s v="Non-Hispanic White"/>
    <s v="25-34 years"/>
    <n v="1802"/>
    <n v="467"/>
    <n v="12"/>
    <n v="63"/>
    <n v="19"/>
    <n v="0"/>
    <n v="11"/>
    <m/>
    <m/>
    <m/>
    <n v="22"/>
    <n v="105"/>
    <n v="15"/>
    <n v="0"/>
    <n v="0"/>
  </r>
  <r>
    <n v="2019"/>
    <n v="1"/>
    <s v="1/01/2019"/>
    <x v="0"/>
    <s v="Male (M)"/>
    <s v="Non-Hispanic White"/>
    <s v="35-44 years"/>
    <n v="2672"/>
    <n v="1282"/>
    <n v="20"/>
    <n v="242"/>
    <n v="78"/>
    <n v="0"/>
    <n v="32"/>
    <n v="16"/>
    <n v="13"/>
    <n v="17"/>
    <n v="22"/>
    <n v="342"/>
    <n v="26"/>
    <n v="0"/>
    <n v="0"/>
  </r>
  <r>
    <n v="2019"/>
    <n v="1"/>
    <s v="1/01/2019"/>
    <x v="0"/>
    <s v="Male (M)"/>
    <s v="Non-Hispanic White"/>
    <s v="45-54 years"/>
    <n v="5681"/>
    <n v="4265"/>
    <n v="54"/>
    <n v="1060"/>
    <n v="215"/>
    <m/>
    <n v="95"/>
    <n v="117"/>
    <n v="56"/>
    <n v="62"/>
    <n v="38"/>
    <n v="1205"/>
    <n v="144"/>
    <n v="0"/>
    <n v="0"/>
  </r>
  <r>
    <n v="2019"/>
    <n v="1"/>
    <s v="1/01/2019"/>
    <x v="0"/>
    <s v="Male (M)"/>
    <s v="Non-Hispanic White"/>
    <s v="5-14 years"/>
    <n v="135"/>
    <n v="70"/>
    <n v="0"/>
    <n v="18"/>
    <m/>
    <n v="0"/>
    <m/>
    <m/>
    <m/>
    <n v="0"/>
    <m/>
    <m/>
    <m/>
    <n v="0"/>
    <n v="0"/>
  </r>
  <r>
    <n v="2019"/>
    <n v="1"/>
    <s v="1/01/2019"/>
    <x v="0"/>
    <s v="Male (M)"/>
    <s v="Non-Hispanic White"/>
    <s v="55-64 years"/>
    <n v="14354"/>
    <n v="12841"/>
    <n v="192"/>
    <n v="3881"/>
    <n v="555"/>
    <n v="29"/>
    <n v="250"/>
    <n v="774"/>
    <n v="166"/>
    <n v="170"/>
    <n v="121"/>
    <n v="3516"/>
    <n v="412"/>
    <n v="0"/>
    <n v="0"/>
  </r>
  <r>
    <n v="2019"/>
    <n v="1"/>
    <s v="1/01/2019"/>
    <x v="0"/>
    <s v="Male (M)"/>
    <s v="Non-Hispanic White"/>
    <s v="65-74 years"/>
    <n v="21834"/>
    <n v="20741"/>
    <n v="294"/>
    <n v="6282"/>
    <n v="856"/>
    <n v="208"/>
    <n v="406"/>
    <n v="1660"/>
    <n v="392"/>
    <n v="356"/>
    <n v="149"/>
    <n v="5561"/>
    <n v="756"/>
    <n v="0"/>
    <n v="0"/>
  </r>
  <r>
    <n v="2019"/>
    <n v="1"/>
    <s v="1/01/2019"/>
    <x v="0"/>
    <s v="Male (M)"/>
    <s v="Non-Hispanic White"/>
    <s v="75-84 years"/>
    <n v="25992"/>
    <n v="24992"/>
    <n v="342"/>
    <n v="6212"/>
    <n v="823"/>
    <n v="892"/>
    <n v="532"/>
    <n v="2031"/>
    <n v="549"/>
    <n v="493"/>
    <n v="183"/>
    <n v="6453"/>
    <n v="1252"/>
    <n v="0"/>
    <n v="0"/>
  </r>
  <r>
    <n v="2019"/>
    <n v="1"/>
    <s v="1/01/2019"/>
    <x v="0"/>
    <s v="Male (M)"/>
    <s v="Non-Hispanic White"/>
    <s v="85 years and over"/>
    <n v="26509"/>
    <n v="25569"/>
    <n v="321"/>
    <n v="3612"/>
    <n v="533"/>
    <n v="1696"/>
    <n v="702"/>
    <n v="1497"/>
    <n v="463"/>
    <n v="573"/>
    <n v="290"/>
    <n v="8241"/>
    <n v="1597"/>
    <n v="0"/>
    <n v="0"/>
  </r>
  <r>
    <n v="2019"/>
    <n v="1"/>
    <s v="1/01/2019"/>
    <x v="0"/>
    <s v="Male (M)"/>
    <s v="Other"/>
    <s v="0-4 years"/>
    <n v="55"/>
    <n v="47"/>
    <n v="0"/>
    <m/>
    <n v="0"/>
    <n v="0"/>
    <m/>
    <n v="0"/>
    <m/>
    <n v="0"/>
    <m/>
    <m/>
    <n v="0"/>
    <n v="0"/>
    <n v="0"/>
  </r>
  <r>
    <n v="2019"/>
    <n v="1"/>
    <s v="1/01/2019"/>
    <x v="0"/>
    <s v="Male (M)"/>
    <s v="Other"/>
    <s v="15-24 years"/>
    <n v="35"/>
    <m/>
    <n v="0"/>
    <m/>
    <m/>
    <n v="0"/>
    <n v="0"/>
    <n v="0"/>
    <n v="0"/>
    <n v="0"/>
    <n v="0"/>
    <n v="0"/>
    <n v="0"/>
    <n v="0"/>
    <n v="0"/>
  </r>
  <r>
    <n v="2019"/>
    <n v="1"/>
    <s v="1/01/2019"/>
    <x v="0"/>
    <s v="Male (M)"/>
    <s v="Other"/>
    <s v="25-34 years"/>
    <n v="55"/>
    <n v="17"/>
    <m/>
    <m/>
    <m/>
    <n v="0"/>
    <m/>
    <n v="0"/>
    <m/>
    <m/>
    <m/>
    <m/>
    <n v="0"/>
    <n v="0"/>
    <n v="0"/>
  </r>
  <r>
    <n v="2019"/>
    <n v="1"/>
    <s v="1/01/2019"/>
    <x v="0"/>
    <s v="Male (M)"/>
    <s v="Other"/>
    <s v="35-44 years"/>
    <n v="76"/>
    <n v="42"/>
    <n v="0"/>
    <m/>
    <m/>
    <n v="0"/>
    <m/>
    <m/>
    <m/>
    <m/>
    <n v="0"/>
    <n v="13"/>
    <m/>
    <n v="0"/>
    <n v="0"/>
  </r>
  <r>
    <n v="2019"/>
    <n v="1"/>
    <s v="1/01/2019"/>
    <x v="0"/>
    <s v="Male (M)"/>
    <s v="Other"/>
    <s v="45-54 years"/>
    <n v="118"/>
    <n v="92"/>
    <m/>
    <n v="20"/>
    <m/>
    <n v="0"/>
    <m/>
    <m/>
    <m/>
    <m/>
    <m/>
    <n v="26"/>
    <m/>
    <n v="0"/>
    <n v="0"/>
  </r>
  <r>
    <n v="2019"/>
    <n v="1"/>
    <s v="1/01/2019"/>
    <x v="0"/>
    <s v="Male (M)"/>
    <s v="Other"/>
    <s v="5-14 years"/>
    <m/>
    <m/>
    <n v="0"/>
    <m/>
    <n v="0"/>
    <n v="0"/>
    <n v="0"/>
    <n v="0"/>
    <n v="0"/>
    <n v="0"/>
    <n v="0"/>
    <n v="0"/>
    <n v="0"/>
    <n v="0"/>
    <n v="0"/>
  </r>
  <r>
    <n v="2019"/>
    <n v="1"/>
    <s v="1/01/2019"/>
    <x v="0"/>
    <s v="Male (M)"/>
    <s v="Other"/>
    <s v="55-64 years"/>
    <n v="272"/>
    <n v="248"/>
    <m/>
    <n v="49"/>
    <n v="15"/>
    <n v="0"/>
    <m/>
    <n v="14"/>
    <m/>
    <m/>
    <m/>
    <n v="100"/>
    <m/>
    <n v="0"/>
    <n v="0"/>
  </r>
  <r>
    <n v="2019"/>
    <n v="1"/>
    <s v="1/01/2019"/>
    <x v="0"/>
    <s v="Male (M)"/>
    <s v="Other"/>
    <s v="65-74 years"/>
    <n v="258"/>
    <n v="236"/>
    <m/>
    <n v="72"/>
    <n v="12"/>
    <m/>
    <m/>
    <n v="22"/>
    <m/>
    <m/>
    <m/>
    <n v="68"/>
    <m/>
    <n v="0"/>
    <n v="0"/>
  </r>
  <r>
    <n v="2019"/>
    <n v="1"/>
    <s v="1/01/2019"/>
    <x v="0"/>
    <s v="Male (M)"/>
    <s v="Other"/>
    <s v="75-84 years"/>
    <n v="181"/>
    <n v="175"/>
    <m/>
    <n v="45"/>
    <m/>
    <m/>
    <m/>
    <n v="14"/>
    <m/>
    <m/>
    <m/>
    <n v="54"/>
    <m/>
    <n v="0"/>
    <n v="0"/>
  </r>
  <r>
    <n v="2019"/>
    <n v="1"/>
    <s v="1/01/2019"/>
    <x v="0"/>
    <s v="Male (M)"/>
    <s v="Other"/>
    <s v="85 years and over"/>
    <n v="122"/>
    <n v="118"/>
    <n v="0"/>
    <m/>
    <m/>
    <m/>
    <m/>
    <n v="10"/>
    <m/>
    <m/>
    <m/>
    <n v="47"/>
    <m/>
    <n v="0"/>
    <n v="0"/>
  </r>
  <r>
    <n v="2019"/>
    <n v="2"/>
    <s v="2/01/2019"/>
    <x v="1"/>
    <s v="Female (F)"/>
    <s v="Hispanic"/>
    <s v="0-4 years"/>
    <n v="198"/>
    <n v="183"/>
    <n v="0"/>
    <m/>
    <n v="0"/>
    <n v="0"/>
    <m/>
    <n v="0"/>
    <n v="0"/>
    <n v="0"/>
    <n v="14"/>
    <m/>
    <m/>
    <n v="0"/>
    <n v="0"/>
  </r>
  <r>
    <n v="2019"/>
    <n v="2"/>
    <s v="2/01/2019"/>
    <x v="1"/>
    <s v="Female (F)"/>
    <s v="Hispanic"/>
    <s v="15-24 years"/>
    <n v="114"/>
    <n v="47"/>
    <n v="0"/>
    <n v="19"/>
    <m/>
    <n v="0"/>
    <m/>
    <m/>
    <n v="0"/>
    <n v="0"/>
    <n v="0"/>
    <m/>
    <m/>
    <n v="0"/>
    <n v="0"/>
  </r>
  <r>
    <n v="2019"/>
    <n v="2"/>
    <s v="2/01/2019"/>
    <x v="1"/>
    <s v="Female (F)"/>
    <s v="Hispanic"/>
    <s v="25-34 years"/>
    <n v="170"/>
    <n v="96"/>
    <m/>
    <n v="28"/>
    <m/>
    <n v="0"/>
    <m/>
    <m/>
    <m/>
    <m/>
    <n v="0"/>
    <n v="13"/>
    <m/>
    <n v="0"/>
    <n v="0"/>
  </r>
  <r>
    <n v="2019"/>
    <n v="2"/>
    <s v="2/01/2019"/>
    <x v="1"/>
    <s v="Female (F)"/>
    <s v="Hispanic"/>
    <s v="35-44 years"/>
    <n v="288"/>
    <n v="217"/>
    <n v="0"/>
    <n v="81"/>
    <n v="12"/>
    <n v="0"/>
    <n v="10"/>
    <m/>
    <m/>
    <m/>
    <m/>
    <n v="25"/>
    <m/>
    <n v="0"/>
    <n v="0"/>
  </r>
  <r>
    <n v="2019"/>
    <n v="2"/>
    <s v="2/01/2019"/>
    <x v="1"/>
    <s v="Female (F)"/>
    <s v="Hispanic"/>
    <s v="45-54 years"/>
    <n v="498"/>
    <n v="428"/>
    <n v="14"/>
    <n v="154"/>
    <n v="33"/>
    <n v="0"/>
    <n v="17"/>
    <m/>
    <m/>
    <n v="10"/>
    <m/>
    <n v="59"/>
    <n v="29"/>
    <n v="0"/>
    <n v="0"/>
  </r>
  <r>
    <n v="2019"/>
    <n v="2"/>
    <s v="2/01/2019"/>
    <x v="1"/>
    <s v="Female (F)"/>
    <s v="Hispanic"/>
    <s v="5-14 years"/>
    <n v="43"/>
    <n v="33"/>
    <m/>
    <n v="12"/>
    <n v="0"/>
    <n v="0"/>
    <m/>
    <n v="0"/>
    <m/>
    <n v="0"/>
    <n v="0"/>
    <m/>
    <n v="0"/>
    <n v="0"/>
    <n v="0"/>
  </r>
  <r>
    <n v="2019"/>
    <n v="2"/>
    <s v="2/01/2019"/>
    <x v="1"/>
    <s v="Female (F)"/>
    <s v="Hispanic"/>
    <s v="55-64 years"/>
    <n v="946"/>
    <n v="895"/>
    <n v="20"/>
    <n v="342"/>
    <n v="61"/>
    <m/>
    <n v="38"/>
    <n v="24"/>
    <m/>
    <n v="27"/>
    <m/>
    <n v="138"/>
    <n v="38"/>
    <n v="0"/>
    <n v="0"/>
  </r>
  <r>
    <n v="2019"/>
    <n v="2"/>
    <s v="2/01/2019"/>
    <x v="1"/>
    <s v="Female (F)"/>
    <s v="Hispanic"/>
    <s v="65-74 years"/>
    <n v="1258"/>
    <n v="1219"/>
    <n v="20"/>
    <n v="402"/>
    <n v="104"/>
    <n v="24"/>
    <n v="25"/>
    <n v="31"/>
    <n v="26"/>
    <n v="32"/>
    <m/>
    <n v="225"/>
    <n v="78"/>
    <n v="0"/>
    <n v="0"/>
  </r>
  <r>
    <n v="2019"/>
    <n v="2"/>
    <s v="2/01/2019"/>
    <x v="1"/>
    <s v="Female (F)"/>
    <s v="Hispanic"/>
    <s v="75-84 years"/>
    <n v="1772"/>
    <n v="1734"/>
    <n v="27"/>
    <n v="362"/>
    <n v="103"/>
    <n v="123"/>
    <n v="46"/>
    <n v="83"/>
    <n v="49"/>
    <n v="47"/>
    <m/>
    <n v="362"/>
    <n v="130"/>
    <n v="0"/>
    <n v="0"/>
  </r>
  <r>
    <n v="2019"/>
    <n v="2"/>
    <s v="2/01/2019"/>
    <x v="1"/>
    <s v="Female (F)"/>
    <s v="Hispanic"/>
    <s v="85 years and over"/>
    <n v="2486"/>
    <n v="2428"/>
    <n v="24"/>
    <n v="241"/>
    <n v="84"/>
    <n v="326"/>
    <n v="66"/>
    <n v="93"/>
    <n v="37"/>
    <n v="48"/>
    <n v="20"/>
    <n v="666"/>
    <n v="221"/>
    <n v="0"/>
    <n v="0"/>
  </r>
  <r>
    <n v="2019"/>
    <n v="2"/>
    <s v="2/01/2019"/>
    <x v="1"/>
    <s v="Female (F)"/>
    <s v="Non-Hispanic American Indian or Alaska Native"/>
    <s v="0-4 years"/>
    <m/>
    <m/>
    <n v="0"/>
    <n v="0"/>
    <n v="0"/>
    <n v="0"/>
    <n v="0"/>
    <n v="0"/>
    <n v="0"/>
    <n v="0"/>
    <m/>
    <n v="0"/>
    <n v="0"/>
    <n v="0"/>
    <n v="0"/>
  </r>
  <r>
    <n v="2019"/>
    <n v="2"/>
    <s v="2/01/2019"/>
    <x v="1"/>
    <s v="Female (F)"/>
    <s v="Non-Hispanic American Indian or Alaska Native"/>
    <s v="15-24 years"/>
    <n v="10"/>
    <m/>
    <n v="0"/>
    <n v="0"/>
    <n v="0"/>
    <n v="0"/>
    <n v="0"/>
    <n v="0"/>
    <n v="0"/>
    <n v="0"/>
    <n v="0"/>
    <n v="0"/>
    <n v="0"/>
    <n v="0"/>
    <n v="0"/>
  </r>
  <r>
    <n v="2019"/>
    <n v="2"/>
    <s v="2/01/2019"/>
    <x v="1"/>
    <s v="Female (F)"/>
    <s v="Non-Hispanic American Indian or Alaska Native"/>
    <s v="25-34 years"/>
    <n v="29"/>
    <n v="12"/>
    <n v="0"/>
    <m/>
    <m/>
    <n v="0"/>
    <n v="0"/>
    <n v="0"/>
    <n v="0"/>
    <m/>
    <n v="0"/>
    <n v="0"/>
    <n v="0"/>
    <n v="0"/>
    <n v="0"/>
  </r>
  <r>
    <n v="2019"/>
    <n v="2"/>
    <s v="2/01/2019"/>
    <x v="1"/>
    <s v="Female (F)"/>
    <s v="Non-Hispanic American Indian or Alaska Native"/>
    <s v="35-44 years"/>
    <n v="39"/>
    <n v="28"/>
    <n v="0"/>
    <m/>
    <m/>
    <n v="0"/>
    <m/>
    <n v="0"/>
    <n v="0"/>
    <m/>
    <n v="0"/>
    <m/>
    <n v="0"/>
    <n v="0"/>
    <n v="0"/>
  </r>
  <r>
    <n v="2019"/>
    <n v="2"/>
    <s v="2/01/2019"/>
    <x v="1"/>
    <s v="Female (F)"/>
    <s v="Non-Hispanic American Indian or Alaska Native"/>
    <s v="45-54 years"/>
    <n v="64"/>
    <n v="50"/>
    <m/>
    <n v="12"/>
    <m/>
    <n v="0"/>
    <n v="0"/>
    <m/>
    <n v="0"/>
    <m/>
    <n v="0"/>
    <m/>
    <m/>
    <n v="0"/>
    <n v="0"/>
  </r>
  <r>
    <n v="2019"/>
    <n v="2"/>
    <s v="2/01/2019"/>
    <x v="1"/>
    <s v="Female (F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19"/>
    <n v="2"/>
    <s v="2/01/2019"/>
    <x v="1"/>
    <s v="Female (F)"/>
    <s v="Non-Hispanic American Indian or Alaska Native"/>
    <s v="55-64 years"/>
    <n v="112"/>
    <n v="106"/>
    <m/>
    <n v="21"/>
    <n v="12"/>
    <n v="0"/>
    <m/>
    <m/>
    <m/>
    <m/>
    <m/>
    <n v="16"/>
    <m/>
    <n v="0"/>
    <n v="0"/>
  </r>
  <r>
    <n v="2019"/>
    <n v="2"/>
    <s v="2/01/2019"/>
    <x v="1"/>
    <s v="Female (F)"/>
    <s v="Non-Hispanic American Indian or Alaska Native"/>
    <s v="65-74 years"/>
    <n v="133"/>
    <n v="130"/>
    <m/>
    <n v="33"/>
    <m/>
    <n v="0"/>
    <m/>
    <n v="14"/>
    <n v="0"/>
    <m/>
    <n v="0"/>
    <n v="25"/>
    <m/>
    <n v="0"/>
    <n v="0"/>
  </r>
  <r>
    <n v="2019"/>
    <n v="2"/>
    <s v="2/01/2019"/>
    <x v="1"/>
    <s v="Female (F)"/>
    <s v="Non-Hispanic American Indian or Alaska Native"/>
    <s v="75-84 years"/>
    <n v="128"/>
    <n v="125"/>
    <m/>
    <n v="18"/>
    <n v="10"/>
    <m/>
    <m/>
    <n v="14"/>
    <m/>
    <n v="10"/>
    <m/>
    <n v="26"/>
    <m/>
    <n v="0"/>
    <n v="0"/>
  </r>
  <r>
    <n v="2019"/>
    <n v="2"/>
    <s v="2/01/2019"/>
    <x v="1"/>
    <s v="Female (F)"/>
    <s v="Non-Hispanic American Indian or Alaska Native"/>
    <s v="85 years and over"/>
    <n v="110"/>
    <n v="110"/>
    <n v="0"/>
    <m/>
    <m/>
    <n v="10"/>
    <m/>
    <n v="15"/>
    <m/>
    <m/>
    <m/>
    <n v="30"/>
    <m/>
    <n v="0"/>
    <n v="0"/>
  </r>
  <r>
    <n v="2019"/>
    <n v="2"/>
    <s v="2/01/2019"/>
    <x v="1"/>
    <s v="Female (F)"/>
    <s v="Non-Hispanic Asian"/>
    <s v="0-4 years"/>
    <n v="28"/>
    <n v="28"/>
    <n v="0"/>
    <m/>
    <n v="0"/>
    <n v="0"/>
    <m/>
    <n v="0"/>
    <n v="0"/>
    <n v="0"/>
    <m/>
    <m/>
    <n v="0"/>
    <n v="0"/>
    <n v="0"/>
  </r>
  <r>
    <n v="2019"/>
    <n v="2"/>
    <s v="2/01/2019"/>
    <x v="1"/>
    <s v="Female (F)"/>
    <s v="Non-Hispanic Asian"/>
    <s v="15-24 years"/>
    <n v="13"/>
    <m/>
    <n v="0"/>
    <m/>
    <m/>
    <n v="0"/>
    <n v="0"/>
    <n v="0"/>
    <n v="0"/>
    <n v="0"/>
    <n v="0"/>
    <n v="0"/>
    <n v="0"/>
    <n v="0"/>
    <n v="0"/>
  </r>
  <r>
    <n v="2019"/>
    <n v="2"/>
    <s v="2/01/2019"/>
    <x v="1"/>
    <s v="Female (F)"/>
    <s v="Non-Hispanic Asian"/>
    <s v="25-34 years"/>
    <n v="36"/>
    <n v="17"/>
    <n v="0"/>
    <m/>
    <n v="0"/>
    <n v="0"/>
    <m/>
    <n v="0"/>
    <n v="0"/>
    <n v="0"/>
    <m/>
    <n v="0"/>
    <n v="0"/>
    <n v="0"/>
    <n v="0"/>
  </r>
  <r>
    <n v="2019"/>
    <n v="2"/>
    <s v="2/01/2019"/>
    <x v="1"/>
    <s v="Female (F)"/>
    <s v="Non-Hispanic Asian"/>
    <s v="35-44 years"/>
    <n v="52"/>
    <n v="45"/>
    <n v="0"/>
    <n v="20"/>
    <m/>
    <n v="0"/>
    <m/>
    <n v="0"/>
    <n v="0"/>
    <n v="0"/>
    <m/>
    <m/>
    <m/>
    <n v="0"/>
    <n v="0"/>
  </r>
  <r>
    <n v="2019"/>
    <n v="2"/>
    <s v="2/01/2019"/>
    <x v="1"/>
    <s v="Female (F)"/>
    <s v="Non-Hispanic Asian"/>
    <s v="45-54 years"/>
    <n v="154"/>
    <n v="137"/>
    <n v="0"/>
    <n v="84"/>
    <m/>
    <n v="0"/>
    <m/>
    <n v="0"/>
    <n v="0"/>
    <m/>
    <m/>
    <n v="14"/>
    <m/>
    <n v="0"/>
    <n v="0"/>
  </r>
  <r>
    <n v="2019"/>
    <n v="2"/>
    <s v="2/01/2019"/>
    <x v="1"/>
    <s v="Female (F)"/>
    <s v="Non-Hispanic Asian"/>
    <s v="5-14 years"/>
    <m/>
    <m/>
    <n v="0"/>
    <m/>
    <n v="0"/>
    <n v="0"/>
    <m/>
    <n v="0"/>
    <n v="0"/>
    <n v="0"/>
    <n v="0"/>
    <m/>
    <n v="0"/>
    <n v="0"/>
    <n v="0"/>
  </r>
  <r>
    <n v="2019"/>
    <n v="2"/>
    <s v="2/01/2019"/>
    <x v="1"/>
    <s v="Female (F)"/>
    <s v="Non-Hispanic Asian"/>
    <s v="55-64 years"/>
    <n v="250"/>
    <n v="238"/>
    <m/>
    <n v="119"/>
    <n v="12"/>
    <n v="0"/>
    <m/>
    <m/>
    <m/>
    <m/>
    <n v="0"/>
    <n v="34"/>
    <n v="14"/>
    <n v="0"/>
    <n v="0"/>
  </r>
  <r>
    <n v="2019"/>
    <n v="2"/>
    <s v="2/01/2019"/>
    <x v="1"/>
    <s v="Female (F)"/>
    <s v="Non-Hispanic Asian"/>
    <s v="65-74 years"/>
    <n v="440"/>
    <n v="420"/>
    <m/>
    <n v="149"/>
    <n v="27"/>
    <m/>
    <n v="14"/>
    <m/>
    <n v="10"/>
    <n v="11"/>
    <m/>
    <n v="78"/>
    <n v="35"/>
    <n v="0"/>
    <n v="0"/>
  </r>
  <r>
    <n v="2019"/>
    <n v="2"/>
    <s v="2/01/2019"/>
    <x v="1"/>
    <s v="Female (F)"/>
    <s v="Non-Hispanic Asian"/>
    <s v="75-84 years"/>
    <n v="684"/>
    <n v="659"/>
    <m/>
    <n v="139"/>
    <n v="46"/>
    <n v="35"/>
    <n v="24"/>
    <n v="26"/>
    <n v="11"/>
    <n v="18"/>
    <m/>
    <n v="133"/>
    <n v="64"/>
    <n v="0"/>
    <n v="0"/>
  </r>
  <r>
    <n v="2019"/>
    <n v="2"/>
    <s v="2/01/2019"/>
    <x v="1"/>
    <s v="Female (F)"/>
    <s v="Non-Hispanic Asian"/>
    <s v="85 years and over"/>
    <n v="1191"/>
    <n v="1164"/>
    <n v="14"/>
    <n v="113"/>
    <n v="51"/>
    <n v="148"/>
    <n v="60"/>
    <n v="34"/>
    <n v="13"/>
    <n v="28"/>
    <n v="10"/>
    <n v="287"/>
    <n v="101"/>
    <n v="0"/>
    <n v="0"/>
  </r>
  <r>
    <n v="2019"/>
    <n v="2"/>
    <s v="2/01/2019"/>
    <x v="1"/>
    <s v="Female (F)"/>
    <s v="Non-Hispanic Black"/>
    <s v="0-4 years"/>
    <n v="247"/>
    <n v="224"/>
    <m/>
    <m/>
    <n v="0"/>
    <n v="0"/>
    <m/>
    <n v="0"/>
    <m/>
    <n v="0"/>
    <n v="28"/>
    <m/>
    <n v="0"/>
    <n v="0"/>
    <n v="0"/>
  </r>
  <r>
    <n v="2019"/>
    <n v="2"/>
    <s v="2/01/2019"/>
    <x v="1"/>
    <s v="Female (F)"/>
    <s v="Non-Hispanic Black"/>
    <s v="15-24 years"/>
    <n v="120"/>
    <n v="52"/>
    <m/>
    <m/>
    <m/>
    <n v="0"/>
    <m/>
    <m/>
    <m/>
    <n v="0"/>
    <m/>
    <n v="19"/>
    <m/>
    <n v="0"/>
    <n v="0"/>
  </r>
  <r>
    <n v="2019"/>
    <n v="2"/>
    <s v="2/01/2019"/>
    <x v="1"/>
    <s v="Female (F)"/>
    <s v="Non-Hispanic Black"/>
    <s v="25-34 years"/>
    <n v="268"/>
    <n v="173"/>
    <m/>
    <n v="25"/>
    <n v="15"/>
    <n v="0"/>
    <m/>
    <m/>
    <m/>
    <m/>
    <m/>
    <n v="38"/>
    <m/>
    <n v="0"/>
    <n v="0"/>
  </r>
  <r>
    <n v="2019"/>
    <n v="2"/>
    <s v="2/01/2019"/>
    <x v="1"/>
    <s v="Female (F)"/>
    <s v="Non-Hispanic Black"/>
    <s v="35-44 years"/>
    <n v="498"/>
    <n v="395"/>
    <m/>
    <n v="103"/>
    <n v="17"/>
    <n v="0"/>
    <n v="11"/>
    <m/>
    <n v="12"/>
    <n v="11"/>
    <m/>
    <n v="86"/>
    <n v="22"/>
    <n v="0"/>
    <n v="0"/>
  </r>
  <r>
    <n v="2019"/>
    <n v="2"/>
    <s v="2/01/2019"/>
    <x v="1"/>
    <s v="Female (F)"/>
    <s v="Non-Hispanic Black"/>
    <s v="45-54 years"/>
    <n v="961"/>
    <n v="853"/>
    <n v="18"/>
    <n v="261"/>
    <n v="43"/>
    <m/>
    <n v="19"/>
    <n v="21"/>
    <n v="10"/>
    <n v="30"/>
    <m/>
    <n v="219"/>
    <n v="49"/>
    <n v="0"/>
    <n v="0"/>
  </r>
  <r>
    <n v="2019"/>
    <n v="2"/>
    <s v="2/01/2019"/>
    <x v="1"/>
    <s v="Female (F)"/>
    <s v="Non-Hispanic Black"/>
    <s v="5-14 years"/>
    <n v="45"/>
    <n v="28"/>
    <m/>
    <m/>
    <m/>
    <n v="0"/>
    <m/>
    <m/>
    <m/>
    <n v="0"/>
    <m/>
    <m/>
    <n v="0"/>
    <n v="0"/>
    <n v="0"/>
  </r>
  <r>
    <n v="2019"/>
    <n v="2"/>
    <s v="2/01/2019"/>
    <x v="1"/>
    <s v="Female (F)"/>
    <s v="Non-Hispanic Black"/>
    <s v="55-64 years"/>
    <n v="2189"/>
    <n v="2087"/>
    <n v="54"/>
    <n v="678"/>
    <n v="120"/>
    <n v="10"/>
    <n v="52"/>
    <n v="112"/>
    <n v="30"/>
    <n v="58"/>
    <n v="12"/>
    <n v="473"/>
    <n v="98"/>
    <n v="0"/>
    <n v="0"/>
  </r>
  <r>
    <n v="2019"/>
    <n v="2"/>
    <s v="2/01/2019"/>
    <x v="1"/>
    <s v="Female (F)"/>
    <s v="Non-Hispanic Black"/>
    <s v="65-74 years"/>
    <n v="2775"/>
    <n v="2707"/>
    <n v="64"/>
    <n v="781"/>
    <n v="175"/>
    <n v="44"/>
    <n v="50"/>
    <n v="146"/>
    <n v="47"/>
    <n v="107"/>
    <n v="20"/>
    <n v="614"/>
    <n v="177"/>
    <n v="0"/>
    <n v="0"/>
  </r>
  <r>
    <n v="2019"/>
    <n v="2"/>
    <s v="2/01/2019"/>
    <x v="1"/>
    <s v="Female (F)"/>
    <s v="Non-Hispanic Black"/>
    <s v="75-84 years"/>
    <n v="2896"/>
    <n v="2853"/>
    <n v="58"/>
    <n v="595"/>
    <n v="143"/>
    <n v="179"/>
    <n v="57"/>
    <n v="109"/>
    <n v="41"/>
    <n v="103"/>
    <n v="22"/>
    <n v="697"/>
    <n v="235"/>
    <n v="0"/>
    <n v="0"/>
  </r>
  <r>
    <n v="2019"/>
    <n v="2"/>
    <s v="2/01/2019"/>
    <x v="1"/>
    <s v="Female (F)"/>
    <s v="Non-Hispanic Black"/>
    <s v="85 years and over"/>
    <n v="3374"/>
    <n v="3328"/>
    <n v="44"/>
    <n v="365"/>
    <n v="115"/>
    <n v="345"/>
    <n v="67"/>
    <n v="92"/>
    <n v="24"/>
    <n v="95"/>
    <n v="55"/>
    <n v="919"/>
    <n v="322"/>
    <n v="0"/>
    <n v="0"/>
  </r>
  <r>
    <n v="2019"/>
    <n v="2"/>
    <s v="2/01/2019"/>
    <x v="1"/>
    <s v="Female (F)"/>
    <s v="Non-Hispanic White"/>
    <s v="0-4 years"/>
    <n v="345"/>
    <n v="307"/>
    <m/>
    <m/>
    <n v="0"/>
    <n v="0"/>
    <m/>
    <n v="0"/>
    <m/>
    <m/>
    <n v="32"/>
    <m/>
    <m/>
    <n v="0"/>
    <n v="0"/>
  </r>
  <r>
    <n v="2019"/>
    <n v="2"/>
    <s v="2/01/2019"/>
    <x v="1"/>
    <s v="Female (F)"/>
    <s v="Non-Hispanic White"/>
    <s v="15-24 years"/>
    <n v="322"/>
    <n v="102"/>
    <m/>
    <n v="17"/>
    <m/>
    <n v="0"/>
    <m/>
    <m/>
    <m/>
    <m/>
    <m/>
    <n v="16"/>
    <m/>
    <n v="0"/>
    <n v="0"/>
  </r>
  <r>
    <n v="2019"/>
    <n v="2"/>
    <s v="2/01/2019"/>
    <x v="1"/>
    <s v="Female (F)"/>
    <s v="Non-Hispanic White"/>
    <s v="25-34 years"/>
    <n v="799"/>
    <n v="374"/>
    <n v="10"/>
    <n v="73"/>
    <n v="11"/>
    <n v="0"/>
    <n v="14"/>
    <m/>
    <m/>
    <m/>
    <n v="13"/>
    <n v="52"/>
    <n v="11"/>
    <n v="0"/>
    <n v="0"/>
  </r>
  <r>
    <n v="2019"/>
    <n v="2"/>
    <s v="2/01/2019"/>
    <x v="1"/>
    <s v="Female (F)"/>
    <s v="Non-Hispanic White"/>
    <s v="35-44 years"/>
    <n v="1329"/>
    <n v="856"/>
    <n v="15"/>
    <n v="270"/>
    <n v="44"/>
    <n v="0"/>
    <n v="33"/>
    <n v="14"/>
    <n v="14"/>
    <m/>
    <n v="27"/>
    <n v="128"/>
    <n v="27"/>
    <n v="0"/>
    <n v="0"/>
  </r>
  <r>
    <n v="2019"/>
    <n v="2"/>
    <s v="2/01/2019"/>
    <x v="1"/>
    <s v="Female (F)"/>
    <s v="Non-Hispanic White"/>
    <s v="45-54 years"/>
    <n v="3220"/>
    <n v="2616"/>
    <n v="48"/>
    <n v="917"/>
    <n v="113"/>
    <m/>
    <n v="92"/>
    <n v="165"/>
    <n v="43"/>
    <n v="34"/>
    <n v="30"/>
    <n v="436"/>
    <n v="87"/>
    <n v="0"/>
    <n v="0"/>
  </r>
  <r>
    <n v="2019"/>
    <n v="2"/>
    <s v="2/01/2019"/>
    <x v="1"/>
    <s v="Female (F)"/>
    <s v="Non-Hispanic White"/>
    <s v="5-14 years"/>
    <n v="105"/>
    <n v="74"/>
    <m/>
    <n v="16"/>
    <n v="0"/>
    <n v="0"/>
    <n v="11"/>
    <m/>
    <m/>
    <m/>
    <m/>
    <m/>
    <m/>
    <n v="0"/>
    <n v="0"/>
  </r>
  <r>
    <n v="2019"/>
    <n v="2"/>
    <s v="2/01/2019"/>
    <x v="1"/>
    <s v="Female (F)"/>
    <s v="Non-Hispanic White"/>
    <s v="55-64 years"/>
    <n v="8308"/>
    <n v="7693"/>
    <n v="137"/>
    <n v="2784"/>
    <n v="262"/>
    <n v="52"/>
    <n v="204"/>
    <n v="683"/>
    <n v="127"/>
    <n v="96"/>
    <n v="65"/>
    <n v="1385"/>
    <n v="239"/>
    <n v="0"/>
    <n v="0"/>
  </r>
  <r>
    <n v="2019"/>
    <n v="2"/>
    <s v="2/01/2019"/>
    <x v="1"/>
    <s v="Female (F)"/>
    <s v="Non-Hispanic White"/>
    <s v="65-74 years"/>
    <n v="14506"/>
    <n v="14033"/>
    <n v="289"/>
    <n v="4606"/>
    <n v="490"/>
    <n v="293"/>
    <n v="308"/>
    <n v="1461"/>
    <n v="265"/>
    <n v="224"/>
    <n v="102"/>
    <n v="2586"/>
    <n v="647"/>
    <n v="0"/>
    <n v="0"/>
  </r>
  <r>
    <n v="2019"/>
    <n v="2"/>
    <s v="2/01/2019"/>
    <x v="1"/>
    <s v="Female (F)"/>
    <s v="Non-Hispanic White"/>
    <s v="75-84 years"/>
    <n v="21758"/>
    <n v="21147"/>
    <n v="326"/>
    <n v="4608"/>
    <n v="563"/>
    <n v="1435"/>
    <n v="479"/>
    <n v="2127"/>
    <n v="420"/>
    <n v="387"/>
    <n v="203"/>
    <n v="4517"/>
    <n v="1310"/>
    <n v="0"/>
    <n v="0"/>
  </r>
  <r>
    <n v="2019"/>
    <n v="2"/>
    <s v="2/01/2019"/>
    <x v="1"/>
    <s v="Female (F)"/>
    <s v="Non-Hispanic White"/>
    <s v="85 years and over"/>
    <n v="37038"/>
    <n v="35925"/>
    <n v="400"/>
    <n v="3415"/>
    <n v="560"/>
    <n v="3934"/>
    <n v="1032"/>
    <n v="1937"/>
    <n v="502"/>
    <n v="574"/>
    <n v="582"/>
    <n v="10487"/>
    <n v="2866"/>
    <n v="0"/>
    <n v="0"/>
  </r>
  <r>
    <n v="2019"/>
    <n v="2"/>
    <s v="2/01/2019"/>
    <x v="1"/>
    <s v="Female (F)"/>
    <s v="Other"/>
    <s v="0-4 years"/>
    <n v="39"/>
    <n v="32"/>
    <n v="0"/>
    <m/>
    <n v="0"/>
    <n v="0"/>
    <m/>
    <m/>
    <n v="0"/>
    <n v="0"/>
    <m/>
    <m/>
    <n v="0"/>
    <n v="0"/>
    <n v="0"/>
  </r>
  <r>
    <n v="2019"/>
    <n v="2"/>
    <s v="2/01/2019"/>
    <x v="1"/>
    <s v="Female (F)"/>
    <s v="Other"/>
    <s v="15-24 years"/>
    <n v="13"/>
    <m/>
    <n v="0"/>
    <m/>
    <n v="0"/>
    <n v="0"/>
    <n v="0"/>
    <n v="0"/>
    <n v="0"/>
    <m/>
    <n v="0"/>
    <n v="0"/>
    <n v="0"/>
    <n v="0"/>
    <n v="0"/>
  </r>
  <r>
    <n v="2019"/>
    <n v="2"/>
    <s v="2/01/2019"/>
    <x v="1"/>
    <s v="Female (F)"/>
    <s v="Other"/>
    <s v="25-34 years"/>
    <n v="34"/>
    <n v="17"/>
    <n v="0"/>
    <m/>
    <m/>
    <n v="0"/>
    <n v="0"/>
    <n v="0"/>
    <n v="0"/>
    <n v="0"/>
    <m/>
    <m/>
    <m/>
    <n v="0"/>
    <n v="0"/>
  </r>
  <r>
    <n v="2019"/>
    <n v="2"/>
    <s v="2/01/2019"/>
    <x v="1"/>
    <s v="Female (F)"/>
    <s v="Other"/>
    <s v="35-44 years"/>
    <n v="34"/>
    <n v="28"/>
    <m/>
    <m/>
    <m/>
    <n v="0"/>
    <m/>
    <n v="0"/>
    <n v="0"/>
    <m/>
    <n v="0"/>
    <m/>
    <m/>
    <n v="0"/>
    <n v="0"/>
  </r>
  <r>
    <n v="2019"/>
    <n v="2"/>
    <s v="2/01/2019"/>
    <x v="1"/>
    <s v="Female (F)"/>
    <s v="Other"/>
    <s v="45-54 years"/>
    <n v="68"/>
    <n v="55"/>
    <n v="0"/>
    <n v="12"/>
    <m/>
    <n v="0"/>
    <m/>
    <m/>
    <n v="0"/>
    <m/>
    <m/>
    <n v="16"/>
    <m/>
    <n v="0"/>
    <n v="0"/>
  </r>
  <r>
    <n v="2019"/>
    <n v="2"/>
    <s v="2/01/2019"/>
    <x v="1"/>
    <s v="Female (F)"/>
    <s v="Other"/>
    <s v="5-14 years"/>
    <m/>
    <m/>
    <n v="0"/>
    <n v="0"/>
    <n v="0"/>
    <n v="0"/>
    <n v="0"/>
    <n v="0"/>
    <n v="0"/>
    <n v="0"/>
    <m/>
    <n v="0"/>
    <m/>
    <n v="0"/>
    <n v="0"/>
  </r>
  <r>
    <n v="2019"/>
    <n v="2"/>
    <s v="2/01/2019"/>
    <x v="1"/>
    <s v="Female (F)"/>
    <s v="Other"/>
    <s v="55-64 years"/>
    <n v="123"/>
    <n v="104"/>
    <m/>
    <n v="33"/>
    <m/>
    <n v="0"/>
    <n v="0"/>
    <m/>
    <m/>
    <m/>
    <m/>
    <n v="26"/>
    <m/>
    <n v="0"/>
    <n v="0"/>
  </r>
  <r>
    <n v="2019"/>
    <n v="2"/>
    <s v="2/01/2019"/>
    <x v="1"/>
    <s v="Female (F)"/>
    <s v="Other"/>
    <s v="65-74 years"/>
    <n v="166"/>
    <n v="159"/>
    <m/>
    <n v="44"/>
    <m/>
    <m/>
    <m/>
    <n v="14"/>
    <m/>
    <m/>
    <n v="0"/>
    <n v="41"/>
    <m/>
    <n v="0"/>
    <n v="0"/>
  </r>
  <r>
    <n v="2019"/>
    <n v="2"/>
    <s v="2/01/2019"/>
    <x v="1"/>
    <s v="Female (F)"/>
    <s v="Other"/>
    <s v="75-84 years"/>
    <n v="169"/>
    <n v="164"/>
    <m/>
    <n v="33"/>
    <m/>
    <m/>
    <m/>
    <n v="22"/>
    <m/>
    <m/>
    <m/>
    <n v="33"/>
    <n v="12"/>
    <n v="0"/>
    <n v="0"/>
  </r>
  <r>
    <n v="2019"/>
    <n v="2"/>
    <s v="2/01/2019"/>
    <x v="1"/>
    <s v="Female (F)"/>
    <s v="Other"/>
    <s v="85 years and over"/>
    <n v="177"/>
    <n v="171"/>
    <n v="0"/>
    <n v="18"/>
    <m/>
    <n v="26"/>
    <m/>
    <m/>
    <m/>
    <m/>
    <m/>
    <n v="44"/>
    <n v="19"/>
    <n v="0"/>
    <n v="0"/>
  </r>
  <r>
    <n v="2019"/>
    <n v="2"/>
    <s v="2/01/2019"/>
    <x v="1"/>
    <s v="Male (M)"/>
    <s v="Hispanic"/>
    <s v="0-4 years"/>
    <n v="219"/>
    <n v="194"/>
    <m/>
    <m/>
    <n v="0"/>
    <n v="0"/>
    <m/>
    <m/>
    <m/>
    <m/>
    <n v="17"/>
    <m/>
    <m/>
    <n v="0"/>
    <n v="0"/>
  </r>
  <r>
    <n v="2019"/>
    <n v="2"/>
    <s v="2/01/2019"/>
    <x v="1"/>
    <s v="Male (M)"/>
    <s v="Hispanic"/>
    <s v="15-24 years"/>
    <n v="321"/>
    <n v="72"/>
    <n v="0"/>
    <n v="21"/>
    <m/>
    <n v="0"/>
    <m/>
    <m/>
    <m/>
    <m/>
    <m/>
    <m/>
    <m/>
    <n v="0"/>
    <n v="0"/>
  </r>
  <r>
    <n v="2019"/>
    <n v="2"/>
    <s v="2/01/2019"/>
    <x v="1"/>
    <s v="Male (M)"/>
    <s v="Hispanic"/>
    <s v="25-34 years"/>
    <n v="483"/>
    <n v="154"/>
    <m/>
    <n v="28"/>
    <m/>
    <n v="0"/>
    <m/>
    <m/>
    <m/>
    <n v="0"/>
    <m/>
    <n v="30"/>
    <m/>
    <n v="0"/>
    <n v="0"/>
  </r>
  <r>
    <n v="2019"/>
    <n v="2"/>
    <s v="2/01/2019"/>
    <x v="1"/>
    <s v="Male (M)"/>
    <s v="Hispanic"/>
    <s v="35-44 years"/>
    <n v="621"/>
    <n v="350"/>
    <m/>
    <n v="56"/>
    <n v="25"/>
    <m/>
    <n v="17"/>
    <m/>
    <m/>
    <m/>
    <m/>
    <n v="82"/>
    <n v="16"/>
    <n v="0"/>
    <n v="0"/>
  </r>
  <r>
    <n v="2019"/>
    <n v="2"/>
    <s v="2/01/2019"/>
    <x v="1"/>
    <s v="Male (M)"/>
    <s v="Hispanic"/>
    <s v="45-54 years"/>
    <n v="1001"/>
    <n v="781"/>
    <n v="12"/>
    <n v="151"/>
    <n v="47"/>
    <m/>
    <n v="28"/>
    <n v="11"/>
    <n v="10"/>
    <n v="15"/>
    <n v="10"/>
    <n v="219"/>
    <n v="40"/>
    <n v="0"/>
    <n v="0"/>
  </r>
  <r>
    <n v="2019"/>
    <n v="2"/>
    <s v="2/01/2019"/>
    <x v="1"/>
    <s v="Male (M)"/>
    <s v="Hispanic"/>
    <s v="5-14 years"/>
    <n v="52"/>
    <n v="29"/>
    <m/>
    <m/>
    <n v="0"/>
    <n v="0"/>
    <m/>
    <m/>
    <m/>
    <n v="0"/>
    <n v="0"/>
    <m/>
    <n v="0"/>
    <n v="0"/>
    <n v="0"/>
  </r>
  <r>
    <n v="2019"/>
    <n v="2"/>
    <s v="2/01/2019"/>
    <x v="1"/>
    <s v="Male (M)"/>
    <s v="Hispanic"/>
    <s v="55-64 years"/>
    <n v="1587"/>
    <n v="1380"/>
    <n v="26"/>
    <n v="361"/>
    <n v="99"/>
    <m/>
    <n v="39"/>
    <n v="33"/>
    <n v="20"/>
    <n v="29"/>
    <n v="14"/>
    <n v="351"/>
    <n v="73"/>
    <n v="0"/>
    <n v="0"/>
  </r>
  <r>
    <n v="2019"/>
    <n v="2"/>
    <s v="2/01/2019"/>
    <x v="1"/>
    <s v="Male (M)"/>
    <s v="Hispanic"/>
    <s v="65-74 years"/>
    <n v="1712"/>
    <n v="1631"/>
    <n v="19"/>
    <n v="476"/>
    <n v="137"/>
    <n v="22"/>
    <n v="32"/>
    <n v="40"/>
    <n v="35"/>
    <n v="46"/>
    <n v="13"/>
    <n v="392"/>
    <n v="83"/>
    <n v="0"/>
    <n v="0"/>
  </r>
  <r>
    <n v="2019"/>
    <n v="2"/>
    <s v="2/01/2019"/>
    <x v="1"/>
    <s v="Male (M)"/>
    <s v="Hispanic"/>
    <s v="75-84 years"/>
    <n v="1699"/>
    <n v="1628"/>
    <n v="32"/>
    <n v="349"/>
    <n v="111"/>
    <n v="69"/>
    <n v="52"/>
    <n v="65"/>
    <n v="28"/>
    <n v="38"/>
    <m/>
    <n v="430"/>
    <n v="117"/>
    <n v="0"/>
    <n v="0"/>
  </r>
  <r>
    <n v="2019"/>
    <n v="2"/>
    <s v="2/01/2019"/>
    <x v="1"/>
    <s v="Male (M)"/>
    <s v="Hispanic"/>
    <s v="85 years and over"/>
    <n v="1575"/>
    <n v="1543"/>
    <n v="29"/>
    <n v="190"/>
    <n v="70"/>
    <n v="130"/>
    <n v="49"/>
    <n v="77"/>
    <n v="30"/>
    <n v="32"/>
    <n v="14"/>
    <n v="439"/>
    <n v="115"/>
    <n v="0"/>
    <n v="0"/>
  </r>
  <r>
    <n v="2019"/>
    <n v="2"/>
    <s v="2/01/2019"/>
    <x v="1"/>
    <s v="Male (M)"/>
    <s v="Non-Hispanic American Indian or Alaska Native"/>
    <s v="0-4 years"/>
    <n v="10"/>
    <m/>
    <n v="0"/>
    <n v="0"/>
    <n v="0"/>
    <n v="0"/>
    <m/>
    <n v="0"/>
    <n v="0"/>
    <n v="0"/>
    <m/>
    <n v="0"/>
    <n v="0"/>
    <n v="0"/>
    <n v="0"/>
  </r>
  <r>
    <n v="2019"/>
    <n v="2"/>
    <s v="2/01/2019"/>
    <x v="1"/>
    <s v="Male (M)"/>
    <s v="Non-Hispanic American Indian or Alaska Native"/>
    <s v="15-24 years"/>
    <n v="25"/>
    <m/>
    <n v="0"/>
    <m/>
    <m/>
    <n v="0"/>
    <n v="0"/>
    <n v="0"/>
    <n v="0"/>
    <n v="0"/>
    <n v="0"/>
    <n v="0"/>
    <n v="0"/>
    <n v="0"/>
    <n v="0"/>
  </r>
  <r>
    <n v="2019"/>
    <n v="2"/>
    <s v="2/01/2019"/>
    <x v="1"/>
    <s v="Male (M)"/>
    <s v="Non-Hispanic American Indian or Alaska Native"/>
    <s v="25-34 years"/>
    <n v="54"/>
    <n v="26"/>
    <m/>
    <m/>
    <m/>
    <n v="0"/>
    <m/>
    <n v="0"/>
    <n v="0"/>
    <n v="0"/>
    <m/>
    <m/>
    <n v="0"/>
    <n v="0"/>
    <n v="0"/>
  </r>
  <r>
    <n v="2019"/>
    <n v="2"/>
    <s v="2/01/2019"/>
    <x v="1"/>
    <s v="Male (M)"/>
    <s v="Non-Hispanic American Indian or Alaska Native"/>
    <s v="35-44 years"/>
    <n v="65"/>
    <n v="40"/>
    <m/>
    <m/>
    <m/>
    <n v="0"/>
    <m/>
    <m/>
    <n v="0"/>
    <m/>
    <m/>
    <m/>
    <n v="0"/>
    <n v="0"/>
    <n v="0"/>
  </r>
  <r>
    <n v="2019"/>
    <n v="2"/>
    <s v="2/01/2019"/>
    <x v="1"/>
    <s v="Male (M)"/>
    <s v="Non-Hispanic American Indian or Alaska Native"/>
    <s v="45-54 years"/>
    <n v="89"/>
    <n v="70"/>
    <n v="0"/>
    <m/>
    <m/>
    <n v="0"/>
    <m/>
    <m/>
    <n v="0"/>
    <m/>
    <m/>
    <n v="14"/>
    <m/>
    <n v="0"/>
    <n v="0"/>
  </r>
  <r>
    <n v="2019"/>
    <n v="2"/>
    <s v="2/01/2019"/>
    <x v="1"/>
    <s v="Male (M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2"/>
    <s v="2/01/2019"/>
    <x v="1"/>
    <s v="Male (M)"/>
    <s v="Non-Hispanic American Indian or Alaska Native"/>
    <s v="55-64 years"/>
    <n v="194"/>
    <n v="164"/>
    <m/>
    <n v="43"/>
    <n v="17"/>
    <n v="0"/>
    <m/>
    <m/>
    <m/>
    <m/>
    <m/>
    <n v="44"/>
    <m/>
    <n v="0"/>
    <n v="0"/>
  </r>
  <r>
    <n v="2019"/>
    <n v="2"/>
    <s v="2/01/2019"/>
    <x v="1"/>
    <s v="Male (M)"/>
    <s v="Non-Hispanic American Indian or Alaska Native"/>
    <s v="65-74 years"/>
    <n v="193"/>
    <n v="185"/>
    <m/>
    <n v="56"/>
    <n v="13"/>
    <m/>
    <m/>
    <n v="11"/>
    <m/>
    <m/>
    <m/>
    <n v="46"/>
    <m/>
    <n v="0"/>
    <n v="0"/>
  </r>
  <r>
    <n v="2019"/>
    <n v="2"/>
    <s v="2/01/2019"/>
    <x v="1"/>
    <s v="Male (M)"/>
    <s v="Non-Hispanic American Indian or Alaska Native"/>
    <s v="75-84 years"/>
    <n v="155"/>
    <n v="147"/>
    <m/>
    <n v="30"/>
    <n v="15"/>
    <m/>
    <m/>
    <n v="12"/>
    <m/>
    <m/>
    <n v="0"/>
    <n v="32"/>
    <m/>
    <n v="0"/>
    <n v="0"/>
  </r>
  <r>
    <n v="2019"/>
    <n v="2"/>
    <s v="2/01/2019"/>
    <x v="1"/>
    <s v="Male (M)"/>
    <s v="Non-Hispanic American Indian or Alaska Native"/>
    <s v="85 years and over"/>
    <n v="74"/>
    <n v="73"/>
    <m/>
    <n v="10"/>
    <m/>
    <m/>
    <m/>
    <m/>
    <m/>
    <n v="0"/>
    <m/>
    <n v="21"/>
    <m/>
    <n v="0"/>
    <n v="0"/>
  </r>
  <r>
    <n v="2019"/>
    <n v="2"/>
    <s v="2/01/2019"/>
    <x v="1"/>
    <s v="Male (M)"/>
    <s v="Non-Hispanic Asian"/>
    <s v="0-4 years"/>
    <n v="30"/>
    <n v="27"/>
    <n v="0"/>
    <m/>
    <n v="0"/>
    <n v="0"/>
    <n v="0"/>
    <n v="0"/>
    <n v="0"/>
    <n v="0"/>
    <n v="0"/>
    <n v="0"/>
    <n v="0"/>
    <n v="0"/>
    <n v="0"/>
  </r>
  <r>
    <n v="2019"/>
    <n v="2"/>
    <s v="2/01/2019"/>
    <x v="1"/>
    <s v="Male (M)"/>
    <s v="Non-Hispanic Asian"/>
    <s v="15-24 years"/>
    <n v="41"/>
    <n v="10"/>
    <n v="0"/>
    <m/>
    <m/>
    <n v="0"/>
    <n v="0"/>
    <n v="0"/>
    <n v="0"/>
    <n v="0"/>
    <m/>
    <m/>
    <m/>
    <n v="0"/>
    <n v="0"/>
  </r>
  <r>
    <n v="2019"/>
    <n v="2"/>
    <s v="2/01/2019"/>
    <x v="1"/>
    <s v="Male (M)"/>
    <s v="Non-Hispanic Asian"/>
    <s v="25-34 years"/>
    <n v="84"/>
    <n v="36"/>
    <n v="0"/>
    <m/>
    <m/>
    <n v="0"/>
    <m/>
    <n v="0"/>
    <n v="0"/>
    <n v="0"/>
    <n v="0"/>
    <m/>
    <m/>
    <n v="0"/>
    <n v="0"/>
  </r>
  <r>
    <n v="2019"/>
    <n v="2"/>
    <s v="2/01/2019"/>
    <x v="1"/>
    <s v="Male (M)"/>
    <s v="Non-Hispanic Asian"/>
    <s v="35-44 years"/>
    <n v="89"/>
    <n v="67"/>
    <n v="0"/>
    <n v="19"/>
    <m/>
    <n v="0"/>
    <m/>
    <n v="0"/>
    <n v="0"/>
    <m/>
    <m/>
    <n v="19"/>
    <m/>
    <n v="0"/>
    <n v="0"/>
  </r>
  <r>
    <n v="2019"/>
    <n v="2"/>
    <s v="2/01/2019"/>
    <x v="1"/>
    <s v="Male (M)"/>
    <s v="Non-Hispanic Asian"/>
    <s v="45-54 years"/>
    <n v="218"/>
    <n v="190"/>
    <m/>
    <n v="66"/>
    <m/>
    <n v="0"/>
    <m/>
    <m/>
    <m/>
    <m/>
    <m/>
    <n v="50"/>
    <n v="16"/>
    <n v="0"/>
    <n v="0"/>
  </r>
  <r>
    <n v="2019"/>
    <n v="2"/>
    <s v="2/01/2019"/>
    <x v="1"/>
    <s v="Male (M)"/>
    <s v="Non-Hispanic Asian"/>
    <s v="5-14 years"/>
    <m/>
    <m/>
    <n v="0"/>
    <n v="0"/>
    <n v="0"/>
    <n v="0"/>
    <m/>
    <n v="0"/>
    <n v="0"/>
    <n v="0"/>
    <n v="0"/>
    <n v="0"/>
    <m/>
    <n v="0"/>
    <n v="0"/>
  </r>
  <r>
    <n v="2019"/>
    <n v="2"/>
    <s v="2/01/2019"/>
    <x v="1"/>
    <s v="Male (M)"/>
    <s v="Non-Hispanic Asian"/>
    <s v="55-64 years"/>
    <n v="406"/>
    <n v="376"/>
    <m/>
    <n v="151"/>
    <n v="20"/>
    <m/>
    <m/>
    <n v="0"/>
    <m/>
    <m/>
    <m/>
    <n v="103"/>
    <n v="20"/>
    <n v="0"/>
    <n v="0"/>
  </r>
  <r>
    <n v="2019"/>
    <n v="2"/>
    <s v="2/01/2019"/>
    <x v="1"/>
    <s v="Male (M)"/>
    <s v="Non-Hispanic Asian"/>
    <s v="65-74 years"/>
    <n v="588"/>
    <n v="560"/>
    <m/>
    <n v="205"/>
    <n v="39"/>
    <m/>
    <n v="12"/>
    <n v="17"/>
    <n v="12"/>
    <n v="14"/>
    <m/>
    <n v="123"/>
    <n v="46"/>
    <n v="0"/>
    <n v="0"/>
  </r>
  <r>
    <n v="2019"/>
    <n v="2"/>
    <s v="2/01/2019"/>
    <x v="1"/>
    <s v="Male (M)"/>
    <s v="Non-Hispanic Asian"/>
    <s v="75-84 years"/>
    <n v="835"/>
    <n v="807"/>
    <n v="12"/>
    <n v="185"/>
    <n v="40"/>
    <n v="20"/>
    <n v="17"/>
    <n v="45"/>
    <n v="23"/>
    <n v="24"/>
    <m/>
    <n v="222"/>
    <n v="66"/>
    <n v="0"/>
    <n v="0"/>
  </r>
  <r>
    <n v="2019"/>
    <n v="2"/>
    <s v="2/01/2019"/>
    <x v="1"/>
    <s v="Male (M)"/>
    <s v="Non-Hispanic Asian"/>
    <s v="85 years and over"/>
    <n v="852"/>
    <n v="836"/>
    <m/>
    <n v="129"/>
    <n v="24"/>
    <n v="49"/>
    <n v="47"/>
    <n v="45"/>
    <n v="16"/>
    <n v="19"/>
    <m/>
    <n v="214"/>
    <n v="78"/>
    <n v="0"/>
    <n v="0"/>
  </r>
  <r>
    <n v="2019"/>
    <n v="2"/>
    <s v="2/01/2019"/>
    <x v="1"/>
    <s v="Male (M)"/>
    <s v="Non-Hispanic Black"/>
    <s v="0-4 years"/>
    <n v="309"/>
    <n v="272"/>
    <m/>
    <n v="0"/>
    <n v="0"/>
    <n v="0"/>
    <m/>
    <m/>
    <m/>
    <m/>
    <n v="39"/>
    <m/>
    <m/>
    <n v="0"/>
    <n v="0"/>
  </r>
  <r>
    <n v="2019"/>
    <n v="2"/>
    <s v="2/01/2019"/>
    <x v="1"/>
    <s v="Male (M)"/>
    <s v="Non-Hispanic Black"/>
    <s v="15-24 years"/>
    <n v="383"/>
    <n v="69"/>
    <m/>
    <n v="13"/>
    <m/>
    <n v="0"/>
    <m/>
    <m/>
    <n v="0"/>
    <n v="0"/>
    <m/>
    <n v="13"/>
    <m/>
    <n v="0"/>
    <n v="0"/>
  </r>
  <r>
    <n v="2019"/>
    <n v="2"/>
    <s v="2/01/2019"/>
    <x v="1"/>
    <s v="Male (M)"/>
    <s v="Non-Hispanic Black"/>
    <s v="25-34 years"/>
    <n v="652"/>
    <n v="210"/>
    <m/>
    <n v="16"/>
    <n v="16"/>
    <n v="0"/>
    <n v="14"/>
    <m/>
    <m/>
    <m/>
    <n v="11"/>
    <n v="51"/>
    <m/>
    <n v="0"/>
    <n v="0"/>
  </r>
  <r>
    <n v="2019"/>
    <n v="2"/>
    <s v="2/01/2019"/>
    <x v="1"/>
    <s v="Male (M)"/>
    <s v="Non-Hispanic Black"/>
    <s v="35-44 years"/>
    <n v="778"/>
    <n v="448"/>
    <m/>
    <n v="58"/>
    <n v="41"/>
    <n v="0"/>
    <n v="13"/>
    <m/>
    <m/>
    <n v="11"/>
    <m/>
    <n v="139"/>
    <n v="24"/>
    <n v="0"/>
    <n v="0"/>
  </r>
  <r>
    <n v="2019"/>
    <n v="2"/>
    <s v="2/01/2019"/>
    <x v="1"/>
    <s v="Male (M)"/>
    <s v="Non-Hispanic Black"/>
    <s v="45-54 years"/>
    <n v="1451"/>
    <n v="1171"/>
    <n v="31"/>
    <n v="218"/>
    <n v="58"/>
    <m/>
    <n v="16"/>
    <n v="25"/>
    <n v="15"/>
    <n v="35"/>
    <n v="17"/>
    <n v="391"/>
    <n v="55"/>
    <n v="0"/>
    <n v="0"/>
  </r>
  <r>
    <n v="2019"/>
    <n v="2"/>
    <s v="2/01/2019"/>
    <x v="1"/>
    <s v="Male (M)"/>
    <s v="Non-Hispanic Black"/>
    <s v="5-14 years"/>
    <n v="43"/>
    <n v="19"/>
    <n v="0"/>
    <m/>
    <m/>
    <n v="0"/>
    <m/>
    <m/>
    <n v="0"/>
    <n v="0"/>
    <m/>
    <m/>
    <n v="0"/>
    <n v="0"/>
    <n v="0"/>
  </r>
  <r>
    <n v="2019"/>
    <n v="2"/>
    <s v="2/01/2019"/>
    <x v="1"/>
    <s v="Male (M)"/>
    <s v="Non-Hispanic Black"/>
    <s v="55-64 years"/>
    <n v="3171"/>
    <n v="2847"/>
    <n v="53"/>
    <n v="681"/>
    <n v="166"/>
    <m/>
    <n v="61"/>
    <n v="104"/>
    <n v="35"/>
    <n v="88"/>
    <n v="24"/>
    <n v="896"/>
    <n v="155"/>
    <n v="0"/>
    <n v="0"/>
  </r>
  <r>
    <n v="2019"/>
    <n v="2"/>
    <s v="2/01/2019"/>
    <x v="1"/>
    <s v="Male (M)"/>
    <s v="Non-Hispanic Black"/>
    <s v="65-74 years"/>
    <n v="3538"/>
    <n v="3376"/>
    <n v="76"/>
    <n v="956"/>
    <n v="190"/>
    <n v="29"/>
    <n v="67"/>
    <n v="146"/>
    <n v="46"/>
    <n v="118"/>
    <n v="27"/>
    <n v="942"/>
    <n v="190"/>
    <n v="0"/>
    <n v="0"/>
  </r>
  <r>
    <n v="2019"/>
    <n v="2"/>
    <s v="2/01/2019"/>
    <x v="1"/>
    <s v="Male (M)"/>
    <s v="Non-Hispanic Black"/>
    <s v="75-84 years"/>
    <n v="2645"/>
    <n v="2587"/>
    <n v="59"/>
    <n v="590"/>
    <n v="156"/>
    <n v="85"/>
    <n v="48"/>
    <n v="135"/>
    <n v="35"/>
    <n v="88"/>
    <n v="22"/>
    <n v="684"/>
    <n v="171"/>
    <n v="0"/>
    <n v="0"/>
  </r>
  <r>
    <n v="2019"/>
    <n v="2"/>
    <s v="2/01/2019"/>
    <x v="1"/>
    <s v="Male (M)"/>
    <s v="Non-Hispanic Black"/>
    <s v="85 years and over"/>
    <n v="1617"/>
    <n v="1587"/>
    <n v="28"/>
    <n v="256"/>
    <n v="53"/>
    <n v="124"/>
    <n v="36"/>
    <n v="79"/>
    <n v="20"/>
    <n v="65"/>
    <n v="15"/>
    <n v="446"/>
    <n v="95"/>
    <n v="0"/>
    <n v="0"/>
  </r>
  <r>
    <n v="2019"/>
    <n v="2"/>
    <s v="2/01/2019"/>
    <x v="1"/>
    <s v="Male (M)"/>
    <s v="Non-Hispanic White"/>
    <s v="0-4 years"/>
    <n v="472"/>
    <n v="406"/>
    <m/>
    <n v="11"/>
    <n v="0"/>
    <n v="0"/>
    <m/>
    <m/>
    <m/>
    <n v="0"/>
    <n v="47"/>
    <m/>
    <m/>
    <n v="0"/>
    <n v="0"/>
  </r>
  <r>
    <n v="2019"/>
    <n v="2"/>
    <s v="2/01/2019"/>
    <x v="1"/>
    <s v="Male (M)"/>
    <s v="Non-Hispanic White"/>
    <s v="15-24 years"/>
    <n v="721"/>
    <n v="149"/>
    <m/>
    <n v="32"/>
    <m/>
    <n v="0"/>
    <m/>
    <m/>
    <m/>
    <m/>
    <n v="10"/>
    <n v="23"/>
    <m/>
    <n v="0"/>
    <n v="0"/>
  </r>
  <r>
    <n v="2019"/>
    <n v="2"/>
    <s v="2/01/2019"/>
    <x v="1"/>
    <s v="Male (M)"/>
    <s v="Non-Hispanic White"/>
    <s v="25-34 years"/>
    <n v="1715"/>
    <n v="479"/>
    <n v="15"/>
    <n v="73"/>
    <n v="23"/>
    <n v="0"/>
    <n v="24"/>
    <m/>
    <m/>
    <m/>
    <n v="22"/>
    <n v="104"/>
    <n v="10"/>
    <n v="0"/>
    <n v="0"/>
  </r>
  <r>
    <n v="2019"/>
    <n v="2"/>
    <s v="2/01/2019"/>
    <x v="1"/>
    <s v="Male (M)"/>
    <s v="Non-Hispanic White"/>
    <s v="35-44 years"/>
    <n v="2349"/>
    <n v="1111"/>
    <n v="20"/>
    <n v="200"/>
    <n v="43"/>
    <n v="0"/>
    <n v="38"/>
    <n v="17"/>
    <n v="15"/>
    <m/>
    <n v="27"/>
    <n v="295"/>
    <n v="38"/>
    <n v="0"/>
    <n v="0"/>
  </r>
  <r>
    <n v="2019"/>
    <n v="2"/>
    <s v="2/01/2019"/>
    <x v="1"/>
    <s v="Male (M)"/>
    <s v="Non-Hispanic White"/>
    <s v="45-54 years"/>
    <n v="5170"/>
    <n v="3865"/>
    <n v="51"/>
    <n v="919"/>
    <n v="194"/>
    <m/>
    <n v="101"/>
    <n v="110"/>
    <n v="50"/>
    <n v="54"/>
    <n v="41"/>
    <n v="1193"/>
    <n v="117"/>
    <n v="0"/>
    <n v="0"/>
  </r>
  <r>
    <n v="2019"/>
    <n v="2"/>
    <s v="2/01/2019"/>
    <x v="1"/>
    <s v="Male (M)"/>
    <s v="Non-Hispanic White"/>
    <s v="5-14 years"/>
    <n v="115"/>
    <n v="61"/>
    <m/>
    <n v="14"/>
    <n v="0"/>
    <n v="0"/>
    <m/>
    <m/>
    <m/>
    <n v="0"/>
    <m/>
    <m/>
    <m/>
    <n v="0"/>
    <n v="0"/>
  </r>
  <r>
    <n v="2019"/>
    <n v="2"/>
    <s v="2/01/2019"/>
    <x v="1"/>
    <s v="Male (M)"/>
    <s v="Non-Hispanic White"/>
    <s v="55-64 years"/>
    <n v="13085"/>
    <n v="11689"/>
    <n v="165"/>
    <n v="3445"/>
    <n v="512"/>
    <n v="37"/>
    <n v="284"/>
    <n v="719"/>
    <n v="151"/>
    <n v="169"/>
    <n v="96"/>
    <n v="3228"/>
    <n v="374"/>
    <n v="0"/>
    <n v="0"/>
  </r>
  <r>
    <n v="2019"/>
    <n v="2"/>
    <s v="2/01/2019"/>
    <x v="1"/>
    <s v="Male (M)"/>
    <s v="Non-Hispanic White"/>
    <s v="65-74 years"/>
    <n v="19864"/>
    <n v="18875"/>
    <n v="260"/>
    <n v="5711"/>
    <n v="833"/>
    <n v="191"/>
    <n v="408"/>
    <n v="1601"/>
    <n v="386"/>
    <n v="335"/>
    <n v="120"/>
    <n v="4866"/>
    <n v="725"/>
    <n v="0"/>
    <n v="0"/>
  </r>
  <r>
    <n v="2019"/>
    <n v="2"/>
    <s v="2/01/2019"/>
    <x v="1"/>
    <s v="Male (M)"/>
    <s v="Non-Hispanic White"/>
    <s v="75-84 years"/>
    <n v="23687"/>
    <n v="22766"/>
    <n v="357"/>
    <n v="5511"/>
    <n v="717"/>
    <n v="848"/>
    <n v="546"/>
    <n v="1835"/>
    <n v="485"/>
    <n v="496"/>
    <n v="189"/>
    <n v="6072"/>
    <n v="1108"/>
    <n v="0"/>
    <n v="0"/>
  </r>
  <r>
    <n v="2019"/>
    <n v="2"/>
    <s v="2/01/2019"/>
    <x v="1"/>
    <s v="Male (M)"/>
    <s v="Non-Hispanic White"/>
    <s v="85 years and over"/>
    <n v="23932"/>
    <n v="23008"/>
    <n v="305"/>
    <n v="3285"/>
    <n v="445"/>
    <n v="1443"/>
    <n v="677"/>
    <n v="1357"/>
    <n v="423"/>
    <n v="526"/>
    <n v="280"/>
    <n v="7443"/>
    <n v="1387"/>
    <n v="0"/>
    <n v="0"/>
  </r>
  <r>
    <n v="2019"/>
    <n v="2"/>
    <s v="2/01/2019"/>
    <x v="1"/>
    <s v="Male (M)"/>
    <s v="Other"/>
    <s v="0-4 years"/>
    <n v="44"/>
    <n v="39"/>
    <n v="0"/>
    <n v="0"/>
    <n v="0"/>
    <n v="0"/>
    <n v="0"/>
    <n v="0"/>
    <n v="0"/>
    <n v="0"/>
    <m/>
    <n v="0"/>
    <n v="0"/>
    <n v="0"/>
    <n v="0"/>
  </r>
  <r>
    <n v="2019"/>
    <n v="2"/>
    <s v="2/01/2019"/>
    <x v="1"/>
    <s v="Male (M)"/>
    <s v="Other"/>
    <s v="15-24 years"/>
    <n v="37"/>
    <m/>
    <n v="0"/>
    <m/>
    <n v="0"/>
    <n v="0"/>
    <n v="0"/>
    <n v="0"/>
    <n v="0"/>
    <n v="0"/>
    <n v="0"/>
    <m/>
    <n v="0"/>
    <n v="0"/>
    <n v="0"/>
  </r>
  <r>
    <n v="2019"/>
    <n v="2"/>
    <s v="2/01/2019"/>
    <x v="1"/>
    <s v="Male (M)"/>
    <s v="Other"/>
    <s v="25-34 years"/>
    <n v="65"/>
    <n v="21"/>
    <n v="0"/>
    <m/>
    <n v="0"/>
    <n v="0"/>
    <m/>
    <n v="0"/>
    <n v="0"/>
    <n v="0"/>
    <n v="0"/>
    <m/>
    <m/>
    <n v="0"/>
    <n v="0"/>
  </r>
  <r>
    <n v="2019"/>
    <n v="2"/>
    <s v="2/01/2019"/>
    <x v="1"/>
    <s v="Male (M)"/>
    <s v="Other"/>
    <s v="35-44 years"/>
    <n v="65"/>
    <n v="37"/>
    <m/>
    <m/>
    <m/>
    <n v="0"/>
    <m/>
    <n v="0"/>
    <n v="0"/>
    <n v="0"/>
    <n v="0"/>
    <m/>
    <m/>
    <n v="0"/>
    <n v="0"/>
  </r>
  <r>
    <n v="2019"/>
    <n v="2"/>
    <s v="2/01/2019"/>
    <x v="1"/>
    <s v="Male (M)"/>
    <s v="Other"/>
    <s v="45-54 years"/>
    <n v="95"/>
    <n v="74"/>
    <n v="0"/>
    <n v="11"/>
    <m/>
    <n v="0"/>
    <m/>
    <m/>
    <m/>
    <m/>
    <m/>
    <n v="24"/>
    <m/>
    <n v="0"/>
    <n v="0"/>
  </r>
  <r>
    <n v="2019"/>
    <n v="2"/>
    <s v="2/01/2019"/>
    <x v="1"/>
    <s v="Male (M)"/>
    <s v="Other"/>
    <s v="5-14 years"/>
    <n v="10"/>
    <m/>
    <n v="0"/>
    <m/>
    <n v="0"/>
    <n v="0"/>
    <m/>
    <n v="0"/>
    <n v="0"/>
    <n v="0"/>
    <n v="0"/>
    <n v="0"/>
    <n v="0"/>
    <n v="0"/>
    <n v="0"/>
  </r>
  <r>
    <n v="2019"/>
    <n v="2"/>
    <s v="2/01/2019"/>
    <x v="1"/>
    <s v="Male (M)"/>
    <s v="Other"/>
    <s v="55-64 years"/>
    <n v="232"/>
    <n v="191"/>
    <m/>
    <n v="49"/>
    <n v="10"/>
    <n v="0"/>
    <m/>
    <n v="10"/>
    <m/>
    <m/>
    <m/>
    <n v="70"/>
    <m/>
    <n v="0"/>
    <n v="0"/>
  </r>
  <r>
    <n v="2019"/>
    <n v="2"/>
    <s v="2/01/2019"/>
    <x v="1"/>
    <s v="Male (M)"/>
    <s v="Other"/>
    <s v="65-74 years"/>
    <n v="287"/>
    <n v="268"/>
    <m/>
    <n v="69"/>
    <n v="18"/>
    <m/>
    <m/>
    <n v="14"/>
    <m/>
    <m/>
    <n v="0"/>
    <n v="99"/>
    <n v="13"/>
    <n v="0"/>
    <n v="0"/>
  </r>
  <r>
    <n v="2019"/>
    <n v="2"/>
    <s v="2/01/2019"/>
    <x v="1"/>
    <s v="Male (M)"/>
    <s v="Other"/>
    <s v="75-84 years"/>
    <n v="182"/>
    <n v="173"/>
    <m/>
    <n v="45"/>
    <m/>
    <m/>
    <m/>
    <n v="14"/>
    <m/>
    <m/>
    <m/>
    <n v="47"/>
    <m/>
    <n v="0"/>
    <n v="0"/>
  </r>
  <r>
    <n v="2019"/>
    <n v="2"/>
    <s v="2/01/2019"/>
    <x v="1"/>
    <s v="Male (M)"/>
    <s v="Other"/>
    <s v="85 years and over"/>
    <n v="106"/>
    <n v="102"/>
    <m/>
    <n v="15"/>
    <m/>
    <m/>
    <m/>
    <m/>
    <m/>
    <m/>
    <n v="0"/>
    <n v="31"/>
    <m/>
    <n v="0"/>
    <n v="0"/>
  </r>
  <r>
    <n v="2019"/>
    <n v="3"/>
    <s v="3/01/2019"/>
    <x v="2"/>
    <s v="Female (F)"/>
    <s v="Hispanic"/>
    <s v="0-4 years"/>
    <n v="206"/>
    <n v="194"/>
    <n v="0"/>
    <m/>
    <n v="0"/>
    <n v="0"/>
    <m/>
    <n v="0"/>
    <m/>
    <m/>
    <n v="17"/>
    <m/>
    <n v="0"/>
    <n v="0"/>
    <n v="0"/>
  </r>
  <r>
    <n v="2019"/>
    <n v="3"/>
    <s v="3/01/2019"/>
    <x v="2"/>
    <s v="Female (F)"/>
    <s v="Hispanic"/>
    <s v="15-24 years"/>
    <n v="109"/>
    <n v="43"/>
    <n v="0"/>
    <n v="19"/>
    <n v="0"/>
    <n v="0"/>
    <m/>
    <n v="0"/>
    <m/>
    <n v="0"/>
    <m/>
    <m/>
    <m/>
    <n v="0"/>
    <n v="0"/>
  </r>
  <r>
    <n v="2019"/>
    <n v="3"/>
    <s v="3/01/2019"/>
    <x v="2"/>
    <s v="Female (F)"/>
    <s v="Hispanic"/>
    <s v="25-34 years"/>
    <n v="184"/>
    <n v="95"/>
    <n v="0"/>
    <n v="29"/>
    <m/>
    <n v="0"/>
    <m/>
    <n v="0"/>
    <n v="0"/>
    <m/>
    <n v="0"/>
    <m/>
    <m/>
    <n v="0"/>
    <n v="0"/>
  </r>
  <r>
    <n v="2019"/>
    <n v="3"/>
    <s v="3/01/2019"/>
    <x v="2"/>
    <s v="Female (F)"/>
    <s v="Hispanic"/>
    <s v="35-44 years"/>
    <n v="278"/>
    <n v="219"/>
    <n v="0"/>
    <n v="73"/>
    <m/>
    <n v="0"/>
    <m/>
    <m/>
    <m/>
    <m/>
    <m/>
    <n v="34"/>
    <n v="14"/>
    <n v="0"/>
    <n v="0"/>
  </r>
  <r>
    <n v="2019"/>
    <n v="3"/>
    <s v="3/01/2019"/>
    <x v="2"/>
    <s v="Female (F)"/>
    <s v="Hispanic"/>
    <s v="45-54 years"/>
    <n v="569"/>
    <n v="497"/>
    <n v="14"/>
    <n v="208"/>
    <n v="26"/>
    <n v="0"/>
    <n v="12"/>
    <m/>
    <m/>
    <m/>
    <m/>
    <n v="69"/>
    <n v="18"/>
    <n v="0"/>
    <n v="0"/>
  </r>
  <r>
    <n v="2019"/>
    <n v="3"/>
    <s v="3/01/2019"/>
    <x v="2"/>
    <s v="Female (F)"/>
    <s v="Hispanic"/>
    <s v="5-14 years"/>
    <n v="44"/>
    <n v="28"/>
    <n v="0"/>
    <m/>
    <n v="0"/>
    <n v="0"/>
    <m/>
    <n v="0"/>
    <m/>
    <n v="0"/>
    <n v="0"/>
    <m/>
    <m/>
    <n v="0"/>
    <n v="0"/>
  </r>
  <r>
    <n v="2019"/>
    <n v="3"/>
    <s v="3/01/2019"/>
    <x v="2"/>
    <s v="Female (F)"/>
    <s v="Hispanic"/>
    <s v="55-64 years"/>
    <n v="1025"/>
    <n v="970"/>
    <n v="17"/>
    <n v="401"/>
    <n v="68"/>
    <m/>
    <n v="20"/>
    <n v="20"/>
    <n v="10"/>
    <n v="24"/>
    <m/>
    <n v="141"/>
    <n v="40"/>
    <n v="0"/>
    <n v="0"/>
  </r>
  <r>
    <n v="2019"/>
    <n v="3"/>
    <s v="3/01/2019"/>
    <x v="2"/>
    <s v="Female (F)"/>
    <s v="Hispanic"/>
    <s v="65-74 years"/>
    <n v="1391"/>
    <n v="1354"/>
    <n v="26"/>
    <n v="411"/>
    <n v="107"/>
    <n v="25"/>
    <n v="33"/>
    <n v="40"/>
    <n v="49"/>
    <n v="49"/>
    <m/>
    <n v="267"/>
    <n v="66"/>
    <n v="0"/>
    <n v="0"/>
  </r>
  <r>
    <n v="2019"/>
    <n v="3"/>
    <s v="3/01/2019"/>
    <x v="2"/>
    <s v="Female (F)"/>
    <s v="Hispanic"/>
    <s v="75-84 years"/>
    <n v="1925"/>
    <n v="1877"/>
    <n v="30"/>
    <n v="384"/>
    <n v="126"/>
    <n v="122"/>
    <n v="52"/>
    <n v="68"/>
    <n v="44"/>
    <n v="48"/>
    <m/>
    <n v="441"/>
    <n v="142"/>
    <n v="0"/>
    <n v="0"/>
  </r>
  <r>
    <n v="2019"/>
    <n v="3"/>
    <s v="3/01/2019"/>
    <x v="2"/>
    <s v="Female (F)"/>
    <s v="Hispanic"/>
    <s v="85 years and over"/>
    <n v="2737"/>
    <n v="2688"/>
    <n v="28"/>
    <n v="272"/>
    <n v="99"/>
    <n v="310"/>
    <n v="82"/>
    <n v="103"/>
    <n v="61"/>
    <n v="58"/>
    <n v="26"/>
    <n v="749"/>
    <n v="232"/>
    <n v="0"/>
    <n v="0"/>
  </r>
  <r>
    <n v="2019"/>
    <n v="3"/>
    <s v="3/01/2019"/>
    <x v="2"/>
    <s v="Female (F)"/>
    <s v="Non-Hispanic American Indian or Alaska Native"/>
    <s v="0-4 years"/>
    <m/>
    <m/>
    <n v="0"/>
    <m/>
    <n v="0"/>
    <n v="0"/>
    <m/>
    <n v="0"/>
    <n v="0"/>
    <n v="0"/>
    <n v="0"/>
    <n v="0"/>
    <n v="0"/>
    <n v="0"/>
    <n v="0"/>
  </r>
  <r>
    <n v="2019"/>
    <n v="3"/>
    <s v="3/01/2019"/>
    <x v="2"/>
    <s v="Female (F)"/>
    <s v="Non-Hispanic American Indian or Alaska Native"/>
    <s v="15-24 years"/>
    <m/>
    <m/>
    <n v="0"/>
    <n v="0"/>
    <m/>
    <n v="0"/>
    <n v="0"/>
    <n v="0"/>
    <n v="0"/>
    <n v="0"/>
    <n v="0"/>
    <n v="0"/>
    <n v="0"/>
    <n v="0"/>
    <n v="0"/>
  </r>
  <r>
    <n v="2019"/>
    <n v="3"/>
    <s v="3/01/2019"/>
    <x v="2"/>
    <s v="Female (F)"/>
    <s v="Non-Hispanic American Indian or Alaska Native"/>
    <s v="25-34 years"/>
    <n v="32"/>
    <n v="12"/>
    <n v="0"/>
    <n v="0"/>
    <n v="0"/>
    <n v="0"/>
    <n v="0"/>
    <n v="0"/>
    <n v="0"/>
    <n v="0"/>
    <n v="0"/>
    <m/>
    <m/>
    <n v="0"/>
    <n v="0"/>
  </r>
  <r>
    <n v="2019"/>
    <n v="3"/>
    <s v="3/01/2019"/>
    <x v="2"/>
    <s v="Female (F)"/>
    <s v="Non-Hispanic American Indian or Alaska Native"/>
    <s v="35-44 years"/>
    <n v="49"/>
    <n v="32"/>
    <m/>
    <m/>
    <n v="0"/>
    <n v="0"/>
    <n v="0"/>
    <m/>
    <n v="0"/>
    <m/>
    <m/>
    <m/>
    <m/>
    <n v="0"/>
    <n v="0"/>
  </r>
  <r>
    <n v="2019"/>
    <n v="3"/>
    <s v="3/01/2019"/>
    <x v="2"/>
    <s v="Female (F)"/>
    <s v="Non-Hispanic American Indian or Alaska Native"/>
    <s v="45-54 years"/>
    <n v="75"/>
    <n v="62"/>
    <m/>
    <n v="10"/>
    <m/>
    <n v="0"/>
    <m/>
    <m/>
    <n v="0"/>
    <m/>
    <m/>
    <n v="14"/>
    <m/>
    <n v="0"/>
    <n v="0"/>
  </r>
  <r>
    <n v="2019"/>
    <n v="3"/>
    <s v="3/01/2019"/>
    <x v="2"/>
    <s v="Female (F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19"/>
    <n v="3"/>
    <s v="3/01/2019"/>
    <x v="2"/>
    <s v="Female (F)"/>
    <s v="Non-Hispanic American Indian or Alaska Native"/>
    <s v="55-64 years"/>
    <n v="145"/>
    <n v="134"/>
    <m/>
    <n v="29"/>
    <n v="10"/>
    <n v="0"/>
    <n v="10"/>
    <m/>
    <m/>
    <m/>
    <m/>
    <n v="17"/>
    <m/>
    <n v="0"/>
    <n v="0"/>
  </r>
  <r>
    <n v="2019"/>
    <n v="3"/>
    <s v="3/01/2019"/>
    <x v="2"/>
    <s v="Female (F)"/>
    <s v="Non-Hispanic American Indian or Alaska Native"/>
    <s v="65-74 years"/>
    <n v="139"/>
    <n v="132"/>
    <n v="0"/>
    <n v="36"/>
    <n v="10"/>
    <m/>
    <m/>
    <n v="12"/>
    <m/>
    <m/>
    <m/>
    <n v="23"/>
    <m/>
    <n v="0"/>
    <n v="0"/>
  </r>
  <r>
    <n v="2019"/>
    <n v="3"/>
    <s v="3/01/2019"/>
    <x v="2"/>
    <s v="Female (F)"/>
    <s v="Non-Hispanic American Indian or Alaska Native"/>
    <s v="75-84 years"/>
    <n v="136"/>
    <n v="132"/>
    <n v="0"/>
    <n v="24"/>
    <n v="15"/>
    <m/>
    <m/>
    <m/>
    <m/>
    <m/>
    <m/>
    <n v="28"/>
    <n v="10"/>
    <n v="0"/>
    <n v="0"/>
  </r>
  <r>
    <n v="2019"/>
    <n v="3"/>
    <s v="3/01/2019"/>
    <x v="2"/>
    <s v="Female (F)"/>
    <s v="Non-Hispanic American Indian or Alaska Native"/>
    <s v="85 years and over"/>
    <n v="131"/>
    <n v="128"/>
    <n v="0"/>
    <n v="19"/>
    <m/>
    <m/>
    <m/>
    <m/>
    <m/>
    <m/>
    <n v="0"/>
    <n v="37"/>
    <n v="11"/>
    <n v="0"/>
    <n v="0"/>
  </r>
  <r>
    <n v="2019"/>
    <n v="3"/>
    <s v="3/01/2019"/>
    <x v="2"/>
    <s v="Female (F)"/>
    <s v="Non-Hispanic Asian"/>
    <s v="0-4 years"/>
    <n v="33"/>
    <n v="31"/>
    <n v="0"/>
    <m/>
    <n v="0"/>
    <n v="0"/>
    <n v="0"/>
    <n v="0"/>
    <m/>
    <n v="0"/>
    <m/>
    <n v="0"/>
    <m/>
    <n v="0"/>
    <n v="0"/>
  </r>
  <r>
    <n v="2019"/>
    <n v="3"/>
    <s v="3/01/2019"/>
    <x v="2"/>
    <s v="Female (F)"/>
    <s v="Non-Hispanic Asian"/>
    <s v="15-24 years"/>
    <n v="22"/>
    <m/>
    <m/>
    <m/>
    <n v="0"/>
    <n v="0"/>
    <n v="0"/>
    <n v="0"/>
    <n v="0"/>
    <n v="0"/>
    <n v="0"/>
    <m/>
    <n v="0"/>
    <n v="0"/>
    <n v="0"/>
  </r>
  <r>
    <n v="2019"/>
    <n v="3"/>
    <s v="3/01/2019"/>
    <x v="2"/>
    <s v="Female (F)"/>
    <s v="Non-Hispanic Asian"/>
    <s v="25-34 years"/>
    <n v="32"/>
    <n v="23"/>
    <n v="0"/>
    <m/>
    <m/>
    <n v="0"/>
    <n v="0"/>
    <m/>
    <n v="0"/>
    <n v="0"/>
    <n v="0"/>
    <m/>
    <m/>
    <n v="0"/>
    <n v="0"/>
  </r>
  <r>
    <n v="2019"/>
    <n v="3"/>
    <s v="3/01/2019"/>
    <x v="2"/>
    <s v="Female (F)"/>
    <s v="Non-Hispanic Asian"/>
    <s v="35-44 years"/>
    <n v="60"/>
    <n v="47"/>
    <n v="0"/>
    <n v="24"/>
    <n v="0"/>
    <n v="0"/>
    <m/>
    <n v="0"/>
    <n v="0"/>
    <m/>
    <n v="0"/>
    <m/>
    <m/>
    <n v="0"/>
    <n v="0"/>
  </r>
  <r>
    <n v="2019"/>
    <n v="3"/>
    <s v="3/01/2019"/>
    <x v="2"/>
    <s v="Female (F)"/>
    <s v="Non-Hispanic Asian"/>
    <s v="45-54 years"/>
    <n v="132"/>
    <n v="118"/>
    <n v="0"/>
    <n v="82"/>
    <m/>
    <n v="0"/>
    <m/>
    <m/>
    <m/>
    <m/>
    <m/>
    <n v="15"/>
    <m/>
    <n v="0"/>
    <n v="0"/>
  </r>
  <r>
    <n v="2019"/>
    <n v="3"/>
    <s v="3/01/2019"/>
    <x v="2"/>
    <s v="Female (F)"/>
    <s v="Non-Hispanic Asian"/>
    <s v="5-14 years"/>
    <m/>
    <m/>
    <n v="0"/>
    <n v="0"/>
    <n v="0"/>
    <n v="0"/>
    <n v="0"/>
    <n v="0"/>
    <m/>
    <n v="0"/>
    <n v="0"/>
    <n v="0"/>
    <n v="0"/>
    <n v="0"/>
    <n v="0"/>
  </r>
  <r>
    <n v="2019"/>
    <n v="3"/>
    <s v="3/01/2019"/>
    <x v="2"/>
    <s v="Female (F)"/>
    <s v="Non-Hispanic Asian"/>
    <s v="55-64 years"/>
    <n v="279"/>
    <n v="262"/>
    <m/>
    <n v="130"/>
    <n v="14"/>
    <n v="0"/>
    <m/>
    <m/>
    <m/>
    <m/>
    <n v="0"/>
    <n v="36"/>
    <n v="14"/>
    <n v="0"/>
    <n v="0"/>
  </r>
  <r>
    <n v="2019"/>
    <n v="3"/>
    <s v="3/01/2019"/>
    <x v="2"/>
    <s v="Female (F)"/>
    <s v="Non-Hispanic Asian"/>
    <s v="65-74 years"/>
    <n v="469"/>
    <n v="444"/>
    <m/>
    <n v="181"/>
    <n v="36"/>
    <m/>
    <m/>
    <m/>
    <n v="15"/>
    <n v="15"/>
    <m/>
    <n v="71"/>
    <n v="26"/>
    <n v="0"/>
    <n v="0"/>
  </r>
  <r>
    <n v="2019"/>
    <n v="3"/>
    <s v="3/01/2019"/>
    <x v="2"/>
    <s v="Female (F)"/>
    <s v="Non-Hispanic Asian"/>
    <s v="75-84 years"/>
    <n v="765"/>
    <n v="743"/>
    <n v="15"/>
    <n v="176"/>
    <n v="36"/>
    <n v="28"/>
    <n v="18"/>
    <n v="24"/>
    <n v="20"/>
    <n v="19"/>
    <m/>
    <n v="158"/>
    <n v="71"/>
    <n v="0"/>
    <n v="0"/>
  </r>
  <r>
    <n v="2019"/>
    <n v="3"/>
    <s v="3/01/2019"/>
    <x v="2"/>
    <s v="Female (F)"/>
    <s v="Non-Hispanic Asian"/>
    <s v="85 years and over"/>
    <n v="1351"/>
    <n v="1322"/>
    <n v="16"/>
    <n v="144"/>
    <n v="53"/>
    <n v="145"/>
    <n v="78"/>
    <n v="42"/>
    <n v="14"/>
    <n v="23"/>
    <n v="16"/>
    <n v="335"/>
    <n v="139"/>
    <n v="0"/>
    <n v="0"/>
  </r>
  <r>
    <n v="2019"/>
    <n v="3"/>
    <s v="3/01/2019"/>
    <x v="2"/>
    <s v="Female (F)"/>
    <s v="Non-Hispanic Black"/>
    <s v="0-4 years"/>
    <n v="305"/>
    <n v="275"/>
    <m/>
    <m/>
    <n v="0"/>
    <n v="0"/>
    <m/>
    <m/>
    <m/>
    <n v="0"/>
    <n v="43"/>
    <m/>
    <m/>
    <n v="0"/>
    <n v="0"/>
  </r>
  <r>
    <n v="2019"/>
    <n v="3"/>
    <s v="3/01/2019"/>
    <x v="2"/>
    <s v="Female (F)"/>
    <s v="Non-Hispanic Black"/>
    <s v="15-24 years"/>
    <n v="125"/>
    <n v="57"/>
    <m/>
    <m/>
    <m/>
    <n v="0"/>
    <m/>
    <m/>
    <m/>
    <n v="0"/>
    <m/>
    <m/>
    <n v="0"/>
    <n v="0"/>
    <n v="0"/>
  </r>
  <r>
    <n v="2019"/>
    <n v="3"/>
    <s v="3/01/2019"/>
    <x v="2"/>
    <s v="Female (F)"/>
    <s v="Non-Hispanic Black"/>
    <s v="25-34 years"/>
    <n v="292"/>
    <n v="182"/>
    <m/>
    <n v="35"/>
    <m/>
    <n v="0"/>
    <m/>
    <m/>
    <m/>
    <m/>
    <m/>
    <n v="29"/>
    <n v="11"/>
    <n v="0"/>
    <n v="0"/>
  </r>
  <r>
    <n v="2019"/>
    <n v="3"/>
    <s v="3/01/2019"/>
    <x v="2"/>
    <s v="Female (F)"/>
    <s v="Non-Hispanic Black"/>
    <s v="35-44 years"/>
    <n v="544"/>
    <n v="431"/>
    <n v="14"/>
    <n v="116"/>
    <n v="18"/>
    <n v="0"/>
    <m/>
    <m/>
    <m/>
    <n v="11"/>
    <m/>
    <n v="80"/>
    <n v="26"/>
    <n v="0"/>
    <n v="0"/>
  </r>
  <r>
    <n v="2019"/>
    <n v="3"/>
    <s v="3/01/2019"/>
    <x v="2"/>
    <s v="Female (F)"/>
    <s v="Non-Hispanic Black"/>
    <s v="45-54 years"/>
    <n v="1075"/>
    <n v="967"/>
    <n v="20"/>
    <n v="259"/>
    <n v="45"/>
    <n v="0"/>
    <n v="18"/>
    <n v="32"/>
    <n v="24"/>
    <n v="35"/>
    <m/>
    <n v="228"/>
    <n v="57"/>
    <n v="0"/>
    <n v="0"/>
  </r>
  <r>
    <n v="2019"/>
    <n v="3"/>
    <s v="3/01/2019"/>
    <x v="2"/>
    <s v="Female (F)"/>
    <s v="Non-Hispanic Black"/>
    <s v="5-14 years"/>
    <n v="49"/>
    <n v="29"/>
    <n v="0"/>
    <m/>
    <n v="0"/>
    <n v="0"/>
    <n v="0"/>
    <m/>
    <m/>
    <n v="0"/>
    <m/>
    <n v="0"/>
    <m/>
    <n v="0"/>
    <n v="0"/>
  </r>
  <r>
    <n v="2019"/>
    <n v="3"/>
    <s v="3/01/2019"/>
    <x v="2"/>
    <s v="Female (F)"/>
    <s v="Non-Hispanic Black"/>
    <s v="55-64 years"/>
    <n v="2371"/>
    <n v="2246"/>
    <n v="52"/>
    <n v="710"/>
    <n v="131"/>
    <m/>
    <n v="47"/>
    <n v="95"/>
    <n v="34"/>
    <n v="69"/>
    <n v="16"/>
    <n v="546"/>
    <n v="115"/>
    <n v="0"/>
    <n v="0"/>
  </r>
  <r>
    <n v="2019"/>
    <n v="3"/>
    <s v="3/01/2019"/>
    <x v="2"/>
    <s v="Female (F)"/>
    <s v="Non-Hispanic Black"/>
    <s v="65-74 years"/>
    <n v="3004"/>
    <n v="2920"/>
    <n v="68"/>
    <n v="859"/>
    <n v="158"/>
    <n v="41"/>
    <n v="64"/>
    <n v="144"/>
    <n v="47"/>
    <n v="114"/>
    <n v="28"/>
    <n v="660"/>
    <n v="185"/>
    <n v="0"/>
    <n v="0"/>
  </r>
  <r>
    <n v="2019"/>
    <n v="3"/>
    <s v="3/01/2019"/>
    <x v="2"/>
    <s v="Female (F)"/>
    <s v="Non-Hispanic Black"/>
    <s v="75-84 years"/>
    <n v="3141"/>
    <n v="3081"/>
    <n v="69"/>
    <n v="662"/>
    <n v="155"/>
    <n v="154"/>
    <n v="56"/>
    <n v="128"/>
    <n v="35"/>
    <n v="118"/>
    <n v="29"/>
    <n v="740"/>
    <n v="261"/>
    <n v="0"/>
    <n v="0"/>
  </r>
  <r>
    <n v="2019"/>
    <n v="3"/>
    <s v="3/01/2019"/>
    <x v="2"/>
    <s v="Female (F)"/>
    <s v="Non-Hispanic Black"/>
    <s v="85 years and over"/>
    <n v="3691"/>
    <n v="3637"/>
    <n v="63"/>
    <n v="409"/>
    <n v="112"/>
    <n v="405"/>
    <n v="92"/>
    <n v="108"/>
    <n v="40"/>
    <n v="92"/>
    <n v="43"/>
    <n v="977"/>
    <n v="334"/>
    <n v="0"/>
    <n v="0"/>
  </r>
  <r>
    <n v="2019"/>
    <n v="3"/>
    <s v="3/01/2019"/>
    <x v="2"/>
    <s v="Female (F)"/>
    <s v="Non-Hispanic White"/>
    <s v="0-4 years"/>
    <n v="383"/>
    <n v="323"/>
    <m/>
    <m/>
    <n v="0"/>
    <n v="0"/>
    <m/>
    <n v="0"/>
    <m/>
    <m/>
    <n v="35"/>
    <m/>
    <m/>
    <n v="0"/>
    <n v="0"/>
  </r>
  <r>
    <n v="2019"/>
    <n v="3"/>
    <s v="3/01/2019"/>
    <x v="2"/>
    <s v="Female (F)"/>
    <s v="Non-Hispanic White"/>
    <s v="15-24 years"/>
    <n v="345"/>
    <n v="95"/>
    <m/>
    <n v="25"/>
    <m/>
    <n v="0"/>
    <m/>
    <n v="0"/>
    <m/>
    <m/>
    <m/>
    <m/>
    <m/>
    <n v="0"/>
    <n v="0"/>
  </r>
  <r>
    <n v="2019"/>
    <n v="3"/>
    <s v="3/01/2019"/>
    <x v="2"/>
    <s v="Female (F)"/>
    <s v="Non-Hispanic White"/>
    <s v="25-34 years"/>
    <n v="895"/>
    <n v="367"/>
    <m/>
    <n v="76"/>
    <m/>
    <n v="0"/>
    <n v="23"/>
    <m/>
    <m/>
    <m/>
    <n v="13"/>
    <n v="49"/>
    <n v="16"/>
    <n v="0"/>
    <n v="0"/>
  </r>
  <r>
    <n v="2019"/>
    <n v="3"/>
    <s v="3/01/2019"/>
    <x v="2"/>
    <s v="Female (F)"/>
    <s v="Non-Hispanic White"/>
    <s v="35-44 years"/>
    <n v="1569"/>
    <n v="991"/>
    <n v="15"/>
    <n v="296"/>
    <n v="36"/>
    <n v="0"/>
    <n v="34"/>
    <n v="20"/>
    <n v="16"/>
    <n v="20"/>
    <n v="22"/>
    <n v="181"/>
    <n v="33"/>
    <n v="0"/>
    <n v="0"/>
  </r>
  <r>
    <n v="2019"/>
    <n v="3"/>
    <s v="3/01/2019"/>
    <x v="2"/>
    <s v="Female (F)"/>
    <s v="Non-Hispanic White"/>
    <s v="45-54 years"/>
    <n v="3422"/>
    <n v="2752"/>
    <n v="66"/>
    <n v="953"/>
    <n v="126"/>
    <m/>
    <n v="81"/>
    <n v="150"/>
    <n v="30"/>
    <n v="45"/>
    <n v="24"/>
    <n v="475"/>
    <n v="106"/>
    <n v="0"/>
    <n v="0"/>
  </r>
  <r>
    <n v="2019"/>
    <n v="3"/>
    <s v="3/01/2019"/>
    <x v="2"/>
    <s v="Female (F)"/>
    <s v="Non-Hispanic White"/>
    <s v="5-14 years"/>
    <n v="75"/>
    <n v="50"/>
    <m/>
    <n v="12"/>
    <m/>
    <n v="0"/>
    <m/>
    <m/>
    <m/>
    <n v="0"/>
    <m/>
    <m/>
    <n v="0"/>
    <n v="0"/>
    <n v="0"/>
  </r>
  <r>
    <n v="2019"/>
    <n v="3"/>
    <s v="3/01/2019"/>
    <x v="2"/>
    <s v="Female (F)"/>
    <s v="Non-Hispanic White"/>
    <s v="55-64 years"/>
    <n v="9256"/>
    <n v="8587"/>
    <n v="169"/>
    <n v="3178"/>
    <n v="303"/>
    <n v="56"/>
    <n v="219"/>
    <n v="811"/>
    <n v="146"/>
    <n v="108"/>
    <n v="82"/>
    <n v="1424"/>
    <n v="304"/>
    <n v="0"/>
    <n v="0"/>
  </r>
  <r>
    <n v="2019"/>
    <n v="3"/>
    <s v="3/01/2019"/>
    <x v="2"/>
    <s v="Female (F)"/>
    <s v="Non-Hispanic White"/>
    <s v="65-74 years"/>
    <n v="15814"/>
    <n v="15275"/>
    <n v="282"/>
    <n v="5056"/>
    <n v="489"/>
    <n v="314"/>
    <n v="356"/>
    <n v="1677"/>
    <n v="298"/>
    <n v="280"/>
    <n v="108"/>
    <n v="2789"/>
    <n v="717"/>
    <n v="0"/>
    <n v="0"/>
  </r>
  <r>
    <n v="2019"/>
    <n v="3"/>
    <s v="3/01/2019"/>
    <x v="2"/>
    <s v="Female (F)"/>
    <s v="Non-Hispanic White"/>
    <s v="75-84 years"/>
    <n v="23739"/>
    <n v="23091"/>
    <n v="344"/>
    <n v="5053"/>
    <n v="587"/>
    <n v="1446"/>
    <n v="609"/>
    <n v="2268"/>
    <n v="458"/>
    <n v="446"/>
    <n v="192"/>
    <n v="5060"/>
    <n v="1450"/>
    <n v="0"/>
    <n v="0"/>
  </r>
  <r>
    <n v="2019"/>
    <n v="3"/>
    <s v="3/01/2019"/>
    <x v="2"/>
    <s v="Female (F)"/>
    <s v="Non-Hispanic White"/>
    <s v="85 years and over"/>
    <n v="40793"/>
    <n v="39589"/>
    <n v="448"/>
    <n v="3803"/>
    <n v="589"/>
    <n v="4257"/>
    <n v="1217"/>
    <n v="2181"/>
    <n v="588"/>
    <n v="601"/>
    <n v="648"/>
    <n v="11454"/>
    <n v="3274"/>
    <n v="0"/>
    <n v="0"/>
  </r>
  <r>
    <n v="2019"/>
    <n v="3"/>
    <s v="3/01/2019"/>
    <x v="2"/>
    <s v="Female (F)"/>
    <s v="Other"/>
    <s v="0-4 years"/>
    <n v="51"/>
    <n v="46"/>
    <m/>
    <n v="0"/>
    <n v="0"/>
    <n v="0"/>
    <m/>
    <n v="0"/>
    <n v="0"/>
    <n v="0"/>
    <m/>
    <m/>
    <n v="0"/>
    <n v="0"/>
    <n v="0"/>
  </r>
  <r>
    <n v="2019"/>
    <n v="3"/>
    <s v="3/01/2019"/>
    <x v="2"/>
    <s v="Female (F)"/>
    <s v="Other"/>
    <s v="15-24 years"/>
    <n v="23"/>
    <m/>
    <n v="0"/>
    <m/>
    <m/>
    <n v="0"/>
    <n v="0"/>
    <m/>
    <n v="0"/>
    <n v="0"/>
    <n v="0"/>
    <m/>
    <n v="0"/>
    <n v="0"/>
    <n v="0"/>
  </r>
  <r>
    <n v="2019"/>
    <n v="3"/>
    <s v="3/01/2019"/>
    <x v="2"/>
    <s v="Female (F)"/>
    <s v="Other"/>
    <s v="25-34 years"/>
    <n v="35"/>
    <n v="20"/>
    <n v="0"/>
    <m/>
    <n v="0"/>
    <n v="0"/>
    <n v="0"/>
    <m/>
    <n v="0"/>
    <m/>
    <n v="0"/>
    <m/>
    <n v="0"/>
    <n v="0"/>
    <n v="0"/>
  </r>
  <r>
    <n v="2019"/>
    <n v="3"/>
    <s v="3/01/2019"/>
    <x v="2"/>
    <s v="Female (F)"/>
    <s v="Other"/>
    <s v="35-44 years"/>
    <n v="49"/>
    <n v="34"/>
    <m/>
    <n v="12"/>
    <n v="0"/>
    <n v="0"/>
    <m/>
    <m/>
    <n v="0"/>
    <m/>
    <n v="0"/>
    <m/>
    <n v="0"/>
    <n v="0"/>
    <n v="0"/>
  </r>
  <r>
    <n v="2019"/>
    <n v="3"/>
    <s v="3/01/2019"/>
    <x v="2"/>
    <s v="Female (F)"/>
    <s v="Other"/>
    <s v="45-54 years"/>
    <n v="80"/>
    <n v="70"/>
    <m/>
    <n v="22"/>
    <m/>
    <n v="0"/>
    <m/>
    <m/>
    <n v="0"/>
    <m/>
    <m/>
    <n v="14"/>
    <m/>
    <n v="0"/>
    <n v="0"/>
  </r>
  <r>
    <n v="2019"/>
    <n v="3"/>
    <s v="3/01/2019"/>
    <x v="2"/>
    <s v="Female (F)"/>
    <s v="Other"/>
    <s v="5-14 years"/>
    <n v="11"/>
    <m/>
    <n v="0"/>
    <m/>
    <n v="0"/>
    <n v="0"/>
    <n v="0"/>
    <n v="0"/>
    <m/>
    <n v="0"/>
    <n v="0"/>
    <n v="0"/>
    <m/>
    <n v="0"/>
    <n v="0"/>
  </r>
  <r>
    <n v="2019"/>
    <n v="3"/>
    <s v="3/01/2019"/>
    <x v="2"/>
    <s v="Female (F)"/>
    <s v="Other"/>
    <s v="55-64 years"/>
    <n v="154"/>
    <n v="146"/>
    <m/>
    <n v="49"/>
    <n v="12"/>
    <m/>
    <m/>
    <m/>
    <m/>
    <n v="0"/>
    <m/>
    <n v="28"/>
    <m/>
    <n v="0"/>
    <n v="0"/>
  </r>
  <r>
    <n v="2019"/>
    <n v="3"/>
    <s v="3/01/2019"/>
    <x v="2"/>
    <s v="Female (F)"/>
    <s v="Other"/>
    <s v="65-74 years"/>
    <n v="178"/>
    <n v="174"/>
    <m/>
    <n v="48"/>
    <m/>
    <n v="0"/>
    <m/>
    <n v="15"/>
    <m/>
    <m/>
    <m/>
    <n v="37"/>
    <m/>
    <n v="0"/>
    <n v="0"/>
  </r>
  <r>
    <n v="2019"/>
    <n v="3"/>
    <s v="3/01/2019"/>
    <x v="2"/>
    <s v="Female (F)"/>
    <s v="Other"/>
    <s v="75-84 years"/>
    <n v="204"/>
    <n v="197"/>
    <m/>
    <n v="41"/>
    <m/>
    <n v="16"/>
    <m/>
    <n v="18"/>
    <m/>
    <m/>
    <m/>
    <n v="46"/>
    <n v="18"/>
    <n v="0"/>
    <n v="0"/>
  </r>
  <r>
    <n v="2019"/>
    <n v="3"/>
    <s v="3/01/2019"/>
    <x v="2"/>
    <s v="Female (F)"/>
    <s v="Other"/>
    <s v="85 years and over"/>
    <n v="194"/>
    <n v="190"/>
    <m/>
    <n v="17"/>
    <m/>
    <n v="18"/>
    <m/>
    <m/>
    <m/>
    <m/>
    <m/>
    <n v="54"/>
    <n v="17"/>
    <n v="0"/>
    <n v="0"/>
  </r>
  <r>
    <n v="2019"/>
    <n v="3"/>
    <s v="3/01/2019"/>
    <x v="2"/>
    <s v="Male (M)"/>
    <s v="Hispanic"/>
    <s v="0-4 years"/>
    <n v="247"/>
    <n v="225"/>
    <m/>
    <m/>
    <n v="0"/>
    <n v="0"/>
    <m/>
    <m/>
    <m/>
    <m/>
    <n v="30"/>
    <m/>
    <m/>
    <n v="0"/>
    <n v="0"/>
  </r>
  <r>
    <n v="2019"/>
    <n v="3"/>
    <s v="3/01/2019"/>
    <x v="2"/>
    <s v="Male (M)"/>
    <s v="Hispanic"/>
    <s v="15-24 years"/>
    <n v="347"/>
    <n v="55"/>
    <n v="0"/>
    <n v="14"/>
    <m/>
    <n v="0"/>
    <m/>
    <m/>
    <m/>
    <n v="0"/>
    <m/>
    <m/>
    <m/>
    <n v="0"/>
    <n v="0"/>
  </r>
  <r>
    <n v="2019"/>
    <n v="3"/>
    <s v="3/01/2019"/>
    <x v="2"/>
    <s v="Male (M)"/>
    <s v="Hispanic"/>
    <s v="25-34 years"/>
    <n v="598"/>
    <n v="196"/>
    <m/>
    <n v="40"/>
    <m/>
    <n v="0"/>
    <m/>
    <m/>
    <m/>
    <m/>
    <n v="10"/>
    <n v="39"/>
    <m/>
    <n v="0"/>
    <n v="0"/>
  </r>
  <r>
    <n v="2019"/>
    <n v="3"/>
    <s v="3/01/2019"/>
    <x v="2"/>
    <s v="Male (M)"/>
    <s v="Hispanic"/>
    <s v="35-44 years"/>
    <n v="709"/>
    <n v="383"/>
    <m/>
    <n v="64"/>
    <n v="20"/>
    <n v="0"/>
    <n v="17"/>
    <m/>
    <m/>
    <m/>
    <m/>
    <n v="94"/>
    <n v="19"/>
    <n v="0"/>
    <n v="0"/>
  </r>
  <r>
    <n v="2019"/>
    <n v="3"/>
    <s v="3/01/2019"/>
    <x v="2"/>
    <s v="Male (M)"/>
    <s v="Hispanic"/>
    <s v="45-54 years"/>
    <n v="1123"/>
    <n v="871"/>
    <n v="16"/>
    <n v="178"/>
    <n v="67"/>
    <m/>
    <n v="29"/>
    <m/>
    <n v="11"/>
    <n v="26"/>
    <m/>
    <n v="220"/>
    <n v="41"/>
    <n v="0"/>
    <n v="0"/>
  </r>
  <r>
    <n v="2019"/>
    <n v="3"/>
    <s v="3/01/2019"/>
    <x v="2"/>
    <s v="Male (M)"/>
    <s v="Hispanic"/>
    <s v="5-14 years"/>
    <n v="72"/>
    <n v="42"/>
    <n v="0"/>
    <n v="10"/>
    <n v="0"/>
    <n v="0"/>
    <m/>
    <m/>
    <n v="0"/>
    <n v="0"/>
    <m/>
    <m/>
    <m/>
    <n v="0"/>
    <n v="0"/>
  </r>
  <r>
    <n v="2019"/>
    <n v="3"/>
    <s v="3/01/2019"/>
    <x v="2"/>
    <s v="Male (M)"/>
    <s v="Hispanic"/>
    <s v="55-64 years"/>
    <n v="1715"/>
    <n v="1530"/>
    <n v="23"/>
    <n v="372"/>
    <n v="110"/>
    <m/>
    <n v="32"/>
    <n v="37"/>
    <n v="27"/>
    <n v="35"/>
    <n v="14"/>
    <n v="429"/>
    <n v="51"/>
    <n v="0"/>
    <n v="0"/>
  </r>
  <r>
    <n v="2019"/>
    <n v="3"/>
    <s v="3/01/2019"/>
    <x v="2"/>
    <s v="Male (M)"/>
    <s v="Hispanic"/>
    <s v="65-74 years"/>
    <n v="1927"/>
    <n v="1846"/>
    <n v="19"/>
    <n v="506"/>
    <n v="131"/>
    <n v="21"/>
    <n v="60"/>
    <n v="69"/>
    <n v="44"/>
    <n v="51"/>
    <n v="10"/>
    <n v="461"/>
    <n v="93"/>
    <n v="0"/>
    <n v="0"/>
  </r>
  <r>
    <n v="2019"/>
    <n v="3"/>
    <s v="3/01/2019"/>
    <x v="2"/>
    <s v="Male (M)"/>
    <s v="Hispanic"/>
    <s v="75-84 years"/>
    <n v="1884"/>
    <n v="1812"/>
    <n v="31"/>
    <n v="457"/>
    <n v="107"/>
    <n v="68"/>
    <n v="44"/>
    <n v="90"/>
    <n v="46"/>
    <n v="48"/>
    <n v="14"/>
    <n v="459"/>
    <n v="101"/>
    <n v="0"/>
    <n v="0"/>
  </r>
  <r>
    <n v="2019"/>
    <n v="3"/>
    <s v="3/01/2019"/>
    <x v="2"/>
    <s v="Male (M)"/>
    <s v="Hispanic"/>
    <s v="85 years and over"/>
    <n v="1685"/>
    <n v="1641"/>
    <n v="25"/>
    <n v="251"/>
    <n v="75"/>
    <n v="140"/>
    <n v="56"/>
    <n v="75"/>
    <n v="34"/>
    <n v="37"/>
    <m/>
    <n v="439"/>
    <n v="115"/>
    <n v="0"/>
    <n v="0"/>
  </r>
  <r>
    <n v="2019"/>
    <n v="3"/>
    <s v="3/01/2019"/>
    <x v="2"/>
    <s v="Male (M)"/>
    <s v="Non-Hispanic American Indian or Alaska Native"/>
    <s v="0-4 years"/>
    <n v="21"/>
    <n v="16"/>
    <n v="0"/>
    <n v="0"/>
    <n v="0"/>
    <n v="0"/>
    <m/>
    <n v="0"/>
    <m/>
    <n v="0"/>
    <m/>
    <n v="0"/>
    <m/>
    <n v="0"/>
    <n v="0"/>
  </r>
  <r>
    <n v="2019"/>
    <n v="3"/>
    <s v="3/01/2019"/>
    <x v="2"/>
    <s v="Male (M)"/>
    <s v="Non-Hispanic American Indian or Alaska Native"/>
    <s v="15-24 years"/>
    <n v="25"/>
    <m/>
    <n v="0"/>
    <m/>
    <n v="0"/>
    <n v="0"/>
    <m/>
    <n v="0"/>
    <n v="0"/>
    <n v="0"/>
    <m/>
    <n v="0"/>
    <n v="0"/>
    <n v="0"/>
    <n v="0"/>
  </r>
  <r>
    <n v="2019"/>
    <n v="3"/>
    <s v="3/01/2019"/>
    <x v="2"/>
    <s v="Male (M)"/>
    <s v="Non-Hispanic American Indian or Alaska Native"/>
    <s v="25-34 years"/>
    <n v="51"/>
    <m/>
    <m/>
    <n v="0"/>
    <n v="0"/>
    <n v="0"/>
    <n v="0"/>
    <n v="0"/>
    <n v="0"/>
    <n v="0"/>
    <m/>
    <m/>
    <n v="0"/>
    <n v="0"/>
    <n v="0"/>
  </r>
  <r>
    <n v="2019"/>
    <n v="3"/>
    <s v="3/01/2019"/>
    <x v="2"/>
    <s v="Male (M)"/>
    <s v="Non-Hispanic American Indian or Alaska Native"/>
    <s v="35-44 years"/>
    <n v="69"/>
    <n v="38"/>
    <n v="0"/>
    <m/>
    <m/>
    <n v="0"/>
    <m/>
    <m/>
    <n v="0"/>
    <m/>
    <n v="0"/>
    <m/>
    <n v="0"/>
    <n v="0"/>
    <n v="0"/>
  </r>
  <r>
    <n v="2019"/>
    <n v="3"/>
    <s v="3/01/2019"/>
    <x v="2"/>
    <s v="Male (M)"/>
    <s v="Non-Hispanic American Indian or Alaska Native"/>
    <s v="45-54 years"/>
    <n v="120"/>
    <n v="94"/>
    <m/>
    <n v="17"/>
    <n v="10"/>
    <n v="0"/>
    <m/>
    <m/>
    <m/>
    <m/>
    <m/>
    <n v="17"/>
    <m/>
    <n v="0"/>
    <n v="0"/>
  </r>
  <r>
    <n v="2019"/>
    <n v="3"/>
    <s v="3/01/2019"/>
    <x v="2"/>
    <s v="Male (M)"/>
    <s v="Non-Hispanic American Indian or Alaska Native"/>
    <s v="5-14 years"/>
    <m/>
    <m/>
    <n v="0"/>
    <m/>
    <n v="0"/>
    <n v="0"/>
    <m/>
    <n v="0"/>
    <n v="0"/>
    <n v="0"/>
    <n v="0"/>
    <n v="0"/>
    <n v="0"/>
    <n v="0"/>
    <n v="0"/>
  </r>
  <r>
    <n v="2019"/>
    <n v="3"/>
    <s v="3/01/2019"/>
    <x v="2"/>
    <s v="Male (M)"/>
    <s v="Non-Hispanic American Indian or Alaska Native"/>
    <s v="55-64 years"/>
    <n v="182"/>
    <n v="165"/>
    <m/>
    <n v="39"/>
    <m/>
    <n v="0"/>
    <m/>
    <m/>
    <m/>
    <m/>
    <m/>
    <n v="43"/>
    <m/>
    <n v="0"/>
    <n v="0"/>
  </r>
  <r>
    <n v="2019"/>
    <n v="3"/>
    <s v="3/01/2019"/>
    <x v="2"/>
    <s v="Male (M)"/>
    <s v="Non-Hispanic American Indian or Alaska Native"/>
    <s v="65-74 years"/>
    <n v="188"/>
    <n v="184"/>
    <m/>
    <n v="44"/>
    <m/>
    <m/>
    <m/>
    <n v="15"/>
    <m/>
    <m/>
    <m/>
    <n v="50"/>
    <m/>
    <n v="0"/>
    <n v="0"/>
  </r>
  <r>
    <n v="2019"/>
    <n v="3"/>
    <s v="3/01/2019"/>
    <x v="2"/>
    <s v="Male (M)"/>
    <s v="Non-Hispanic American Indian or Alaska Native"/>
    <s v="75-84 years"/>
    <n v="140"/>
    <n v="130"/>
    <n v="0"/>
    <n v="38"/>
    <m/>
    <m/>
    <m/>
    <m/>
    <m/>
    <m/>
    <n v="0"/>
    <n v="21"/>
    <m/>
    <n v="0"/>
    <n v="0"/>
  </r>
  <r>
    <n v="2019"/>
    <n v="3"/>
    <s v="3/01/2019"/>
    <x v="2"/>
    <s v="Male (M)"/>
    <s v="Non-Hispanic American Indian or Alaska Native"/>
    <s v="85 years and over"/>
    <n v="73"/>
    <n v="69"/>
    <n v="0"/>
    <n v="12"/>
    <m/>
    <m/>
    <m/>
    <m/>
    <n v="0"/>
    <m/>
    <m/>
    <n v="18"/>
    <m/>
    <n v="0"/>
    <n v="0"/>
  </r>
  <r>
    <n v="2019"/>
    <n v="3"/>
    <s v="3/01/2019"/>
    <x v="2"/>
    <s v="Male (M)"/>
    <s v="Non-Hispanic Asian"/>
    <s v="0-4 years"/>
    <n v="33"/>
    <n v="31"/>
    <n v="0"/>
    <m/>
    <n v="0"/>
    <n v="0"/>
    <n v="0"/>
    <n v="0"/>
    <n v="0"/>
    <n v="0"/>
    <m/>
    <m/>
    <n v="0"/>
    <n v="0"/>
    <n v="0"/>
  </r>
  <r>
    <n v="2019"/>
    <n v="3"/>
    <s v="3/01/2019"/>
    <x v="2"/>
    <s v="Male (M)"/>
    <s v="Non-Hispanic Asian"/>
    <s v="15-24 years"/>
    <n v="37"/>
    <n v="12"/>
    <n v="0"/>
    <m/>
    <n v="0"/>
    <n v="0"/>
    <n v="0"/>
    <n v="0"/>
    <n v="0"/>
    <n v="0"/>
    <n v="0"/>
    <n v="0"/>
    <n v="0"/>
    <n v="0"/>
    <n v="0"/>
  </r>
  <r>
    <n v="2019"/>
    <n v="3"/>
    <s v="3/01/2019"/>
    <x v="2"/>
    <s v="Male (M)"/>
    <s v="Non-Hispanic Asian"/>
    <s v="25-34 years"/>
    <n v="74"/>
    <n v="25"/>
    <n v="0"/>
    <m/>
    <n v="0"/>
    <n v="0"/>
    <m/>
    <m/>
    <n v="0"/>
    <n v="0"/>
    <m/>
    <m/>
    <m/>
    <n v="0"/>
    <n v="0"/>
  </r>
  <r>
    <n v="2019"/>
    <n v="3"/>
    <s v="3/01/2019"/>
    <x v="2"/>
    <s v="Male (M)"/>
    <s v="Non-Hispanic Asian"/>
    <s v="35-44 years"/>
    <n v="95"/>
    <n v="72"/>
    <m/>
    <n v="16"/>
    <m/>
    <n v="0"/>
    <m/>
    <n v="0"/>
    <m/>
    <m/>
    <m/>
    <n v="19"/>
    <m/>
    <n v="0"/>
    <n v="0"/>
  </r>
  <r>
    <n v="2019"/>
    <n v="3"/>
    <s v="3/01/2019"/>
    <x v="2"/>
    <s v="Male (M)"/>
    <s v="Non-Hispanic Asian"/>
    <s v="45-54 years"/>
    <n v="215"/>
    <n v="177"/>
    <m/>
    <n v="59"/>
    <m/>
    <n v="0"/>
    <m/>
    <m/>
    <m/>
    <m/>
    <m/>
    <n v="41"/>
    <n v="14"/>
    <n v="0"/>
    <n v="0"/>
  </r>
  <r>
    <n v="2019"/>
    <n v="3"/>
    <s v="3/01/2019"/>
    <x v="2"/>
    <s v="Male (M)"/>
    <s v="Non-Hispanic Asian"/>
    <s v="5-14 years"/>
    <m/>
    <m/>
    <n v="0"/>
    <m/>
    <n v="0"/>
    <n v="0"/>
    <m/>
    <n v="0"/>
    <n v="0"/>
    <n v="0"/>
    <m/>
    <n v="0"/>
    <n v="0"/>
    <n v="0"/>
    <n v="0"/>
  </r>
  <r>
    <n v="2019"/>
    <n v="3"/>
    <s v="3/01/2019"/>
    <x v="2"/>
    <s v="Male (M)"/>
    <s v="Non-Hispanic Asian"/>
    <s v="55-64 years"/>
    <n v="384"/>
    <n v="357"/>
    <m/>
    <n v="117"/>
    <n v="24"/>
    <m/>
    <n v="11"/>
    <m/>
    <m/>
    <m/>
    <m/>
    <n v="81"/>
    <n v="21"/>
    <n v="0"/>
    <n v="0"/>
  </r>
  <r>
    <n v="2019"/>
    <n v="3"/>
    <s v="3/01/2019"/>
    <x v="2"/>
    <s v="Male (M)"/>
    <s v="Non-Hispanic Asian"/>
    <s v="65-74 years"/>
    <n v="644"/>
    <n v="618"/>
    <m/>
    <n v="192"/>
    <n v="38"/>
    <n v="11"/>
    <n v="19"/>
    <n v="19"/>
    <n v="13"/>
    <n v="18"/>
    <m/>
    <n v="154"/>
    <n v="45"/>
    <n v="0"/>
    <n v="0"/>
  </r>
  <r>
    <n v="2019"/>
    <n v="3"/>
    <s v="3/01/2019"/>
    <x v="2"/>
    <s v="Male (M)"/>
    <s v="Non-Hispanic Asian"/>
    <s v="75-84 years"/>
    <n v="850"/>
    <n v="820"/>
    <m/>
    <n v="218"/>
    <n v="27"/>
    <n v="23"/>
    <n v="29"/>
    <n v="36"/>
    <n v="16"/>
    <n v="31"/>
    <m/>
    <n v="209"/>
    <n v="70"/>
    <n v="0"/>
    <n v="0"/>
  </r>
  <r>
    <n v="2019"/>
    <n v="3"/>
    <s v="3/01/2019"/>
    <x v="2"/>
    <s v="Male (M)"/>
    <s v="Non-Hispanic Asian"/>
    <s v="85 years and over"/>
    <n v="918"/>
    <n v="889"/>
    <m/>
    <n v="119"/>
    <n v="33"/>
    <n v="55"/>
    <n v="52"/>
    <n v="52"/>
    <n v="12"/>
    <n v="22"/>
    <m/>
    <n v="248"/>
    <n v="66"/>
    <n v="0"/>
    <n v="0"/>
  </r>
  <r>
    <n v="2019"/>
    <n v="3"/>
    <s v="3/01/2019"/>
    <x v="2"/>
    <s v="Male (M)"/>
    <s v="Non-Hispanic Black"/>
    <s v="0-4 years"/>
    <n v="325"/>
    <n v="289"/>
    <m/>
    <m/>
    <n v="0"/>
    <n v="0"/>
    <m/>
    <n v="0"/>
    <m/>
    <n v="0"/>
    <n v="42"/>
    <m/>
    <m/>
    <n v="0"/>
    <n v="0"/>
  </r>
  <r>
    <n v="2019"/>
    <n v="3"/>
    <s v="3/01/2019"/>
    <x v="2"/>
    <s v="Male (M)"/>
    <s v="Non-Hispanic Black"/>
    <s v="15-24 years"/>
    <n v="443"/>
    <n v="104"/>
    <m/>
    <n v="16"/>
    <m/>
    <n v="0"/>
    <m/>
    <m/>
    <m/>
    <m/>
    <m/>
    <n v="24"/>
    <m/>
    <n v="0"/>
    <n v="0"/>
  </r>
  <r>
    <n v="2019"/>
    <n v="3"/>
    <s v="3/01/2019"/>
    <x v="2"/>
    <s v="Male (M)"/>
    <s v="Non-Hispanic Black"/>
    <s v="25-34 years"/>
    <n v="706"/>
    <n v="232"/>
    <m/>
    <n v="21"/>
    <n v="13"/>
    <n v="0"/>
    <m/>
    <m/>
    <m/>
    <m/>
    <n v="13"/>
    <n v="66"/>
    <n v="14"/>
    <n v="0"/>
    <n v="0"/>
  </r>
  <r>
    <n v="2019"/>
    <n v="3"/>
    <s v="3/01/2019"/>
    <x v="2"/>
    <s v="Male (M)"/>
    <s v="Non-Hispanic Black"/>
    <s v="35-44 years"/>
    <n v="915"/>
    <n v="538"/>
    <n v="12"/>
    <n v="64"/>
    <n v="35"/>
    <n v="0"/>
    <n v="15"/>
    <m/>
    <m/>
    <n v="14"/>
    <n v="15"/>
    <n v="178"/>
    <n v="17"/>
    <n v="0"/>
    <n v="0"/>
  </r>
  <r>
    <n v="2019"/>
    <n v="3"/>
    <s v="3/01/2019"/>
    <x v="2"/>
    <s v="Male (M)"/>
    <s v="Non-Hispanic Black"/>
    <s v="45-54 years"/>
    <n v="1597"/>
    <n v="1299"/>
    <n v="32"/>
    <n v="243"/>
    <n v="104"/>
    <n v="0"/>
    <n v="34"/>
    <n v="29"/>
    <n v="17"/>
    <n v="38"/>
    <n v="14"/>
    <n v="402"/>
    <n v="65"/>
    <n v="0"/>
    <n v="0"/>
  </r>
  <r>
    <n v="2019"/>
    <n v="3"/>
    <s v="3/01/2019"/>
    <x v="2"/>
    <s v="Male (M)"/>
    <s v="Non-Hispanic Black"/>
    <s v="5-14 years"/>
    <n v="70"/>
    <n v="39"/>
    <m/>
    <n v="12"/>
    <n v="0"/>
    <n v="0"/>
    <m/>
    <m/>
    <n v="0"/>
    <n v="0"/>
    <m/>
    <m/>
    <n v="0"/>
    <n v="0"/>
    <n v="0"/>
  </r>
  <r>
    <n v="2019"/>
    <n v="3"/>
    <s v="3/01/2019"/>
    <x v="2"/>
    <s v="Male (M)"/>
    <s v="Non-Hispanic Black"/>
    <s v="55-64 years"/>
    <n v="3261"/>
    <n v="2927"/>
    <n v="60"/>
    <n v="766"/>
    <n v="164"/>
    <m/>
    <n v="61"/>
    <n v="119"/>
    <n v="43"/>
    <n v="79"/>
    <n v="24"/>
    <n v="866"/>
    <n v="156"/>
    <n v="0"/>
    <n v="0"/>
  </r>
  <r>
    <n v="2019"/>
    <n v="3"/>
    <s v="3/01/2019"/>
    <x v="2"/>
    <s v="Male (M)"/>
    <s v="Non-Hispanic Black"/>
    <s v="65-74 years"/>
    <n v="3799"/>
    <n v="3610"/>
    <n v="68"/>
    <n v="993"/>
    <n v="193"/>
    <n v="24"/>
    <n v="72"/>
    <n v="180"/>
    <n v="54"/>
    <n v="116"/>
    <n v="26"/>
    <n v="1035"/>
    <n v="206"/>
    <n v="0"/>
    <n v="0"/>
  </r>
  <r>
    <n v="2019"/>
    <n v="3"/>
    <s v="3/01/2019"/>
    <x v="2"/>
    <s v="Male (M)"/>
    <s v="Non-Hispanic Black"/>
    <s v="75-84 years"/>
    <n v="2912"/>
    <n v="2846"/>
    <n v="66"/>
    <n v="652"/>
    <n v="156"/>
    <n v="95"/>
    <n v="60"/>
    <n v="137"/>
    <n v="45"/>
    <n v="103"/>
    <n v="20"/>
    <n v="762"/>
    <n v="199"/>
    <n v="0"/>
    <n v="0"/>
  </r>
  <r>
    <n v="2019"/>
    <n v="3"/>
    <s v="3/01/2019"/>
    <x v="2"/>
    <s v="Male (M)"/>
    <s v="Non-Hispanic Black"/>
    <s v="85 years and over"/>
    <n v="1935"/>
    <n v="1900"/>
    <n v="39"/>
    <n v="338"/>
    <n v="45"/>
    <n v="113"/>
    <n v="44"/>
    <n v="71"/>
    <n v="20"/>
    <n v="49"/>
    <n v="18"/>
    <n v="565"/>
    <n v="133"/>
    <n v="0"/>
    <n v="0"/>
  </r>
  <r>
    <n v="2019"/>
    <n v="3"/>
    <s v="3/01/2019"/>
    <x v="2"/>
    <s v="Male (M)"/>
    <s v="Non-Hispanic White"/>
    <s v="0-4 years"/>
    <n v="462"/>
    <n v="398"/>
    <m/>
    <m/>
    <n v="0"/>
    <n v="0"/>
    <m/>
    <m/>
    <m/>
    <m/>
    <n v="58"/>
    <m/>
    <m/>
    <n v="0"/>
    <n v="0"/>
  </r>
  <r>
    <n v="2019"/>
    <n v="3"/>
    <s v="3/01/2019"/>
    <x v="2"/>
    <s v="Male (M)"/>
    <s v="Non-Hispanic White"/>
    <s v="15-24 years"/>
    <n v="884"/>
    <n v="164"/>
    <m/>
    <n v="37"/>
    <m/>
    <n v="0"/>
    <m/>
    <n v="0"/>
    <m/>
    <m/>
    <m/>
    <n v="24"/>
    <m/>
    <n v="0"/>
    <n v="0"/>
  </r>
  <r>
    <n v="2019"/>
    <n v="3"/>
    <s v="3/01/2019"/>
    <x v="2"/>
    <s v="Male (M)"/>
    <s v="Non-Hispanic White"/>
    <s v="25-34 years"/>
    <n v="2032"/>
    <n v="517"/>
    <m/>
    <n v="97"/>
    <n v="36"/>
    <n v="0"/>
    <n v="18"/>
    <m/>
    <n v="11"/>
    <m/>
    <n v="22"/>
    <n v="100"/>
    <n v="10"/>
    <n v="0"/>
    <n v="0"/>
  </r>
  <r>
    <n v="2019"/>
    <n v="3"/>
    <s v="3/01/2019"/>
    <x v="2"/>
    <s v="Male (M)"/>
    <s v="Non-Hispanic White"/>
    <s v="35-44 years"/>
    <n v="2690"/>
    <n v="1262"/>
    <n v="27"/>
    <n v="221"/>
    <n v="60"/>
    <n v="0"/>
    <n v="46"/>
    <n v="25"/>
    <n v="11"/>
    <n v="16"/>
    <n v="32"/>
    <n v="339"/>
    <n v="42"/>
    <n v="0"/>
    <n v="0"/>
  </r>
  <r>
    <n v="2019"/>
    <n v="3"/>
    <s v="3/01/2019"/>
    <x v="2"/>
    <s v="Male (M)"/>
    <s v="Non-Hispanic White"/>
    <s v="45-54 years"/>
    <n v="5514"/>
    <n v="4207"/>
    <n v="68"/>
    <n v="1023"/>
    <n v="192"/>
    <m/>
    <n v="104"/>
    <n v="130"/>
    <n v="37"/>
    <n v="50"/>
    <n v="47"/>
    <n v="1242"/>
    <n v="148"/>
    <n v="0"/>
    <n v="0"/>
  </r>
  <r>
    <n v="2019"/>
    <n v="3"/>
    <s v="3/01/2019"/>
    <x v="2"/>
    <s v="Male (M)"/>
    <s v="Non-Hispanic White"/>
    <s v="5-14 years"/>
    <n v="118"/>
    <n v="68"/>
    <m/>
    <m/>
    <m/>
    <n v="0"/>
    <m/>
    <m/>
    <m/>
    <n v="0"/>
    <m/>
    <m/>
    <m/>
    <n v="0"/>
    <n v="0"/>
  </r>
  <r>
    <n v="2019"/>
    <n v="3"/>
    <s v="3/01/2019"/>
    <x v="2"/>
    <s v="Male (M)"/>
    <s v="Non-Hispanic White"/>
    <s v="55-64 years"/>
    <n v="14253"/>
    <n v="12644"/>
    <n v="180"/>
    <n v="3756"/>
    <n v="554"/>
    <n v="34"/>
    <n v="273"/>
    <n v="763"/>
    <n v="178"/>
    <n v="170"/>
    <n v="128"/>
    <n v="3502"/>
    <n v="395"/>
    <n v="0"/>
    <n v="0"/>
  </r>
  <r>
    <n v="2019"/>
    <n v="3"/>
    <s v="3/01/2019"/>
    <x v="2"/>
    <s v="Male (M)"/>
    <s v="Non-Hispanic White"/>
    <s v="65-74 years"/>
    <n v="21840"/>
    <n v="20713"/>
    <n v="278"/>
    <n v="6275"/>
    <n v="861"/>
    <n v="226"/>
    <n v="450"/>
    <n v="1714"/>
    <n v="407"/>
    <n v="345"/>
    <n v="148"/>
    <n v="5405"/>
    <n v="821"/>
    <n v="0"/>
    <n v="0"/>
  </r>
  <r>
    <n v="2019"/>
    <n v="3"/>
    <s v="3/01/2019"/>
    <x v="2"/>
    <s v="Male (M)"/>
    <s v="Non-Hispanic White"/>
    <s v="75-84 years"/>
    <n v="25654"/>
    <n v="24684"/>
    <n v="343"/>
    <n v="6008"/>
    <n v="790"/>
    <n v="936"/>
    <n v="610"/>
    <n v="2065"/>
    <n v="571"/>
    <n v="502"/>
    <n v="166"/>
    <n v="6478"/>
    <n v="1297"/>
    <n v="0"/>
    <n v="0"/>
  </r>
  <r>
    <n v="2019"/>
    <n v="3"/>
    <s v="3/01/2019"/>
    <x v="2"/>
    <s v="Male (M)"/>
    <s v="Non-Hispanic White"/>
    <s v="85 years and over"/>
    <n v="26170"/>
    <n v="25251"/>
    <n v="364"/>
    <n v="3608"/>
    <n v="509"/>
    <n v="1663"/>
    <n v="802"/>
    <n v="1366"/>
    <n v="461"/>
    <n v="576"/>
    <n v="283"/>
    <n v="8142"/>
    <n v="1460"/>
    <n v="0"/>
    <n v="0"/>
  </r>
  <r>
    <n v="2019"/>
    <n v="3"/>
    <s v="3/01/2019"/>
    <x v="2"/>
    <s v="Male (M)"/>
    <s v="Other"/>
    <s v="0-4 years"/>
    <n v="59"/>
    <n v="57"/>
    <n v="0"/>
    <n v="0"/>
    <n v="0"/>
    <n v="0"/>
    <n v="0"/>
    <n v="0"/>
    <n v="0"/>
    <n v="0"/>
    <n v="12"/>
    <m/>
    <n v="0"/>
    <n v="0"/>
    <n v="0"/>
  </r>
  <r>
    <n v="2019"/>
    <n v="3"/>
    <s v="3/01/2019"/>
    <x v="2"/>
    <s v="Male (M)"/>
    <s v="Other"/>
    <s v="15-24 years"/>
    <n v="41"/>
    <m/>
    <n v="0"/>
    <m/>
    <n v="0"/>
    <n v="0"/>
    <n v="0"/>
    <n v="0"/>
    <n v="0"/>
    <n v="0"/>
    <n v="0"/>
    <n v="0"/>
    <n v="0"/>
    <n v="0"/>
    <n v="0"/>
  </r>
  <r>
    <n v="2019"/>
    <n v="3"/>
    <s v="3/01/2019"/>
    <x v="2"/>
    <s v="Male (M)"/>
    <s v="Other"/>
    <s v="25-34 years"/>
    <n v="49"/>
    <n v="17"/>
    <n v="0"/>
    <m/>
    <m/>
    <n v="0"/>
    <m/>
    <n v="0"/>
    <n v="0"/>
    <m/>
    <n v="0"/>
    <m/>
    <n v="0"/>
    <n v="0"/>
    <n v="0"/>
  </r>
  <r>
    <n v="2019"/>
    <n v="3"/>
    <s v="3/01/2019"/>
    <x v="2"/>
    <s v="Male (M)"/>
    <s v="Other"/>
    <s v="35-44 years"/>
    <n v="65"/>
    <n v="36"/>
    <n v="0"/>
    <m/>
    <m/>
    <n v="0"/>
    <m/>
    <n v="0"/>
    <n v="0"/>
    <m/>
    <m/>
    <n v="12"/>
    <n v="0"/>
    <n v="0"/>
    <n v="0"/>
  </r>
  <r>
    <n v="2019"/>
    <n v="3"/>
    <s v="3/01/2019"/>
    <x v="2"/>
    <s v="Male (M)"/>
    <s v="Other"/>
    <s v="45-54 years"/>
    <n v="140"/>
    <n v="95"/>
    <m/>
    <n v="12"/>
    <m/>
    <n v="0"/>
    <m/>
    <m/>
    <n v="0"/>
    <m/>
    <m/>
    <n v="28"/>
    <m/>
    <n v="0"/>
    <n v="0"/>
  </r>
  <r>
    <n v="2019"/>
    <n v="3"/>
    <s v="3/01/2019"/>
    <x v="2"/>
    <s v="Male (M)"/>
    <s v="Other"/>
    <s v="5-14 years"/>
    <m/>
    <m/>
    <n v="0"/>
    <n v="0"/>
    <n v="0"/>
    <n v="0"/>
    <m/>
    <n v="0"/>
    <n v="0"/>
    <n v="0"/>
    <n v="0"/>
    <m/>
    <n v="0"/>
    <n v="0"/>
    <n v="0"/>
  </r>
  <r>
    <n v="2019"/>
    <n v="3"/>
    <s v="3/01/2019"/>
    <x v="2"/>
    <s v="Male (M)"/>
    <s v="Other"/>
    <s v="55-64 years"/>
    <n v="227"/>
    <n v="189"/>
    <m/>
    <n v="36"/>
    <n v="10"/>
    <n v="0"/>
    <m/>
    <m/>
    <m/>
    <m/>
    <m/>
    <n v="66"/>
    <n v="10"/>
    <n v="0"/>
    <n v="0"/>
  </r>
  <r>
    <n v="2019"/>
    <n v="3"/>
    <s v="3/01/2019"/>
    <x v="2"/>
    <s v="Male (M)"/>
    <s v="Other"/>
    <s v="65-74 years"/>
    <n v="268"/>
    <n v="250"/>
    <m/>
    <n v="60"/>
    <n v="17"/>
    <m/>
    <m/>
    <n v="12"/>
    <m/>
    <m/>
    <m/>
    <n v="79"/>
    <n v="13"/>
    <n v="0"/>
    <n v="0"/>
  </r>
  <r>
    <n v="2019"/>
    <n v="3"/>
    <s v="3/01/2019"/>
    <x v="2"/>
    <s v="Male (M)"/>
    <s v="Other"/>
    <s v="75-84 years"/>
    <n v="195"/>
    <n v="190"/>
    <m/>
    <n v="35"/>
    <m/>
    <m/>
    <m/>
    <m/>
    <m/>
    <m/>
    <m/>
    <n v="58"/>
    <m/>
    <n v="0"/>
    <n v="0"/>
  </r>
  <r>
    <n v="2019"/>
    <n v="3"/>
    <s v="3/01/2019"/>
    <x v="2"/>
    <s v="Male (M)"/>
    <s v="Other"/>
    <s v="85 years and over"/>
    <n v="126"/>
    <n v="122"/>
    <m/>
    <n v="20"/>
    <m/>
    <m/>
    <m/>
    <m/>
    <m/>
    <m/>
    <m/>
    <n v="35"/>
    <m/>
    <n v="0"/>
    <n v="0"/>
  </r>
  <r>
    <n v="2019"/>
    <n v="4"/>
    <s v="4/01/2019"/>
    <x v="3"/>
    <s v="Female (F)"/>
    <s v="Hispanic"/>
    <s v="0-4 years"/>
    <n v="217"/>
    <n v="198"/>
    <m/>
    <m/>
    <n v="0"/>
    <n v="0"/>
    <m/>
    <n v="0"/>
    <m/>
    <m/>
    <n v="18"/>
    <m/>
    <m/>
    <n v="0"/>
    <n v="0"/>
  </r>
  <r>
    <n v="2019"/>
    <n v="4"/>
    <s v="4/01/2019"/>
    <x v="3"/>
    <s v="Female (F)"/>
    <s v="Hispanic"/>
    <s v="15-24 years"/>
    <n v="124"/>
    <n v="57"/>
    <m/>
    <m/>
    <m/>
    <n v="0"/>
    <m/>
    <m/>
    <n v="0"/>
    <m/>
    <m/>
    <m/>
    <m/>
    <n v="0"/>
    <n v="0"/>
  </r>
  <r>
    <n v="2019"/>
    <n v="4"/>
    <s v="4/01/2019"/>
    <x v="3"/>
    <s v="Female (F)"/>
    <s v="Hispanic"/>
    <s v="25-34 years"/>
    <n v="180"/>
    <n v="94"/>
    <n v="0"/>
    <n v="31"/>
    <m/>
    <n v="0"/>
    <m/>
    <m/>
    <m/>
    <n v="0"/>
    <m/>
    <m/>
    <m/>
    <n v="0"/>
    <n v="0"/>
  </r>
  <r>
    <n v="2019"/>
    <n v="4"/>
    <s v="4/01/2019"/>
    <x v="3"/>
    <s v="Female (F)"/>
    <s v="Hispanic"/>
    <s v="35-44 years"/>
    <n v="292"/>
    <n v="228"/>
    <m/>
    <n v="107"/>
    <m/>
    <n v="0"/>
    <m/>
    <m/>
    <m/>
    <m/>
    <n v="11"/>
    <n v="25"/>
    <n v="12"/>
    <n v="0"/>
    <n v="0"/>
  </r>
  <r>
    <n v="2019"/>
    <n v="4"/>
    <s v="4/01/2019"/>
    <x v="3"/>
    <s v="Female (F)"/>
    <s v="Hispanic"/>
    <s v="45-54 years"/>
    <n v="479"/>
    <n v="410"/>
    <m/>
    <n v="175"/>
    <n v="33"/>
    <n v="0"/>
    <m/>
    <m/>
    <m/>
    <n v="12"/>
    <m/>
    <n v="52"/>
    <n v="15"/>
    <n v="0"/>
    <n v="0"/>
  </r>
  <r>
    <n v="2019"/>
    <n v="4"/>
    <s v="4/01/2019"/>
    <x v="3"/>
    <s v="Female (F)"/>
    <s v="Hispanic"/>
    <s v="5-14 years"/>
    <n v="40"/>
    <n v="29"/>
    <m/>
    <m/>
    <m/>
    <n v="0"/>
    <n v="0"/>
    <m/>
    <n v="0"/>
    <n v="0"/>
    <m/>
    <m/>
    <m/>
    <n v="0"/>
    <n v="0"/>
  </r>
  <r>
    <n v="2019"/>
    <n v="4"/>
    <s v="4/01/2019"/>
    <x v="3"/>
    <s v="Female (F)"/>
    <s v="Hispanic"/>
    <s v="55-64 years"/>
    <n v="943"/>
    <n v="883"/>
    <n v="12"/>
    <n v="335"/>
    <n v="62"/>
    <m/>
    <n v="19"/>
    <n v="26"/>
    <n v="18"/>
    <n v="19"/>
    <m/>
    <n v="140"/>
    <n v="29"/>
    <n v="0"/>
    <n v="0"/>
  </r>
  <r>
    <n v="2019"/>
    <n v="4"/>
    <s v="4/01/2019"/>
    <x v="3"/>
    <s v="Female (F)"/>
    <s v="Hispanic"/>
    <s v="65-74 years"/>
    <n v="1304"/>
    <n v="1264"/>
    <n v="22"/>
    <n v="397"/>
    <n v="83"/>
    <n v="21"/>
    <n v="28"/>
    <n v="44"/>
    <n v="33"/>
    <n v="38"/>
    <m/>
    <n v="243"/>
    <n v="83"/>
    <n v="0"/>
    <n v="0"/>
  </r>
  <r>
    <n v="2019"/>
    <n v="4"/>
    <s v="4/01/2019"/>
    <x v="3"/>
    <s v="Female (F)"/>
    <s v="Hispanic"/>
    <s v="75-84 years"/>
    <n v="1719"/>
    <n v="1672"/>
    <n v="18"/>
    <n v="363"/>
    <n v="110"/>
    <n v="124"/>
    <n v="33"/>
    <n v="62"/>
    <n v="40"/>
    <n v="45"/>
    <m/>
    <n v="375"/>
    <n v="131"/>
    <n v="0"/>
    <n v="0"/>
  </r>
  <r>
    <n v="2019"/>
    <n v="4"/>
    <s v="4/01/2019"/>
    <x v="3"/>
    <s v="Female (F)"/>
    <s v="Hispanic"/>
    <s v="85 years and over"/>
    <n v="2389"/>
    <n v="2339"/>
    <n v="31"/>
    <n v="243"/>
    <n v="73"/>
    <n v="326"/>
    <n v="53"/>
    <n v="104"/>
    <n v="40"/>
    <n v="34"/>
    <n v="17"/>
    <n v="671"/>
    <n v="201"/>
    <n v="0"/>
    <n v="0"/>
  </r>
  <r>
    <n v="2019"/>
    <n v="4"/>
    <s v="4/01/2019"/>
    <x v="3"/>
    <s v="Female (F)"/>
    <s v="Non-Hispanic American Indian or Alaska Native"/>
    <s v="0-4 years"/>
    <n v="19"/>
    <n v="16"/>
    <m/>
    <m/>
    <n v="0"/>
    <n v="0"/>
    <n v="0"/>
    <n v="0"/>
    <n v="0"/>
    <n v="0"/>
    <m/>
    <n v="0"/>
    <m/>
    <n v="0"/>
    <n v="0"/>
  </r>
  <r>
    <n v="2019"/>
    <n v="4"/>
    <s v="4/01/2019"/>
    <x v="3"/>
    <s v="Female (F)"/>
    <s v="Non-Hispanic American Indian or Alaska Native"/>
    <s v="15-24 years"/>
    <n v="18"/>
    <m/>
    <n v="0"/>
    <m/>
    <n v="0"/>
    <n v="0"/>
    <n v="0"/>
    <n v="0"/>
    <n v="0"/>
    <n v="0"/>
    <m/>
    <n v="0"/>
    <n v="0"/>
    <n v="0"/>
    <n v="0"/>
  </r>
  <r>
    <n v="2019"/>
    <n v="4"/>
    <s v="4/01/2019"/>
    <x v="3"/>
    <s v="Female (F)"/>
    <s v="Non-Hispanic American Indian or Alaska Native"/>
    <s v="25-34 years"/>
    <n v="30"/>
    <n v="13"/>
    <n v="0"/>
    <n v="0"/>
    <n v="0"/>
    <n v="0"/>
    <m/>
    <n v="0"/>
    <n v="0"/>
    <n v="0"/>
    <n v="0"/>
    <n v="0"/>
    <m/>
    <n v="0"/>
    <n v="0"/>
  </r>
  <r>
    <n v="2019"/>
    <n v="4"/>
    <s v="4/01/2019"/>
    <x v="3"/>
    <s v="Female (F)"/>
    <s v="Non-Hispanic American Indian or Alaska Native"/>
    <s v="35-44 years"/>
    <n v="43"/>
    <n v="26"/>
    <n v="0"/>
    <m/>
    <m/>
    <n v="0"/>
    <n v="0"/>
    <n v="0"/>
    <n v="0"/>
    <m/>
    <n v="0"/>
    <m/>
    <m/>
    <n v="0"/>
    <n v="0"/>
  </r>
  <r>
    <n v="2019"/>
    <n v="4"/>
    <s v="4/01/2019"/>
    <x v="3"/>
    <s v="Female (F)"/>
    <s v="Non-Hispanic American Indian or Alaska Native"/>
    <s v="45-54 years"/>
    <n v="78"/>
    <n v="58"/>
    <n v="0"/>
    <n v="13"/>
    <m/>
    <n v="0"/>
    <m/>
    <m/>
    <m/>
    <n v="0"/>
    <n v="0"/>
    <m/>
    <m/>
    <n v="0"/>
    <n v="0"/>
  </r>
  <r>
    <n v="2019"/>
    <n v="4"/>
    <s v="4/01/2019"/>
    <x v="3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4"/>
    <s v="4/01/2019"/>
    <x v="3"/>
    <s v="Female (F)"/>
    <s v="Non-Hispanic American Indian or Alaska Native"/>
    <s v="55-64 years"/>
    <n v="105"/>
    <n v="95"/>
    <m/>
    <n v="25"/>
    <m/>
    <n v="0"/>
    <m/>
    <m/>
    <m/>
    <m/>
    <m/>
    <n v="16"/>
    <m/>
    <n v="0"/>
    <n v="0"/>
  </r>
  <r>
    <n v="2019"/>
    <n v="4"/>
    <s v="4/01/2019"/>
    <x v="3"/>
    <s v="Female (F)"/>
    <s v="Non-Hispanic American Indian or Alaska Native"/>
    <s v="65-74 years"/>
    <n v="167"/>
    <n v="160"/>
    <m/>
    <n v="38"/>
    <n v="10"/>
    <m/>
    <m/>
    <m/>
    <m/>
    <m/>
    <n v="0"/>
    <n v="31"/>
    <n v="13"/>
    <n v="0"/>
    <n v="0"/>
  </r>
  <r>
    <n v="2019"/>
    <n v="4"/>
    <s v="4/01/2019"/>
    <x v="3"/>
    <s v="Female (F)"/>
    <s v="Non-Hispanic American Indian or Alaska Native"/>
    <s v="75-84 years"/>
    <n v="142"/>
    <n v="137"/>
    <n v="0"/>
    <n v="36"/>
    <n v="10"/>
    <n v="11"/>
    <m/>
    <m/>
    <m/>
    <m/>
    <n v="0"/>
    <n v="21"/>
    <m/>
    <n v="0"/>
    <n v="0"/>
  </r>
  <r>
    <n v="2019"/>
    <n v="4"/>
    <s v="4/01/2019"/>
    <x v="3"/>
    <s v="Female (F)"/>
    <s v="Non-Hispanic American Indian or Alaska Native"/>
    <s v="85 years and over"/>
    <n v="119"/>
    <n v="118"/>
    <m/>
    <n v="13"/>
    <m/>
    <m/>
    <m/>
    <m/>
    <m/>
    <m/>
    <m/>
    <n v="31"/>
    <m/>
    <n v="0"/>
    <n v="0"/>
  </r>
  <r>
    <n v="2019"/>
    <n v="4"/>
    <s v="4/01/2019"/>
    <x v="3"/>
    <s v="Female (F)"/>
    <s v="Non-Hispanic Asian"/>
    <s v="0-4 years"/>
    <n v="22"/>
    <n v="19"/>
    <n v="0"/>
    <m/>
    <n v="0"/>
    <n v="0"/>
    <n v="0"/>
    <n v="0"/>
    <m/>
    <m/>
    <m/>
    <n v="0"/>
    <n v="0"/>
    <n v="0"/>
    <n v="0"/>
  </r>
  <r>
    <n v="2019"/>
    <n v="4"/>
    <s v="4/01/2019"/>
    <x v="3"/>
    <s v="Female (F)"/>
    <s v="Non-Hispanic Asian"/>
    <s v="15-24 years"/>
    <n v="21"/>
    <m/>
    <n v="0"/>
    <m/>
    <m/>
    <n v="0"/>
    <n v="0"/>
    <n v="0"/>
    <n v="0"/>
    <n v="0"/>
    <n v="0"/>
    <n v="0"/>
    <m/>
    <n v="0"/>
    <n v="0"/>
  </r>
  <r>
    <n v="2019"/>
    <n v="4"/>
    <s v="4/01/2019"/>
    <x v="3"/>
    <s v="Female (F)"/>
    <s v="Non-Hispanic Asian"/>
    <s v="25-34 years"/>
    <n v="30"/>
    <n v="19"/>
    <n v="0"/>
    <m/>
    <m/>
    <n v="0"/>
    <n v="0"/>
    <n v="0"/>
    <n v="0"/>
    <n v="0"/>
    <n v="0"/>
    <m/>
    <n v="0"/>
    <n v="0"/>
    <n v="0"/>
  </r>
  <r>
    <n v="2019"/>
    <n v="4"/>
    <s v="4/01/2019"/>
    <x v="3"/>
    <s v="Female (F)"/>
    <s v="Non-Hispanic Asian"/>
    <s v="35-44 years"/>
    <n v="77"/>
    <n v="55"/>
    <m/>
    <n v="26"/>
    <m/>
    <n v="0"/>
    <n v="0"/>
    <n v="0"/>
    <m/>
    <n v="0"/>
    <n v="0"/>
    <m/>
    <m/>
    <n v="0"/>
    <n v="0"/>
  </r>
  <r>
    <n v="2019"/>
    <n v="4"/>
    <s v="4/01/2019"/>
    <x v="3"/>
    <s v="Female (F)"/>
    <s v="Non-Hispanic Asian"/>
    <s v="45-54 years"/>
    <n v="145"/>
    <n v="135"/>
    <n v="0"/>
    <n v="92"/>
    <m/>
    <m/>
    <m/>
    <m/>
    <n v="0"/>
    <n v="0"/>
    <m/>
    <m/>
    <m/>
    <n v="0"/>
    <n v="0"/>
  </r>
  <r>
    <n v="2019"/>
    <n v="4"/>
    <s v="4/01/2019"/>
    <x v="3"/>
    <s v="Female (F)"/>
    <s v="Non-Hispanic Asian"/>
    <s v="5-14 years"/>
    <n v="10"/>
    <m/>
    <n v="0"/>
    <m/>
    <n v="0"/>
    <n v="0"/>
    <n v="0"/>
    <n v="0"/>
    <n v="0"/>
    <n v="0"/>
    <n v="0"/>
    <n v="0"/>
    <n v="0"/>
    <n v="0"/>
    <n v="0"/>
  </r>
  <r>
    <n v="2019"/>
    <n v="4"/>
    <s v="4/01/2019"/>
    <x v="3"/>
    <s v="Female (F)"/>
    <s v="Non-Hispanic Asian"/>
    <s v="55-64 years"/>
    <n v="269"/>
    <n v="259"/>
    <m/>
    <n v="143"/>
    <n v="14"/>
    <m/>
    <m/>
    <m/>
    <m/>
    <m/>
    <n v="0"/>
    <n v="32"/>
    <n v="19"/>
    <n v="0"/>
    <n v="0"/>
  </r>
  <r>
    <n v="2019"/>
    <n v="4"/>
    <s v="4/01/2019"/>
    <x v="3"/>
    <s v="Female (F)"/>
    <s v="Non-Hispanic Asian"/>
    <s v="65-74 years"/>
    <n v="432"/>
    <n v="415"/>
    <m/>
    <n v="157"/>
    <n v="28"/>
    <m/>
    <m/>
    <m/>
    <n v="11"/>
    <n v="12"/>
    <m/>
    <n v="78"/>
    <n v="39"/>
    <n v="0"/>
    <n v="0"/>
  </r>
  <r>
    <n v="2019"/>
    <n v="4"/>
    <s v="4/01/2019"/>
    <x v="3"/>
    <s v="Female (F)"/>
    <s v="Non-Hispanic Asian"/>
    <s v="75-84 years"/>
    <n v="702"/>
    <n v="680"/>
    <n v="10"/>
    <n v="179"/>
    <n v="39"/>
    <n v="29"/>
    <n v="18"/>
    <n v="29"/>
    <n v="16"/>
    <n v="16"/>
    <m/>
    <n v="130"/>
    <n v="67"/>
    <n v="0"/>
    <n v="0"/>
  </r>
  <r>
    <n v="2019"/>
    <n v="4"/>
    <s v="4/01/2019"/>
    <x v="3"/>
    <s v="Female (F)"/>
    <s v="Non-Hispanic Asian"/>
    <s v="85 years and over"/>
    <n v="1173"/>
    <n v="1142"/>
    <n v="12"/>
    <n v="136"/>
    <n v="37"/>
    <n v="133"/>
    <n v="52"/>
    <n v="39"/>
    <n v="13"/>
    <n v="30"/>
    <n v="15"/>
    <n v="284"/>
    <n v="115"/>
    <n v="0"/>
    <n v="0"/>
  </r>
  <r>
    <n v="2019"/>
    <n v="4"/>
    <s v="4/01/2019"/>
    <x v="3"/>
    <s v="Female (F)"/>
    <s v="Non-Hispanic Black"/>
    <s v="0-4 years"/>
    <n v="269"/>
    <n v="245"/>
    <m/>
    <n v="0"/>
    <n v="0"/>
    <n v="0"/>
    <m/>
    <m/>
    <m/>
    <m/>
    <n v="29"/>
    <m/>
    <m/>
    <n v="0"/>
    <n v="0"/>
  </r>
  <r>
    <n v="2019"/>
    <n v="4"/>
    <s v="4/01/2019"/>
    <x v="3"/>
    <s v="Female (F)"/>
    <s v="Non-Hispanic Black"/>
    <s v="15-24 years"/>
    <n v="139"/>
    <n v="46"/>
    <n v="0"/>
    <n v="10"/>
    <m/>
    <n v="0"/>
    <n v="0"/>
    <n v="0"/>
    <m/>
    <m/>
    <m/>
    <m/>
    <m/>
    <n v="0"/>
    <n v="0"/>
  </r>
  <r>
    <n v="2019"/>
    <n v="4"/>
    <s v="4/01/2019"/>
    <x v="3"/>
    <s v="Female (F)"/>
    <s v="Non-Hispanic Black"/>
    <s v="25-34 years"/>
    <n v="276"/>
    <n v="177"/>
    <m/>
    <n v="27"/>
    <m/>
    <n v="0"/>
    <m/>
    <n v="10"/>
    <m/>
    <n v="0"/>
    <m/>
    <n v="29"/>
    <m/>
    <n v="0"/>
    <n v="0"/>
  </r>
  <r>
    <n v="2019"/>
    <n v="4"/>
    <s v="4/01/2019"/>
    <x v="3"/>
    <s v="Female (F)"/>
    <s v="Non-Hispanic Black"/>
    <s v="35-44 years"/>
    <n v="520"/>
    <n v="402"/>
    <n v="13"/>
    <n v="88"/>
    <n v="25"/>
    <n v="0"/>
    <m/>
    <m/>
    <m/>
    <n v="13"/>
    <m/>
    <n v="90"/>
    <n v="17"/>
    <n v="0"/>
    <n v="0"/>
  </r>
  <r>
    <n v="2019"/>
    <n v="4"/>
    <s v="4/01/2019"/>
    <x v="3"/>
    <s v="Female (F)"/>
    <s v="Non-Hispanic Black"/>
    <s v="45-54 years"/>
    <n v="1045"/>
    <n v="954"/>
    <n v="34"/>
    <n v="273"/>
    <n v="56"/>
    <n v="0"/>
    <n v="17"/>
    <n v="21"/>
    <n v="15"/>
    <n v="25"/>
    <n v="11"/>
    <n v="233"/>
    <n v="43"/>
    <n v="0"/>
    <n v="0"/>
  </r>
  <r>
    <n v="2019"/>
    <n v="4"/>
    <s v="4/01/2019"/>
    <x v="3"/>
    <s v="Female (F)"/>
    <s v="Non-Hispanic Black"/>
    <s v="5-14 years"/>
    <n v="44"/>
    <n v="20"/>
    <n v="0"/>
    <m/>
    <n v="0"/>
    <n v="0"/>
    <m/>
    <m/>
    <n v="0"/>
    <n v="0"/>
    <n v="0"/>
    <m/>
    <n v="0"/>
    <n v="0"/>
    <n v="0"/>
  </r>
  <r>
    <n v="2019"/>
    <n v="4"/>
    <s v="4/01/2019"/>
    <x v="3"/>
    <s v="Female (F)"/>
    <s v="Non-Hispanic Black"/>
    <s v="55-64 years"/>
    <n v="2161"/>
    <n v="2045"/>
    <n v="70"/>
    <n v="627"/>
    <n v="134"/>
    <m/>
    <n v="52"/>
    <n v="84"/>
    <n v="32"/>
    <n v="53"/>
    <n v="16"/>
    <n v="472"/>
    <n v="118"/>
    <n v="0"/>
    <n v="0"/>
  </r>
  <r>
    <n v="2019"/>
    <n v="4"/>
    <s v="4/01/2019"/>
    <x v="3"/>
    <s v="Female (F)"/>
    <s v="Non-Hispanic Black"/>
    <s v="65-74 years"/>
    <n v="2797"/>
    <n v="2742"/>
    <n v="72"/>
    <n v="764"/>
    <n v="156"/>
    <n v="38"/>
    <n v="49"/>
    <n v="151"/>
    <n v="50"/>
    <n v="116"/>
    <n v="27"/>
    <n v="657"/>
    <n v="159"/>
    <n v="0"/>
    <n v="0"/>
  </r>
  <r>
    <n v="2019"/>
    <n v="4"/>
    <s v="4/01/2019"/>
    <x v="3"/>
    <s v="Female (F)"/>
    <s v="Non-Hispanic Black"/>
    <s v="75-84 years"/>
    <n v="2886"/>
    <n v="2852"/>
    <n v="55"/>
    <n v="627"/>
    <n v="136"/>
    <n v="153"/>
    <n v="49"/>
    <n v="121"/>
    <n v="42"/>
    <n v="88"/>
    <n v="24"/>
    <n v="720"/>
    <n v="213"/>
    <n v="0"/>
    <n v="0"/>
  </r>
  <r>
    <n v="2019"/>
    <n v="4"/>
    <s v="4/01/2019"/>
    <x v="3"/>
    <s v="Female (F)"/>
    <s v="Non-Hispanic Black"/>
    <s v="85 years and over"/>
    <n v="3286"/>
    <n v="3253"/>
    <n v="55"/>
    <n v="324"/>
    <n v="119"/>
    <n v="305"/>
    <n v="82"/>
    <n v="93"/>
    <n v="32"/>
    <n v="94"/>
    <n v="42"/>
    <n v="914"/>
    <n v="289"/>
    <n v="0"/>
    <n v="0"/>
  </r>
  <r>
    <n v="2019"/>
    <n v="4"/>
    <s v="4/01/2019"/>
    <x v="3"/>
    <s v="Female (F)"/>
    <s v="Non-Hispanic White"/>
    <s v="0-4 years"/>
    <n v="383"/>
    <n v="334"/>
    <m/>
    <m/>
    <n v="0"/>
    <n v="0"/>
    <m/>
    <m/>
    <m/>
    <m/>
    <n v="38"/>
    <m/>
    <m/>
    <n v="0"/>
    <n v="0"/>
  </r>
  <r>
    <n v="2019"/>
    <n v="4"/>
    <s v="4/01/2019"/>
    <x v="3"/>
    <s v="Female (F)"/>
    <s v="Non-Hispanic White"/>
    <s v="15-24 years"/>
    <n v="367"/>
    <n v="117"/>
    <m/>
    <n v="21"/>
    <m/>
    <n v="0"/>
    <m/>
    <n v="0"/>
    <m/>
    <m/>
    <m/>
    <n v="14"/>
    <m/>
    <n v="0"/>
    <n v="0"/>
  </r>
  <r>
    <n v="2019"/>
    <n v="4"/>
    <s v="4/01/2019"/>
    <x v="3"/>
    <s v="Female (F)"/>
    <s v="Non-Hispanic White"/>
    <s v="25-34 years"/>
    <n v="877"/>
    <n v="377"/>
    <n v="11"/>
    <n v="92"/>
    <n v="15"/>
    <m/>
    <n v="12"/>
    <n v="10"/>
    <m/>
    <m/>
    <n v="14"/>
    <n v="52"/>
    <n v="12"/>
    <n v="0"/>
    <n v="0"/>
  </r>
  <r>
    <n v="2019"/>
    <n v="4"/>
    <s v="4/01/2019"/>
    <x v="3"/>
    <s v="Female (F)"/>
    <s v="Non-Hispanic White"/>
    <s v="35-44 years"/>
    <n v="1463"/>
    <n v="920"/>
    <n v="10"/>
    <n v="282"/>
    <n v="40"/>
    <n v="0"/>
    <n v="30"/>
    <n v="27"/>
    <n v="15"/>
    <n v="12"/>
    <n v="24"/>
    <n v="133"/>
    <n v="35"/>
    <n v="0"/>
    <n v="0"/>
  </r>
  <r>
    <n v="2019"/>
    <n v="4"/>
    <s v="4/01/2019"/>
    <x v="3"/>
    <s v="Female (F)"/>
    <s v="Non-Hispanic White"/>
    <s v="45-54 years"/>
    <n v="3300"/>
    <n v="2720"/>
    <n v="46"/>
    <n v="994"/>
    <n v="90"/>
    <m/>
    <n v="49"/>
    <n v="130"/>
    <n v="28"/>
    <n v="39"/>
    <n v="38"/>
    <n v="437"/>
    <n v="96"/>
    <n v="0"/>
    <n v="0"/>
  </r>
  <r>
    <n v="2019"/>
    <n v="4"/>
    <s v="4/01/2019"/>
    <x v="3"/>
    <s v="Female (F)"/>
    <s v="Non-Hispanic White"/>
    <s v="5-14 years"/>
    <n v="86"/>
    <n v="48"/>
    <m/>
    <n v="10"/>
    <n v="0"/>
    <n v="0"/>
    <m/>
    <m/>
    <m/>
    <n v="0"/>
    <m/>
    <m/>
    <n v="0"/>
    <n v="0"/>
    <n v="0"/>
  </r>
  <r>
    <n v="2019"/>
    <n v="4"/>
    <s v="4/01/2019"/>
    <x v="3"/>
    <s v="Female (F)"/>
    <s v="Non-Hispanic White"/>
    <s v="55-64 years"/>
    <n v="8600"/>
    <n v="7971"/>
    <n v="133"/>
    <n v="2957"/>
    <n v="297"/>
    <n v="52"/>
    <n v="164"/>
    <n v="717"/>
    <n v="129"/>
    <n v="105"/>
    <n v="64"/>
    <n v="1391"/>
    <n v="268"/>
    <n v="0"/>
    <n v="0"/>
  </r>
  <r>
    <n v="2019"/>
    <n v="4"/>
    <s v="4/01/2019"/>
    <x v="3"/>
    <s v="Female (F)"/>
    <s v="Non-Hispanic White"/>
    <s v="65-74 years"/>
    <n v="14702"/>
    <n v="14228"/>
    <n v="234"/>
    <n v="4713"/>
    <n v="481"/>
    <n v="300"/>
    <n v="279"/>
    <n v="1488"/>
    <n v="291"/>
    <n v="248"/>
    <n v="104"/>
    <n v="2622"/>
    <n v="669"/>
    <n v="0"/>
    <n v="0"/>
  </r>
  <r>
    <n v="2019"/>
    <n v="4"/>
    <s v="4/01/2019"/>
    <x v="3"/>
    <s v="Female (F)"/>
    <s v="Non-Hispanic White"/>
    <s v="75-84 years"/>
    <n v="22056"/>
    <n v="21372"/>
    <n v="342"/>
    <n v="4878"/>
    <n v="565"/>
    <n v="1438"/>
    <n v="423"/>
    <n v="2116"/>
    <n v="434"/>
    <n v="399"/>
    <n v="184"/>
    <n v="4511"/>
    <n v="1388"/>
    <n v="0"/>
    <n v="0"/>
  </r>
  <r>
    <n v="2019"/>
    <n v="4"/>
    <s v="4/01/2019"/>
    <x v="3"/>
    <s v="Female (F)"/>
    <s v="Non-Hispanic White"/>
    <s v="85 years and over"/>
    <n v="37219"/>
    <n v="36170"/>
    <n v="416"/>
    <n v="3563"/>
    <n v="524"/>
    <n v="3823"/>
    <n v="884"/>
    <n v="2004"/>
    <n v="521"/>
    <n v="576"/>
    <n v="570"/>
    <n v="10671"/>
    <n v="2862"/>
    <n v="0"/>
    <n v="0"/>
  </r>
  <r>
    <n v="2019"/>
    <n v="4"/>
    <s v="4/01/2019"/>
    <x v="3"/>
    <s v="Female (F)"/>
    <s v="Other"/>
    <s v="0-4 years"/>
    <n v="59"/>
    <n v="54"/>
    <n v="0"/>
    <m/>
    <n v="0"/>
    <n v="0"/>
    <m/>
    <n v="0"/>
    <m/>
    <m/>
    <m/>
    <n v="0"/>
    <n v="0"/>
    <n v="0"/>
    <n v="0"/>
  </r>
  <r>
    <n v="2019"/>
    <n v="4"/>
    <s v="4/01/2019"/>
    <x v="3"/>
    <s v="Female (F)"/>
    <s v="Other"/>
    <s v="15-24 years"/>
    <n v="16"/>
    <n v="10"/>
    <n v="0"/>
    <m/>
    <n v="0"/>
    <n v="0"/>
    <n v="0"/>
    <n v="0"/>
    <n v="0"/>
    <n v="0"/>
    <m/>
    <m/>
    <m/>
    <n v="0"/>
    <n v="0"/>
  </r>
  <r>
    <n v="2019"/>
    <n v="4"/>
    <s v="4/01/2019"/>
    <x v="3"/>
    <s v="Female (F)"/>
    <s v="Other"/>
    <s v="25-34 years"/>
    <n v="23"/>
    <n v="13"/>
    <n v="0"/>
    <m/>
    <n v="0"/>
    <n v="0"/>
    <n v="0"/>
    <m/>
    <n v="0"/>
    <m/>
    <n v="0"/>
    <m/>
    <n v="0"/>
    <n v="0"/>
    <n v="0"/>
  </r>
  <r>
    <n v="2019"/>
    <n v="4"/>
    <s v="4/01/2019"/>
    <x v="3"/>
    <s v="Female (F)"/>
    <s v="Other"/>
    <s v="35-44 years"/>
    <n v="51"/>
    <n v="33"/>
    <n v="0"/>
    <n v="12"/>
    <m/>
    <n v="0"/>
    <m/>
    <m/>
    <n v="0"/>
    <n v="0"/>
    <m/>
    <m/>
    <m/>
    <n v="0"/>
    <n v="0"/>
  </r>
  <r>
    <n v="2019"/>
    <n v="4"/>
    <s v="4/01/2019"/>
    <x v="3"/>
    <s v="Female (F)"/>
    <s v="Other"/>
    <s v="45-54 years"/>
    <n v="67"/>
    <n v="56"/>
    <m/>
    <n v="25"/>
    <m/>
    <n v="0"/>
    <m/>
    <m/>
    <m/>
    <m/>
    <n v="0"/>
    <n v="10"/>
    <m/>
    <n v="0"/>
    <n v="0"/>
  </r>
  <r>
    <n v="2019"/>
    <n v="4"/>
    <s v="4/01/2019"/>
    <x v="3"/>
    <s v="Female (F)"/>
    <s v="Other"/>
    <s v="5-14 years"/>
    <m/>
    <m/>
    <n v="0"/>
    <m/>
    <n v="0"/>
    <n v="0"/>
    <n v="0"/>
    <n v="0"/>
    <n v="0"/>
    <n v="0"/>
    <n v="0"/>
    <n v="0"/>
    <n v="0"/>
    <n v="0"/>
    <n v="0"/>
  </r>
  <r>
    <n v="2019"/>
    <n v="4"/>
    <s v="4/01/2019"/>
    <x v="3"/>
    <s v="Female (F)"/>
    <s v="Other"/>
    <s v="55-64 years"/>
    <n v="137"/>
    <n v="125"/>
    <n v="0"/>
    <n v="28"/>
    <n v="12"/>
    <m/>
    <m/>
    <m/>
    <n v="0"/>
    <m/>
    <m/>
    <n v="35"/>
    <m/>
    <n v="0"/>
    <n v="0"/>
  </r>
  <r>
    <n v="2019"/>
    <n v="4"/>
    <s v="4/01/2019"/>
    <x v="3"/>
    <s v="Female (F)"/>
    <s v="Other"/>
    <s v="65-74 years"/>
    <n v="159"/>
    <n v="156"/>
    <m/>
    <n v="45"/>
    <m/>
    <m/>
    <m/>
    <n v="14"/>
    <m/>
    <m/>
    <m/>
    <n v="40"/>
    <m/>
    <n v="0"/>
    <n v="0"/>
  </r>
  <r>
    <n v="2019"/>
    <n v="4"/>
    <s v="4/01/2019"/>
    <x v="3"/>
    <s v="Female (F)"/>
    <s v="Other"/>
    <s v="75-84 years"/>
    <n v="147"/>
    <n v="144"/>
    <m/>
    <n v="26"/>
    <m/>
    <m/>
    <m/>
    <n v="16"/>
    <n v="0"/>
    <m/>
    <m/>
    <n v="29"/>
    <m/>
    <n v="0"/>
    <n v="0"/>
  </r>
  <r>
    <n v="2019"/>
    <n v="4"/>
    <s v="4/01/2019"/>
    <x v="3"/>
    <s v="Female (F)"/>
    <s v="Other"/>
    <s v="85 years and over"/>
    <n v="166"/>
    <n v="162"/>
    <m/>
    <n v="13"/>
    <m/>
    <n v="24"/>
    <m/>
    <m/>
    <m/>
    <m/>
    <m/>
    <n v="40"/>
    <n v="10"/>
    <n v="0"/>
    <n v="0"/>
  </r>
  <r>
    <n v="2019"/>
    <n v="4"/>
    <s v="4/01/2019"/>
    <x v="3"/>
    <s v="Male (M)"/>
    <s v="Hispanic"/>
    <s v="0-4 years"/>
    <n v="231"/>
    <n v="195"/>
    <m/>
    <m/>
    <n v="0"/>
    <n v="0"/>
    <m/>
    <n v="0"/>
    <m/>
    <m/>
    <n v="32"/>
    <m/>
    <m/>
    <n v="0"/>
    <n v="0"/>
  </r>
  <r>
    <n v="2019"/>
    <n v="4"/>
    <s v="4/01/2019"/>
    <x v="3"/>
    <s v="Male (M)"/>
    <s v="Hispanic"/>
    <s v="15-24 years"/>
    <n v="385"/>
    <n v="78"/>
    <m/>
    <n v="23"/>
    <m/>
    <n v="0"/>
    <m/>
    <n v="0"/>
    <m/>
    <m/>
    <m/>
    <m/>
    <m/>
    <n v="0"/>
    <n v="0"/>
  </r>
  <r>
    <n v="2019"/>
    <n v="4"/>
    <s v="4/01/2019"/>
    <x v="3"/>
    <s v="Male (M)"/>
    <s v="Hispanic"/>
    <s v="25-34 years"/>
    <n v="582"/>
    <n v="178"/>
    <m/>
    <n v="33"/>
    <m/>
    <n v="0"/>
    <m/>
    <m/>
    <m/>
    <m/>
    <m/>
    <n v="32"/>
    <m/>
    <n v="0"/>
    <n v="0"/>
  </r>
  <r>
    <n v="2019"/>
    <n v="4"/>
    <s v="4/01/2019"/>
    <x v="3"/>
    <s v="Male (M)"/>
    <s v="Hispanic"/>
    <s v="35-44 years"/>
    <n v="653"/>
    <n v="362"/>
    <m/>
    <n v="61"/>
    <n v="16"/>
    <m/>
    <m/>
    <m/>
    <m/>
    <m/>
    <n v="12"/>
    <n v="87"/>
    <n v="25"/>
    <n v="0"/>
    <n v="0"/>
  </r>
  <r>
    <n v="2019"/>
    <n v="4"/>
    <s v="4/01/2019"/>
    <x v="3"/>
    <s v="Male (M)"/>
    <s v="Hispanic"/>
    <s v="45-54 years"/>
    <n v="1029"/>
    <n v="797"/>
    <n v="14"/>
    <n v="160"/>
    <n v="71"/>
    <n v="0"/>
    <n v="18"/>
    <m/>
    <n v="11"/>
    <n v="17"/>
    <n v="10"/>
    <n v="192"/>
    <n v="48"/>
    <n v="0"/>
    <n v="0"/>
  </r>
  <r>
    <n v="2019"/>
    <n v="4"/>
    <s v="4/01/2019"/>
    <x v="3"/>
    <s v="Male (M)"/>
    <s v="Hispanic"/>
    <s v="5-14 years"/>
    <n v="58"/>
    <n v="30"/>
    <n v="0"/>
    <n v="13"/>
    <n v="0"/>
    <n v="0"/>
    <m/>
    <n v="0"/>
    <n v="0"/>
    <n v="0"/>
    <m/>
    <m/>
    <n v="0"/>
    <n v="0"/>
    <n v="0"/>
  </r>
  <r>
    <n v="2019"/>
    <n v="4"/>
    <s v="4/01/2019"/>
    <x v="3"/>
    <s v="Male (M)"/>
    <s v="Hispanic"/>
    <s v="55-64 years"/>
    <n v="1587"/>
    <n v="1391"/>
    <n v="26"/>
    <n v="378"/>
    <n v="117"/>
    <m/>
    <n v="16"/>
    <n v="25"/>
    <n v="25"/>
    <n v="31"/>
    <m/>
    <n v="332"/>
    <n v="73"/>
    <n v="0"/>
    <n v="0"/>
  </r>
  <r>
    <n v="2019"/>
    <n v="4"/>
    <s v="4/01/2019"/>
    <x v="3"/>
    <s v="Male (M)"/>
    <s v="Hispanic"/>
    <s v="65-74 years"/>
    <n v="1774"/>
    <n v="1683"/>
    <n v="25"/>
    <n v="491"/>
    <n v="137"/>
    <n v="13"/>
    <n v="29"/>
    <n v="57"/>
    <n v="39"/>
    <n v="44"/>
    <m/>
    <n v="415"/>
    <n v="115"/>
    <n v="0"/>
    <n v="0"/>
  </r>
  <r>
    <n v="2019"/>
    <n v="4"/>
    <s v="4/01/2019"/>
    <x v="3"/>
    <s v="Male (M)"/>
    <s v="Hispanic"/>
    <s v="75-84 years"/>
    <n v="1894"/>
    <n v="1827"/>
    <n v="29"/>
    <n v="416"/>
    <n v="107"/>
    <n v="67"/>
    <n v="47"/>
    <n v="100"/>
    <n v="44"/>
    <n v="46"/>
    <n v="10"/>
    <n v="473"/>
    <n v="119"/>
    <n v="0"/>
    <n v="0"/>
  </r>
  <r>
    <n v="2019"/>
    <n v="4"/>
    <s v="4/01/2019"/>
    <x v="3"/>
    <s v="Male (M)"/>
    <s v="Hispanic"/>
    <s v="85 years and over"/>
    <n v="1548"/>
    <n v="1514"/>
    <n v="23"/>
    <n v="222"/>
    <n v="42"/>
    <n v="128"/>
    <n v="40"/>
    <n v="79"/>
    <n v="27"/>
    <n v="31"/>
    <m/>
    <n v="441"/>
    <n v="138"/>
    <n v="0"/>
    <n v="0"/>
  </r>
  <r>
    <n v="2019"/>
    <n v="4"/>
    <s v="4/01/2019"/>
    <x v="3"/>
    <s v="Male (M)"/>
    <s v="Non-Hispanic American Indian or Alaska Native"/>
    <s v="0-4 years"/>
    <n v="12"/>
    <n v="10"/>
    <n v="0"/>
    <n v="0"/>
    <n v="0"/>
    <n v="0"/>
    <m/>
    <n v="0"/>
    <n v="0"/>
    <n v="0"/>
    <m/>
    <n v="0"/>
    <n v="0"/>
    <n v="0"/>
    <n v="0"/>
  </r>
  <r>
    <n v="2019"/>
    <n v="4"/>
    <s v="4/01/2019"/>
    <x v="3"/>
    <s v="Male (M)"/>
    <s v="Non-Hispanic American Indian or Alaska Native"/>
    <s v="15-24 years"/>
    <n v="25"/>
    <m/>
    <n v="0"/>
    <n v="0"/>
    <n v="0"/>
    <n v="0"/>
    <n v="0"/>
    <n v="0"/>
    <n v="0"/>
    <n v="0"/>
    <m/>
    <n v="0"/>
    <n v="0"/>
    <n v="0"/>
    <n v="0"/>
  </r>
  <r>
    <n v="2019"/>
    <n v="4"/>
    <s v="4/01/2019"/>
    <x v="3"/>
    <s v="Male (M)"/>
    <s v="Non-Hispanic American Indian or Alaska Native"/>
    <s v="25-34 years"/>
    <n v="57"/>
    <n v="21"/>
    <n v="0"/>
    <m/>
    <m/>
    <n v="0"/>
    <n v="0"/>
    <n v="0"/>
    <n v="0"/>
    <n v="0"/>
    <m/>
    <m/>
    <n v="0"/>
    <n v="0"/>
    <n v="0"/>
  </r>
  <r>
    <n v="2019"/>
    <n v="4"/>
    <s v="4/01/2019"/>
    <x v="3"/>
    <s v="Male (M)"/>
    <s v="Non-Hispanic American Indian or Alaska Native"/>
    <s v="35-44 years"/>
    <n v="78"/>
    <n v="45"/>
    <m/>
    <m/>
    <m/>
    <n v="0"/>
    <m/>
    <n v="0"/>
    <n v="0"/>
    <n v="0"/>
    <m/>
    <n v="12"/>
    <m/>
    <n v="0"/>
    <n v="0"/>
  </r>
  <r>
    <n v="2019"/>
    <n v="4"/>
    <s v="4/01/2019"/>
    <x v="3"/>
    <s v="Male (M)"/>
    <s v="Non-Hispanic American Indian or Alaska Native"/>
    <s v="45-54 years"/>
    <n v="79"/>
    <n v="60"/>
    <m/>
    <m/>
    <m/>
    <n v="0"/>
    <m/>
    <n v="0"/>
    <m/>
    <m/>
    <m/>
    <n v="14"/>
    <m/>
    <n v="0"/>
    <n v="0"/>
  </r>
  <r>
    <n v="2019"/>
    <n v="4"/>
    <s v="4/01/2019"/>
    <x v="3"/>
    <s v="Male (M)"/>
    <s v="Non-Hispanic American Indian or Alaska Native"/>
    <s v="5-14 years"/>
    <m/>
    <m/>
    <n v="0"/>
    <n v="0"/>
    <n v="0"/>
    <n v="0"/>
    <n v="0"/>
    <n v="0"/>
    <n v="0"/>
    <n v="0"/>
    <n v="0"/>
    <m/>
    <n v="0"/>
    <n v="0"/>
    <n v="0"/>
  </r>
  <r>
    <n v="2019"/>
    <n v="4"/>
    <s v="4/01/2019"/>
    <x v="3"/>
    <s v="Male (M)"/>
    <s v="Non-Hispanic American Indian or Alaska Native"/>
    <s v="55-64 years"/>
    <n v="156"/>
    <n v="145"/>
    <m/>
    <n v="36"/>
    <n v="15"/>
    <n v="0"/>
    <m/>
    <m/>
    <m/>
    <m/>
    <m/>
    <n v="29"/>
    <m/>
    <n v="0"/>
    <n v="0"/>
  </r>
  <r>
    <n v="2019"/>
    <n v="4"/>
    <s v="4/01/2019"/>
    <x v="3"/>
    <s v="Male (M)"/>
    <s v="Non-Hispanic American Indian or Alaska Native"/>
    <s v="65-74 years"/>
    <n v="185"/>
    <n v="182"/>
    <m/>
    <n v="51"/>
    <n v="12"/>
    <m/>
    <m/>
    <n v="14"/>
    <m/>
    <m/>
    <m/>
    <n v="39"/>
    <m/>
    <n v="0"/>
    <n v="0"/>
  </r>
  <r>
    <n v="2019"/>
    <n v="4"/>
    <s v="4/01/2019"/>
    <x v="3"/>
    <s v="Male (M)"/>
    <s v="Non-Hispanic American Indian or Alaska Native"/>
    <s v="75-84 years"/>
    <n v="128"/>
    <n v="117"/>
    <m/>
    <n v="20"/>
    <n v="10"/>
    <m/>
    <m/>
    <n v="13"/>
    <m/>
    <m/>
    <m/>
    <n v="33"/>
    <m/>
    <n v="0"/>
    <n v="0"/>
  </r>
  <r>
    <n v="2019"/>
    <n v="4"/>
    <s v="4/01/2019"/>
    <x v="3"/>
    <s v="Male (M)"/>
    <s v="Non-Hispanic American Indian or Alaska Native"/>
    <s v="85 years and over"/>
    <n v="70"/>
    <n v="69"/>
    <m/>
    <m/>
    <m/>
    <m/>
    <m/>
    <m/>
    <m/>
    <m/>
    <n v="0"/>
    <n v="26"/>
    <m/>
    <n v="0"/>
    <n v="0"/>
  </r>
  <r>
    <n v="2019"/>
    <n v="4"/>
    <s v="4/01/2019"/>
    <x v="3"/>
    <s v="Male (M)"/>
    <s v="Non-Hispanic Asian"/>
    <s v="0-4 years"/>
    <n v="33"/>
    <n v="29"/>
    <n v="0"/>
    <n v="0"/>
    <n v="0"/>
    <n v="0"/>
    <n v="0"/>
    <n v="0"/>
    <m/>
    <n v="0"/>
    <m/>
    <n v="0"/>
    <n v="0"/>
    <n v="0"/>
    <n v="0"/>
  </r>
  <r>
    <n v="2019"/>
    <n v="4"/>
    <s v="4/01/2019"/>
    <x v="3"/>
    <s v="Male (M)"/>
    <s v="Non-Hispanic Asian"/>
    <s v="15-24 years"/>
    <n v="34"/>
    <m/>
    <n v="0"/>
    <m/>
    <m/>
    <n v="0"/>
    <n v="0"/>
    <n v="0"/>
    <n v="0"/>
    <n v="0"/>
    <m/>
    <m/>
    <n v="0"/>
    <n v="0"/>
    <n v="0"/>
  </r>
  <r>
    <n v="2019"/>
    <n v="4"/>
    <s v="4/01/2019"/>
    <x v="3"/>
    <s v="Male (M)"/>
    <s v="Non-Hispanic Asian"/>
    <s v="25-34 years"/>
    <n v="77"/>
    <n v="31"/>
    <n v="0"/>
    <n v="10"/>
    <m/>
    <n v="0"/>
    <m/>
    <n v="0"/>
    <n v="0"/>
    <m/>
    <m/>
    <m/>
    <m/>
    <n v="0"/>
    <n v="0"/>
  </r>
  <r>
    <n v="2019"/>
    <n v="4"/>
    <s v="4/01/2019"/>
    <x v="3"/>
    <s v="Male (M)"/>
    <s v="Non-Hispanic Asian"/>
    <s v="35-44 years"/>
    <n v="106"/>
    <n v="72"/>
    <m/>
    <n v="17"/>
    <m/>
    <n v="0"/>
    <m/>
    <n v="0"/>
    <m/>
    <m/>
    <m/>
    <n v="19"/>
    <m/>
    <n v="0"/>
    <n v="0"/>
  </r>
  <r>
    <n v="2019"/>
    <n v="4"/>
    <s v="4/01/2019"/>
    <x v="3"/>
    <s v="Male (M)"/>
    <s v="Non-Hispanic Asian"/>
    <s v="45-54 years"/>
    <n v="196"/>
    <n v="167"/>
    <m/>
    <n v="48"/>
    <n v="13"/>
    <n v="0"/>
    <m/>
    <n v="0"/>
    <m/>
    <m/>
    <m/>
    <n v="54"/>
    <m/>
    <n v="0"/>
    <n v="0"/>
  </r>
  <r>
    <n v="2019"/>
    <n v="4"/>
    <s v="4/01/2019"/>
    <x v="3"/>
    <s v="Male (M)"/>
    <s v="Non-Hispanic Asian"/>
    <s v="5-14 years"/>
    <m/>
    <m/>
    <n v="0"/>
    <n v="0"/>
    <n v="0"/>
    <n v="0"/>
    <n v="0"/>
    <n v="0"/>
    <n v="0"/>
    <n v="0"/>
    <n v="0"/>
    <m/>
    <n v="0"/>
    <n v="0"/>
    <n v="0"/>
  </r>
  <r>
    <n v="2019"/>
    <n v="4"/>
    <s v="4/01/2019"/>
    <x v="3"/>
    <s v="Male (M)"/>
    <s v="Non-Hispanic Asian"/>
    <s v="55-64 years"/>
    <n v="412"/>
    <n v="371"/>
    <m/>
    <n v="148"/>
    <n v="19"/>
    <m/>
    <m/>
    <m/>
    <m/>
    <m/>
    <m/>
    <n v="84"/>
    <n v="28"/>
    <n v="0"/>
    <n v="0"/>
  </r>
  <r>
    <n v="2019"/>
    <n v="4"/>
    <s v="4/01/2019"/>
    <x v="3"/>
    <s v="Male (M)"/>
    <s v="Non-Hispanic Asian"/>
    <s v="65-74 years"/>
    <n v="595"/>
    <n v="570"/>
    <m/>
    <n v="186"/>
    <n v="46"/>
    <m/>
    <n v="13"/>
    <n v="15"/>
    <n v="11"/>
    <n v="23"/>
    <m/>
    <n v="131"/>
    <n v="33"/>
    <n v="0"/>
    <n v="0"/>
  </r>
  <r>
    <n v="2019"/>
    <n v="4"/>
    <s v="4/01/2019"/>
    <x v="3"/>
    <s v="Male (M)"/>
    <s v="Non-Hispanic Asian"/>
    <s v="75-84 years"/>
    <n v="720"/>
    <n v="695"/>
    <n v="13"/>
    <n v="167"/>
    <n v="42"/>
    <n v="18"/>
    <n v="24"/>
    <n v="28"/>
    <n v="18"/>
    <n v="18"/>
    <m/>
    <n v="176"/>
    <n v="64"/>
    <n v="0"/>
    <n v="0"/>
  </r>
  <r>
    <n v="2019"/>
    <n v="4"/>
    <s v="4/01/2019"/>
    <x v="3"/>
    <s v="Male (M)"/>
    <s v="Non-Hispanic Asian"/>
    <s v="85 years and over"/>
    <n v="782"/>
    <n v="756"/>
    <m/>
    <n v="129"/>
    <n v="29"/>
    <n v="50"/>
    <n v="32"/>
    <n v="31"/>
    <m/>
    <n v="14"/>
    <m/>
    <n v="198"/>
    <n v="62"/>
    <n v="0"/>
    <n v="0"/>
  </r>
  <r>
    <n v="2019"/>
    <n v="4"/>
    <s v="4/01/2019"/>
    <x v="3"/>
    <s v="Male (M)"/>
    <s v="Non-Hispanic Black"/>
    <s v="0-4 years"/>
    <n v="316"/>
    <n v="275"/>
    <m/>
    <m/>
    <n v="0"/>
    <n v="0"/>
    <m/>
    <m/>
    <m/>
    <m/>
    <n v="35"/>
    <m/>
    <m/>
    <n v="0"/>
    <n v="0"/>
  </r>
  <r>
    <n v="2019"/>
    <n v="4"/>
    <s v="4/01/2019"/>
    <x v="3"/>
    <s v="Male (M)"/>
    <s v="Non-Hispanic Black"/>
    <s v="15-24 years"/>
    <n v="405"/>
    <n v="69"/>
    <m/>
    <n v="10"/>
    <m/>
    <n v="0"/>
    <m/>
    <m/>
    <m/>
    <n v="0"/>
    <m/>
    <n v="13"/>
    <m/>
    <n v="0"/>
    <n v="0"/>
  </r>
  <r>
    <n v="2019"/>
    <n v="4"/>
    <s v="4/01/2019"/>
    <x v="3"/>
    <s v="Male (M)"/>
    <s v="Non-Hispanic Black"/>
    <s v="25-34 years"/>
    <n v="721"/>
    <n v="251"/>
    <m/>
    <n v="30"/>
    <n v="17"/>
    <n v="0"/>
    <m/>
    <m/>
    <m/>
    <m/>
    <n v="11"/>
    <n v="72"/>
    <n v="13"/>
    <n v="0"/>
    <n v="0"/>
  </r>
  <r>
    <n v="2019"/>
    <n v="4"/>
    <s v="4/01/2019"/>
    <x v="3"/>
    <s v="Male (M)"/>
    <s v="Non-Hispanic Black"/>
    <s v="35-44 years"/>
    <n v="836"/>
    <n v="498"/>
    <m/>
    <n v="54"/>
    <n v="38"/>
    <n v="0"/>
    <m/>
    <m/>
    <n v="12"/>
    <n v="18"/>
    <n v="15"/>
    <n v="169"/>
    <n v="21"/>
    <n v="0"/>
    <n v="0"/>
  </r>
  <r>
    <n v="2019"/>
    <n v="4"/>
    <s v="4/01/2019"/>
    <x v="3"/>
    <s v="Male (M)"/>
    <s v="Non-Hispanic Black"/>
    <s v="45-54 years"/>
    <n v="1405"/>
    <n v="1089"/>
    <n v="20"/>
    <n v="185"/>
    <n v="75"/>
    <n v="0"/>
    <n v="18"/>
    <n v="16"/>
    <n v="11"/>
    <n v="37"/>
    <n v="12"/>
    <n v="389"/>
    <n v="63"/>
    <n v="0"/>
    <n v="0"/>
  </r>
  <r>
    <n v="2019"/>
    <n v="4"/>
    <s v="4/01/2019"/>
    <x v="3"/>
    <s v="Male (M)"/>
    <s v="Non-Hispanic Black"/>
    <s v="5-14 years"/>
    <n v="64"/>
    <n v="26"/>
    <n v="0"/>
    <m/>
    <n v="0"/>
    <n v="0"/>
    <m/>
    <m/>
    <m/>
    <n v="0"/>
    <m/>
    <m/>
    <m/>
    <n v="0"/>
    <n v="0"/>
  </r>
  <r>
    <n v="2019"/>
    <n v="4"/>
    <s v="4/01/2019"/>
    <x v="3"/>
    <s v="Male (M)"/>
    <s v="Non-Hispanic Black"/>
    <s v="55-64 years"/>
    <n v="3159"/>
    <n v="2833"/>
    <n v="48"/>
    <n v="741"/>
    <n v="161"/>
    <m/>
    <n v="53"/>
    <n v="92"/>
    <n v="43"/>
    <n v="90"/>
    <n v="36"/>
    <n v="856"/>
    <n v="155"/>
    <n v="0"/>
    <n v="0"/>
  </r>
  <r>
    <n v="2019"/>
    <n v="4"/>
    <s v="4/01/2019"/>
    <x v="3"/>
    <s v="Male (M)"/>
    <s v="Non-Hispanic Black"/>
    <s v="65-74 years"/>
    <n v="3518"/>
    <n v="3332"/>
    <n v="75"/>
    <n v="916"/>
    <n v="181"/>
    <n v="24"/>
    <n v="64"/>
    <n v="173"/>
    <n v="44"/>
    <n v="126"/>
    <n v="28"/>
    <n v="896"/>
    <n v="209"/>
    <n v="0"/>
    <n v="0"/>
  </r>
  <r>
    <n v="2019"/>
    <n v="4"/>
    <s v="4/01/2019"/>
    <x v="3"/>
    <s v="Male (M)"/>
    <s v="Non-Hispanic Black"/>
    <s v="75-84 years"/>
    <n v="2730"/>
    <n v="2658"/>
    <n v="58"/>
    <n v="631"/>
    <n v="126"/>
    <n v="90"/>
    <n v="41"/>
    <n v="135"/>
    <n v="37"/>
    <n v="79"/>
    <n v="19"/>
    <n v="733"/>
    <n v="201"/>
    <n v="0"/>
    <n v="0"/>
  </r>
  <r>
    <n v="2019"/>
    <n v="4"/>
    <s v="4/01/2019"/>
    <x v="3"/>
    <s v="Male (M)"/>
    <s v="Non-Hispanic Black"/>
    <s v="85 years and over"/>
    <n v="1587"/>
    <n v="1556"/>
    <n v="31"/>
    <n v="258"/>
    <n v="42"/>
    <n v="110"/>
    <n v="31"/>
    <n v="62"/>
    <n v="21"/>
    <n v="50"/>
    <n v="19"/>
    <n v="422"/>
    <n v="120"/>
    <n v="0"/>
    <n v="0"/>
  </r>
  <r>
    <n v="2019"/>
    <n v="4"/>
    <s v="4/01/2019"/>
    <x v="3"/>
    <s v="Male (M)"/>
    <s v="Non-Hispanic White"/>
    <s v="0-4 years"/>
    <n v="452"/>
    <n v="373"/>
    <m/>
    <m/>
    <n v="0"/>
    <n v="0"/>
    <m/>
    <m/>
    <m/>
    <m/>
    <n v="46"/>
    <m/>
    <m/>
    <n v="0"/>
    <n v="0"/>
  </r>
  <r>
    <n v="2019"/>
    <n v="4"/>
    <s v="4/01/2019"/>
    <x v="3"/>
    <s v="Male (M)"/>
    <s v="Non-Hispanic White"/>
    <s v="15-24 years"/>
    <n v="779"/>
    <n v="161"/>
    <m/>
    <n v="31"/>
    <n v="11"/>
    <n v="0"/>
    <m/>
    <m/>
    <m/>
    <m/>
    <m/>
    <n v="14"/>
    <m/>
    <n v="0"/>
    <n v="0"/>
  </r>
  <r>
    <n v="2019"/>
    <n v="4"/>
    <s v="4/01/2019"/>
    <x v="3"/>
    <s v="Male (M)"/>
    <s v="Non-Hispanic White"/>
    <s v="25-34 years"/>
    <n v="1852"/>
    <n v="482"/>
    <n v="12"/>
    <n v="80"/>
    <n v="27"/>
    <n v="0"/>
    <n v="12"/>
    <m/>
    <m/>
    <m/>
    <n v="26"/>
    <n v="102"/>
    <n v="14"/>
    <n v="0"/>
    <n v="0"/>
  </r>
  <r>
    <n v="2019"/>
    <n v="4"/>
    <s v="4/01/2019"/>
    <x v="3"/>
    <s v="Male (M)"/>
    <s v="Non-Hispanic White"/>
    <s v="35-44 years"/>
    <n v="2623"/>
    <n v="1196"/>
    <n v="24"/>
    <n v="209"/>
    <n v="55"/>
    <n v="0"/>
    <n v="17"/>
    <n v="16"/>
    <n v="18"/>
    <n v="14"/>
    <n v="31"/>
    <n v="334"/>
    <n v="39"/>
    <n v="0"/>
    <n v="0"/>
  </r>
  <r>
    <n v="2019"/>
    <n v="4"/>
    <s v="4/01/2019"/>
    <x v="3"/>
    <s v="Male (M)"/>
    <s v="Non-Hispanic White"/>
    <s v="45-54 years"/>
    <n v="5243"/>
    <n v="3878"/>
    <n v="42"/>
    <n v="972"/>
    <n v="190"/>
    <m/>
    <n v="64"/>
    <n v="102"/>
    <n v="47"/>
    <n v="56"/>
    <n v="57"/>
    <n v="1182"/>
    <n v="121"/>
    <n v="0"/>
    <n v="0"/>
  </r>
  <r>
    <n v="2019"/>
    <n v="4"/>
    <s v="4/01/2019"/>
    <x v="3"/>
    <s v="Male (M)"/>
    <s v="Non-Hispanic White"/>
    <s v="5-14 years"/>
    <n v="120"/>
    <n v="60"/>
    <m/>
    <n v="17"/>
    <n v="0"/>
    <n v="0"/>
    <m/>
    <m/>
    <m/>
    <n v="0"/>
    <m/>
    <m/>
    <m/>
    <n v="0"/>
    <n v="0"/>
  </r>
  <r>
    <n v="2019"/>
    <n v="4"/>
    <s v="4/01/2019"/>
    <x v="3"/>
    <s v="Male (M)"/>
    <s v="Non-Hispanic White"/>
    <s v="55-64 years"/>
    <n v="13161"/>
    <n v="11675"/>
    <n v="164"/>
    <n v="3622"/>
    <n v="527"/>
    <n v="35"/>
    <n v="187"/>
    <n v="664"/>
    <n v="140"/>
    <n v="161"/>
    <n v="115"/>
    <n v="3206"/>
    <n v="362"/>
    <n v="0"/>
    <n v="0"/>
  </r>
  <r>
    <n v="2019"/>
    <n v="4"/>
    <s v="4/01/2019"/>
    <x v="3"/>
    <s v="Male (M)"/>
    <s v="Non-Hispanic White"/>
    <s v="65-74 years"/>
    <n v="19905"/>
    <n v="18878"/>
    <n v="300"/>
    <n v="5865"/>
    <n v="769"/>
    <n v="176"/>
    <n v="313"/>
    <n v="1516"/>
    <n v="359"/>
    <n v="341"/>
    <n v="149"/>
    <n v="4893"/>
    <n v="726"/>
    <n v="0"/>
    <n v="0"/>
  </r>
  <r>
    <n v="2019"/>
    <n v="4"/>
    <s v="4/01/2019"/>
    <x v="3"/>
    <s v="Male (M)"/>
    <s v="Non-Hispanic White"/>
    <s v="75-84 years"/>
    <n v="23938"/>
    <n v="22931"/>
    <n v="343"/>
    <n v="5783"/>
    <n v="702"/>
    <n v="824"/>
    <n v="511"/>
    <n v="1854"/>
    <n v="491"/>
    <n v="474"/>
    <n v="172"/>
    <n v="5928"/>
    <n v="1211"/>
    <n v="0"/>
    <n v="0"/>
  </r>
  <r>
    <n v="2019"/>
    <n v="4"/>
    <s v="4/01/2019"/>
    <x v="3"/>
    <s v="Male (M)"/>
    <s v="Non-Hispanic White"/>
    <s v="85 years and over"/>
    <n v="23766"/>
    <n v="22880"/>
    <n v="288"/>
    <n v="3365"/>
    <n v="475"/>
    <n v="1431"/>
    <n v="600"/>
    <n v="1323"/>
    <n v="397"/>
    <n v="531"/>
    <n v="268"/>
    <n v="7446"/>
    <n v="1406"/>
    <n v="0"/>
    <n v="0"/>
  </r>
  <r>
    <n v="2019"/>
    <n v="4"/>
    <s v="4/01/2019"/>
    <x v="3"/>
    <s v="Male (M)"/>
    <s v="Other"/>
    <s v="0-4 years"/>
    <n v="52"/>
    <n v="46"/>
    <n v="0"/>
    <n v="0"/>
    <n v="0"/>
    <n v="0"/>
    <m/>
    <n v="0"/>
    <n v="0"/>
    <n v="0"/>
    <m/>
    <n v="0"/>
    <m/>
    <n v="0"/>
    <n v="0"/>
  </r>
  <r>
    <n v="2019"/>
    <n v="4"/>
    <s v="4/01/2019"/>
    <x v="3"/>
    <s v="Male (M)"/>
    <s v="Other"/>
    <s v="15-24 years"/>
    <n v="40"/>
    <m/>
    <n v="0"/>
    <m/>
    <n v="0"/>
    <n v="0"/>
    <m/>
    <n v="0"/>
    <n v="0"/>
    <n v="0"/>
    <m/>
    <m/>
    <n v="0"/>
    <n v="0"/>
    <n v="0"/>
  </r>
  <r>
    <n v="2019"/>
    <n v="4"/>
    <s v="4/01/2019"/>
    <x v="3"/>
    <s v="Male (M)"/>
    <s v="Other"/>
    <s v="25-34 years"/>
    <n v="63"/>
    <n v="15"/>
    <n v="0"/>
    <m/>
    <n v="0"/>
    <n v="0"/>
    <n v="0"/>
    <n v="0"/>
    <n v="0"/>
    <n v="0"/>
    <n v="0"/>
    <m/>
    <n v="0"/>
    <n v="0"/>
    <n v="0"/>
  </r>
  <r>
    <n v="2019"/>
    <n v="4"/>
    <s v="4/01/2019"/>
    <x v="3"/>
    <s v="Male (M)"/>
    <s v="Other"/>
    <s v="35-44 years"/>
    <n v="73"/>
    <n v="37"/>
    <n v="0"/>
    <n v="10"/>
    <m/>
    <n v="0"/>
    <m/>
    <n v="0"/>
    <n v="0"/>
    <m/>
    <m/>
    <n v="11"/>
    <n v="0"/>
    <n v="0"/>
    <n v="0"/>
  </r>
  <r>
    <n v="2019"/>
    <n v="4"/>
    <s v="4/01/2019"/>
    <x v="3"/>
    <s v="Male (M)"/>
    <s v="Other"/>
    <s v="45-54 years"/>
    <n v="105"/>
    <n v="73"/>
    <m/>
    <n v="14"/>
    <m/>
    <n v="0"/>
    <n v="0"/>
    <n v="0"/>
    <n v="0"/>
    <m/>
    <m/>
    <n v="21"/>
    <m/>
    <n v="0"/>
    <n v="0"/>
  </r>
  <r>
    <n v="2019"/>
    <n v="4"/>
    <s v="4/01/2019"/>
    <x v="3"/>
    <s v="Male (M)"/>
    <s v="Other"/>
    <s v="5-14 years"/>
    <m/>
    <m/>
    <n v="0"/>
    <m/>
    <n v="0"/>
    <n v="0"/>
    <n v="0"/>
    <n v="0"/>
    <n v="0"/>
    <n v="0"/>
    <n v="0"/>
    <n v="0"/>
    <n v="0"/>
    <n v="0"/>
    <n v="0"/>
  </r>
  <r>
    <n v="2019"/>
    <n v="4"/>
    <s v="4/01/2019"/>
    <x v="3"/>
    <s v="Male (M)"/>
    <s v="Other"/>
    <s v="55-64 years"/>
    <n v="226"/>
    <n v="201"/>
    <m/>
    <n v="52"/>
    <n v="10"/>
    <n v="0"/>
    <m/>
    <m/>
    <m/>
    <m/>
    <m/>
    <n v="75"/>
    <m/>
    <n v="0"/>
    <n v="0"/>
  </r>
  <r>
    <n v="2019"/>
    <n v="4"/>
    <s v="4/01/2019"/>
    <x v="3"/>
    <s v="Male (M)"/>
    <s v="Other"/>
    <s v="65-74 years"/>
    <n v="258"/>
    <n v="246"/>
    <n v="0"/>
    <n v="50"/>
    <n v="12"/>
    <m/>
    <m/>
    <n v="23"/>
    <m/>
    <m/>
    <m/>
    <n v="85"/>
    <n v="13"/>
    <n v="0"/>
    <n v="0"/>
  </r>
  <r>
    <n v="2019"/>
    <n v="4"/>
    <s v="4/01/2019"/>
    <x v="3"/>
    <s v="Male (M)"/>
    <s v="Other"/>
    <s v="75-84 years"/>
    <n v="180"/>
    <n v="172"/>
    <n v="0"/>
    <n v="35"/>
    <n v="10"/>
    <m/>
    <m/>
    <n v="16"/>
    <m/>
    <m/>
    <m/>
    <n v="43"/>
    <m/>
    <n v="0"/>
    <n v="0"/>
  </r>
  <r>
    <n v="2019"/>
    <n v="4"/>
    <s v="4/01/2019"/>
    <x v="3"/>
    <s v="Male (M)"/>
    <s v="Other"/>
    <s v="85 years and over"/>
    <n v="96"/>
    <n v="93"/>
    <m/>
    <n v="18"/>
    <m/>
    <m/>
    <m/>
    <m/>
    <n v="0"/>
    <m/>
    <n v="0"/>
    <n v="31"/>
    <m/>
    <n v="0"/>
    <n v="0"/>
  </r>
  <r>
    <n v="2019"/>
    <n v="5"/>
    <s v="5/01/2019"/>
    <x v="4"/>
    <s v="Female (F)"/>
    <s v="Hispanic"/>
    <s v="0-4 years"/>
    <n v="197"/>
    <n v="169"/>
    <n v="0"/>
    <m/>
    <n v="0"/>
    <n v="0"/>
    <n v="0"/>
    <m/>
    <m/>
    <m/>
    <n v="11"/>
    <m/>
    <m/>
    <n v="0"/>
    <n v="0"/>
  </r>
  <r>
    <n v="2019"/>
    <n v="5"/>
    <s v="5/01/2019"/>
    <x v="4"/>
    <s v="Female (F)"/>
    <s v="Hispanic"/>
    <s v="15-24 years"/>
    <n v="124"/>
    <n v="32"/>
    <m/>
    <m/>
    <m/>
    <n v="0"/>
    <n v="0"/>
    <n v="0"/>
    <n v="0"/>
    <n v="0"/>
    <n v="0"/>
    <m/>
    <m/>
    <n v="0"/>
    <n v="0"/>
  </r>
  <r>
    <n v="2019"/>
    <n v="5"/>
    <s v="5/01/2019"/>
    <x v="4"/>
    <s v="Female (F)"/>
    <s v="Hispanic"/>
    <s v="25-34 years"/>
    <n v="188"/>
    <n v="88"/>
    <m/>
    <n v="23"/>
    <m/>
    <n v="0"/>
    <n v="0"/>
    <m/>
    <m/>
    <m/>
    <m/>
    <m/>
    <m/>
    <n v="0"/>
    <n v="0"/>
  </r>
  <r>
    <n v="2019"/>
    <n v="5"/>
    <s v="5/01/2019"/>
    <x v="4"/>
    <s v="Female (F)"/>
    <s v="Hispanic"/>
    <s v="35-44 years"/>
    <n v="304"/>
    <n v="215"/>
    <m/>
    <n v="81"/>
    <n v="14"/>
    <n v="0"/>
    <m/>
    <n v="0"/>
    <m/>
    <m/>
    <m/>
    <n v="20"/>
    <m/>
    <n v="0"/>
    <n v="0"/>
  </r>
  <r>
    <n v="2019"/>
    <n v="5"/>
    <s v="5/01/2019"/>
    <x v="4"/>
    <s v="Female (F)"/>
    <s v="Hispanic"/>
    <s v="45-54 years"/>
    <n v="554"/>
    <n v="480"/>
    <m/>
    <n v="191"/>
    <n v="33"/>
    <n v="0"/>
    <m/>
    <m/>
    <m/>
    <n v="14"/>
    <m/>
    <n v="57"/>
    <n v="15"/>
    <n v="0"/>
    <n v="0"/>
  </r>
  <r>
    <n v="2019"/>
    <n v="5"/>
    <s v="5/01/2019"/>
    <x v="4"/>
    <s v="Female (F)"/>
    <s v="Hispanic"/>
    <s v="5-14 years"/>
    <n v="38"/>
    <n v="27"/>
    <n v="0"/>
    <m/>
    <n v="0"/>
    <n v="0"/>
    <n v="0"/>
    <n v="0"/>
    <m/>
    <m/>
    <m/>
    <m/>
    <n v="0"/>
    <n v="0"/>
    <n v="0"/>
  </r>
  <r>
    <n v="2019"/>
    <n v="5"/>
    <s v="5/01/2019"/>
    <x v="4"/>
    <s v="Female (F)"/>
    <s v="Hispanic"/>
    <s v="55-64 years"/>
    <n v="908"/>
    <n v="836"/>
    <n v="15"/>
    <n v="344"/>
    <n v="46"/>
    <m/>
    <n v="15"/>
    <n v="21"/>
    <n v="17"/>
    <n v="20"/>
    <m/>
    <n v="122"/>
    <n v="46"/>
    <n v="0"/>
    <n v="0"/>
  </r>
  <r>
    <n v="2019"/>
    <n v="5"/>
    <s v="5/01/2019"/>
    <x v="4"/>
    <s v="Female (F)"/>
    <s v="Hispanic"/>
    <s v="65-74 years"/>
    <n v="1340"/>
    <n v="1307"/>
    <n v="31"/>
    <n v="412"/>
    <n v="94"/>
    <n v="27"/>
    <n v="20"/>
    <n v="43"/>
    <n v="28"/>
    <n v="36"/>
    <n v="10"/>
    <n v="232"/>
    <n v="81"/>
    <n v="0"/>
    <n v="0"/>
  </r>
  <r>
    <n v="2019"/>
    <n v="5"/>
    <s v="5/01/2019"/>
    <x v="4"/>
    <s v="Female (F)"/>
    <s v="Hispanic"/>
    <s v="75-84 years"/>
    <n v="1781"/>
    <n v="1732"/>
    <n v="26"/>
    <n v="380"/>
    <n v="110"/>
    <n v="118"/>
    <n v="33"/>
    <n v="73"/>
    <n v="40"/>
    <n v="50"/>
    <n v="10"/>
    <n v="380"/>
    <n v="138"/>
    <n v="0"/>
    <n v="0"/>
  </r>
  <r>
    <n v="2019"/>
    <n v="5"/>
    <s v="5/01/2019"/>
    <x v="4"/>
    <s v="Female (F)"/>
    <s v="Hispanic"/>
    <s v="85 years and over"/>
    <n v="2466"/>
    <n v="2425"/>
    <n v="24"/>
    <n v="262"/>
    <n v="83"/>
    <n v="313"/>
    <n v="52"/>
    <n v="91"/>
    <n v="40"/>
    <n v="45"/>
    <n v="27"/>
    <n v="650"/>
    <n v="255"/>
    <n v="0"/>
    <n v="0"/>
  </r>
  <r>
    <n v="2019"/>
    <n v="5"/>
    <s v="5/01/2019"/>
    <x v="4"/>
    <s v="Female (F)"/>
    <s v="Non-Hispanic American Indian or Alaska Native"/>
    <s v="0-4 years"/>
    <n v="12"/>
    <m/>
    <n v="0"/>
    <n v="0"/>
    <n v="0"/>
    <n v="0"/>
    <m/>
    <n v="0"/>
    <n v="0"/>
    <n v="0"/>
    <m/>
    <n v="0"/>
    <m/>
    <n v="0"/>
    <n v="0"/>
  </r>
  <r>
    <n v="2019"/>
    <n v="5"/>
    <s v="5/01/2019"/>
    <x v="4"/>
    <s v="Female (F)"/>
    <s v="Non-Hispanic American Indian or Alaska Native"/>
    <s v="15-24 years"/>
    <n v="11"/>
    <m/>
    <n v="0"/>
    <n v="0"/>
    <m/>
    <n v="0"/>
    <n v="0"/>
    <n v="0"/>
    <n v="0"/>
    <n v="0"/>
    <n v="0"/>
    <n v="0"/>
    <n v="0"/>
    <n v="0"/>
    <n v="0"/>
  </r>
  <r>
    <n v="2019"/>
    <n v="5"/>
    <s v="5/01/2019"/>
    <x v="4"/>
    <s v="Female (F)"/>
    <s v="Non-Hispanic American Indian or Alaska Native"/>
    <s v="25-34 years"/>
    <n v="28"/>
    <n v="16"/>
    <m/>
    <n v="0"/>
    <m/>
    <n v="0"/>
    <m/>
    <m/>
    <n v="0"/>
    <n v="0"/>
    <m/>
    <m/>
    <n v="0"/>
    <n v="0"/>
    <n v="0"/>
  </r>
  <r>
    <n v="2019"/>
    <n v="5"/>
    <s v="5/01/2019"/>
    <x v="4"/>
    <s v="Female (F)"/>
    <s v="Non-Hispanic American Indian or Alaska Native"/>
    <s v="35-44 years"/>
    <n v="52"/>
    <n v="31"/>
    <m/>
    <m/>
    <m/>
    <n v="0"/>
    <m/>
    <m/>
    <n v="0"/>
    <n v="0"/>
    <n v="0"/>
    <m/>
    <n v="0"/>
    <n v="0"/>
    <n v="0"/>
  </r>
  <r>
    <n v="2019"/>
    <n v="5"/>
    <s v="5/01/2019"/>
    <x v="4"/>
    <s v="Female (F)"/>
    <s v="Non-Hispanic American Indian or Alaska Native"/>
    <s v="45-54 years"/>
    <n v="79"/>
    <n v="65"/>
    <n v="0"/>
    <n v="15"/>
    <m/>
    <n v="0"/>
    <m/>
    <m/>
    <m/>
    <m/>
    <m/>
    <m/>
    <m/>
    <n v="0"/>
    <n v="0"/>
  </r>
  <r>
    <n v="2019"/>
    <n v="5"/>
    <s v="5/01/2019"/>
    <x v="4"/>
    <s v="Female (F)"/>
    <s v="Non-Hispanic American Indian or Alaska Native"/>
    <s v="5-14 years"/>
    <m/>
    <m/>
    <n v="0"/>
    <n v="0"/>
    <n v="0"/>
    <n v="0"/>
    <n v="0"/>
    <m/>
    <n v="0"/>
    <n v="0"/>
    <n v="0"/>
    <n v="0"/>
    <n v="0"/>
    <n v="0"/>
    <n v="0"/>
  </r>
  <r>
    <n v="2019"/>
    <n v="5"/>
    <s v="5/01/2019"/>
    <x v="4"/>
    <s v="Female (F)"/>
    <s v="Non-Hispanic American Indian or Alaska Native"/>
    <s v="55-64 years"/>
    <n v="135"/>
    <n v="125"/>
    <m/>
    <n v="41"/>
    <m/>
    <n v="0"/>
    <m/>
    <m/>
    <m/>
    <m/>
    <n v="0"/>
    <n v="29"/>
    <m/>
    <n v="0"/>
    <n v="0"/>
  </r>
  <r>
    <n v="2019"/>
    <n v="5"/>
    <s v="5/01/2019"/>
    <x v="4"/>
    <s v="Female (F)"/>
    <s v="Non-Hispanic American Indian or Alaska Native"/>
    <s v="65-74 years"/>
    <n v="148"/>
    <n v="143"/>
    <m/>
    <n v="40"/>
    <n v="17"/>
    <m/>
    <m/>
    <n v="12"/>
    <m/>
    <m/>
    <m/>
    <n v="22"/>
    <m/>
    <n v="0"/>
    <n v="0"/>
  </r>
  <r>
    <n v="2019"/>
    <n v="5"/>
    <s v="5/01/2019"/>
    <x v="4"/>
    <s v="Female (F)"/>
    <s v="Non-Hispanic American Indian or Alaska Native"/>
    <s v="75-84 years"/>
    <n v="145"/>
    <n v="141"/>
    <m/>
    <n v="38"/>
    <m/>
    <m/>
    <m/>
    <n v="13"/>
    <m/>
    <m/>
    <n v="0"/>
    <n v="25"/>
    <m/>
    <n v="0"/>
    <n v="0"/>
  </r>
  <r>
    <n v="2019"/>
    <n v="5"/>
    <s v="5/01/2019"/>
    <x v="4"/>
    <s v="Female (F)"/>
    <s v="Non-Hispanic American Indian or Alaska Native"/>
    <s v="85 years and over"/>
    <n v="116"/>
    <n v="113"/>
    <n v="0"/>
    <n v="13"/>
    <m/>
    <n v="10"/>
    <m/>
    <m/>
    <m/>
    <m/>
    <m/>
    <n v="24"/>
    <m/>
    <n v="0"/>
    <n v="0"/>
  </r>
  <r>
    <n v="2019"/>
    <n v="5"/>
    <s v="5/01/2019"/>
    <x v="4"/>
    <s v="Female (F)"/>
    <s v="Non-Hispanic Asian"/>
    <s v="0-4 years"/>
    <n v="30"/>
    <n v="22"/>
    <n v="0"/>
    <m/>
    <n v="0"/>
    <n v="0"/>
    <n v="0"/>
    <n v="0"/>
    <m/>
    <n v="0"/>
    <n v="0"/>
    <n v="0"/>
    <n v="0"/>
    <n v="0"/>
    <n v="0"/>
  </r>
  <r>
    <n v="2019"/>
    <n v="5"/>
    <s v="5/01/2019"/>
    <x v="4"/>
    <s v="Female (F)"/>
    <s v="Non-Hispanic Asian"/>
    <s v="15-24 years"/>
    <n v="14"/>
    <m/>
    <m/>
    <m/>
    <n v="0"/>
    <n v="0"/>
    <n v="0"/>
    <n v="0"/>
    <n v="0"/>
    <n v="0"/>
    <n v="0"/>
    <n v="0"/>
    <n v="0"/>
    <n v="0"/>
    <n v="0"/>
  </r>
  <r>
    <n v="2019"/>
    <n v="5"/>
    <s v="5/01/2019"/>
    <x v="4"/>
    <s v="Female (F)"/>
    <s v="Non-Hispanic Asian"/>
    <s v="25-34 years"/>
    <n v="42"/>
    <n v="21"/>
    <n v="0"/>
    <m/>
    <m/>
    <n v="0"/>
    <m/>
    <m/>
    <n v="0"/>
    <n v="0"/>
    <m/>
    <m/>
    <m/>
    <n v="0"/>
    <n v="0"/>
  </r>
  <r>
    <n v="2019"/>
    <n v="5"/>
    <s v="5/01/2019"/>
    <x v="4"/>
    <s v="Female (F)"/>
    <s v="Non-Hispanic Asian"/>
    <s v="35-44 years"/>
    <n v="54"/>
    <n v="39"/>
    <m/>
    <n v="21"/>
    <n v="0"/>
    <n v="0"/>
    <n v="0"/>
    <n v="0"/>
    <n v="0"/>
    <n v="0"/>
    <n v="0"/>
    <m/>
    <m/>
    <n v="0"/>
    <n v="0"/>
  </r>
  <r>
    <n v="2019"/>
    <n v="5"/>
    <s v="5/01/2019"/>
    <x v="4"/>
    <s v="Female (F)"/>
    <s v="Non-Hispanic Asian"/>
    <s v="45-54 years"/>
    <n v="140"/>
    <n v="125"/>
    <m/>
    <n v="72"/>
    <m/>
    <n v="0"/>
    <n v="0"/>
    <n v="0"/>
    <m/>
    <n v="0"/>
    <m/>
    <n v="14"/>
    <n v="12"/>
    <n v="0"/>
    <n v="0"/>
  </r>
  <r>
    <n v="2019"/>
    <n v="5"/>
    <s v="5/01/2019"/>
    <x v="4"/>
    <s v="Female (F)"/>
    <s v="Non-Hispanic Asian"/>
    <s v="5-14 years"/>
    <m/>
    <m/>
    <m/>
    <m/>
    <n v="0"/>
    <n v="0"/>
    <n v="0"/>
    <n v="0"/>
    <n v="0"/>
    <n v="0"/>
    <n v="0"/>
    <n v="0"/>
    <n v="0"/>
    <n v="0"/>
    <n v="0"/>
  </r>
  <r>
    <n v="2019"/>
    <n v="5"/>
    <s v="5/01/2019"/>
    <x v="4"/>
    <s v="Female (F)"/>
    <s v="Non-Hispanic Asian"/>
    <s v="55-64 years"/>
    <n v="264"/>
    <n v="248"/>
    <m/>
    <n v="137"/>
    <n v="10"/>
    <m/>
    <m/>
    <m/>
    <m/>
    <m/>
    <m/>
    <n v="34"/>
    <n v="16"/>
    <n v="0"/>
    <n v="0"/>
  </r>
  <r>
    <n v="2019"/>
    <n v="5"/>
    <s v="5/01/2019"/>
    <x v="4"/>
    <s v="Female (F)"/>
    <s v="Non-Hispanic Asian"/>
    <s v="65-74 years"/>
    <n v="443"/>
    <n v="429"/>
    <m/>
    <n v="176"/>
    <n v="16"/>
    <n v="10"/>
    <m/>
    <m/>
    <m/>
    <n v="15"/>
    <m/>
    <n v="68"/>
    <n v="39"/>
    <n v="0"/>
    <n v="0"/>
  </r>
  <r>
    <n v="2019"/>
    <n v="5"/>
    <s v="5/01/2019"/>
    <x v="4"/>
    <s v="Female (F)"/>
    <s v="Non-Hispanic Asian"/>
    <s v="75-84 years"/>
    <n v="661"/>
    <n v="634"/>
    <m/>
    <n v="176"/>
    <n v="38"/>
    <n v="26"/>
    <n v="13"/>
    <n v="13"/>
    <m/>
    <n v="19"/>
    <m/>
    <n v="136"/>
    <n v="60"/>
    <n v="0"/>
    <n v="0"/>
  </r>
  <r>
    <n v="2019"/>
    <n v="5"/>
    <s v="5/01/2019"/>
    <x v="4"/>
    <s v="Female (F)"/>
    <s v="Non-Hispanic Asian"/>
    <s v="85 years and over"/>
    <n v="1160"/>
    <n v="1139"/>
    <m/>
    <n v="147"/>
    <n v="40"/>
    <n v="115"/>
    <n v="45"/>
    <n v="35"/>
    <n v="16"/>
    <n v="18"/>
    <m/>
    <n v="308"/>
    <n v="138"/>
    <n v="0"/>
    <n v="0"/>
  </r>
  <r>
    <n v="2019"/>
    <n v="5"/>
    <s v="5/01/2019"/>
    <x v="4"/>
    <s v="Female (F)"/>
    <s v="Non-Hispanic Black"/>
    <s v="0-4 years"/>
    <n v="259"/>
    <n v="219"/>
    <m/>
    <m/>
    <n v="0"/>
    <n v="0"/>
    <m/>
    <n v="0"/>
    <m/>
    <m/>
    <n v="40"/>
    <m/>
    <m/>
    <n v="0"/>
    <n v="0"/>
  </r>
  <r>
    <n v="2019"/>
    <n v="5"/>
    <s v="5/01/2019"/>
    <x v="4"/>
    <s v="Female (F)"/>
    <s v="Non-Hispanic Black"/>
    <s v="15-24 years"/>
    <n v="135"/>
    <n v="49"/>
    <n v="0"/>
    <m/>
    <m/>
    <n v="0"/>
    <n v="0"/>
    <m/>
    <n v="0"/>
    <m/>
    <m/>
    <n v="11"/>
    <n v="0"/>
    <n v="0"/>
    <n v="0"/>
  </r>
  <r>
    <n v="2019"/>
    <n v="5"/>
    <s v="5/01/2019"/>
    <x v="4"/>
    <s v="Female (F)"/>
    <s v="Non-Hispanic Black"/>
    <s v="25-34 years"/>
    <n v="295"/>
    <n v="171"/>
    <m/>
    <n v="29"/>
    <n v="13"/>
    <n v="0"/>
    <m/>
    <m/>
    <m/>
    <m/>
    <m/>
    <n v="35"/>
    <m/>
    <n v="0"/>
    <n v="0"/>
  </r>
  <r>
    <n v="2019"/>
    <n v="5"/>
    <s v="5/01/2019"/>
    <x v="4"/>
    <s v="Female (F)"/>
    <s v="Non-Hispanic Black"/>
    <s v="35-44 years"/>
    <n v="528"/>
    <n v="419"/>
    <m/>
    <n v="106"/>
    <n v="15"/>
    <n v="0"/>
    <m/>
    <m/>
    <m/>
    <n v="11"/>
    <m/>
    <n v="96"/>
    <n v="19"/>
    <n v="0"/>
    <n v="0"/>
  </r>
  <r>
    <n v="2019"/>
    <n v="5"/>
    <s v="5/01/2019"/>
    <x v="4"/>
    <s v="Female (F)"/>
    <s v="Non-Hispanic Black"/>
    <s v="45-54 years"/>
    <n v="1049"/>
    <n v="926"/>
    <n v="23"/>
    <n v="253"/>
    <n v="45"/>
    <n v="0"/>
    <n v="15"/>
    <n v="25"/>
    <n v="23"/>
    <n v="24"/>
    <m/>
    <n v="229"/>
    <n v="57"/>
    <n v="0"/>
    <n v="0"/>
  </r>
  <r>
    <n v="2019"/>
    <n v="5"/>
    <s v="5/01/2019"/>
    <x v="4"/>
    <s v="Female (F)"/>
    <s v="Non-Hispanic Black"/>
    <s v="5-14 years"/>
    <n v="49"/>
    <n v="34"/>
    <m/>
    <m/>
    <n v="0"/>
    <n v="0"/>
    <m/>
    <m/>
    <m/>
    <n v="0"/>
    <n v="0"/>
    <m/>
    <n v="0"/>
    <n v="0"/>
    <n v="0"/>
  </r>
  <r>
    <n v="2019"/>
    <n v="5"/>
    <s v="5/01/2019"/>
    <x v="4"/>
    <s v="Female (F)"/>
    <s v="Non-Hispanic Black"/>
    <s v="55-64 years"/>
    <n v="2241"/>
    <n v="2118"/>
    <n v="60"/>
    <n v="694"/>
    <n v="111"/>
    <m/>
    <n v="27"/>
    <n v="82"/>
    <n v="30"/>
    <n v="62"/>
    <n v="28"/>
    <n v="490"/>
    <n v="105"/>
    <n v="0"/>
    <n v="0"/>
  </r>
  <r>
    <n v="2019"/>
    <n v="5"/>
    <s v="5/01/2019"/>
    <x v="4"/>
    <s v="Female (F)"/>
    <s v="Non-Hispanic Black"/>
    <s v="65-74 years"/>
    <n v="2640"/>
    <n v="2580"/>
    <n v="53"/>
    <n v="772"/>
    <n v="166"/>
    <n v="47"/>
    <n v="33"/>
    <n v="119"/>
    <n v="44"/>
    <n v="79"/>
    <n v="12"/>
    <n v="607"/>
    <n v="165"/>
    <n v="0"/>
    <n v="0"/>
  </r>
  <r>
    <n v="2019"/>
    <n v="5"/>
    <s v="5/01/2019"/>
    <x v="4"/>
    <s v="Female (F)"/>
    <s v="Non-Hispanic Black"/>
    <s v="75-84 years"/>
    <n v="2952"/>
    <n v="2906"/>
    <n v="59"/>
    <n v="663"/>
    <n v="149"/>
    <n v="128"/>
    <n v="38"/>
    <n v="123"/>
    <n v="42"/>
    <n v="119"/>
    <n v="20"/>
    <n v="736"/>
    <n v="242"/>
    <n v="0"/>
    <n v="0"/>
  </r>
  <r>
    <n v="2019"/>
    <n v="5"/>
    <s v="5/01/2019"/>
    <x v="4"/>
    <s v="Female (F)"/>
    <s v="Non-Hispanic Black"/>
    <s v="85 years and over"/>
    <n v="3327"/>
    <n v="3271"/>
    <n v="59"/>
    <n v="386"/>
    <n v="113"/>
    <n v="329"/>
    <n v="64"/>
    <n v="77"/>
    <n v="29"/>
    <n v="87"/>
    <n v="48"/>
    <n v="911"/>
    <n v="326"/>
    <n v="0"/>
    <n v="0"/>
  </r>
  <r>
    <n v="2019"/>
    <n v="5"/>
    <s v="5/01/2019"/>
    <x v="4"/>
    <s v="Female (F)"/>
    <s v="Non-Hispanic White"/>
    <s v="0-4 years"/>
    <n v="379"/>
    <n v="320"/>
    <m/>
    <n v="10"/>
    <n v="0"/>
    <n v="0"/>
    <m/>
    <n v="0"/>
    <m/>
    <n v="0"/>
    <n v="37"/>
    <m/>
    <m/>
    <n v="0"/>
    <n v="0"/>
  </r>
  <r>
    <n v="2019"/>
    <n v="5"/>
    <s v="5/01/2019"/>
    <x v="4"/>
    <s v="Female (F)"/>
    <s v="Non-Hispanic White"/>
    <s v="15-24 years"/>
    <n v="380"/>
    <n v="120"/>
    <m/>
    <n v="31"/>
    <m/>
    <n v="0"/>
    <m/>
    <m/>
    <m/>
    <n v="0"/>
    <n v="11"/>
    <n v="12"/>
    <m/>
    <n v="0"/>
    <n v="0"/>
  </r>
  <r>
    <n v="2019"/>
    <n v="5"/>
    <s v="5/01/2019"/>
    <x v="4"/>
    <s v="Female (F)"/>
    <s v="Non-Hispanic White"/>
    <s v="25-34 years"/>
    <n v="926"/>
    <n v="411"/>
    <n v="13"/>
    <n v="98"/>
    <n v="13"/>
    <n v="0"/>
    <n v="13"/>
    <m/>
    <m/>
    <m/>
    <n v="16"/>
    <n v="51"/>
    <m/>
    <n v="0"/>
    <n v="0"/>
  </r>
  <r>
    <n v="2019"/>
    <n v="5"/>
    <s v="5/01/2019"/>
    <x v="4"/>
    <s v="Female (F)"/>
    <s v="Non-Hispanic White"/>
    <s v="35-44 years"/>
    <n v="1436"/>
    <n v="895"/>
    <n v="18"/>
    <n v="285"/>
    <n v="31"/>
    <n v="0"/>
    <n v="17"/>
    <n v="15"/>
    <m/>
    <n v="11"/>
    <n v="17"/>
    <n v="150"/>
    <n v="34"/>
    <n v="0"/>
    <n v="0"/>
  </r>
  <r>
    <n v="2019"/>
    <n v="5"/>
    <s v="5/01/2019"/>
    <x v="4"/>
    <s v="Female (F)"/>
    <s v="Non-Hispanic White"/>
    <s v="45-54 years"/>
    <n v="3384"/>
    <n v="2759"/>
    <n v="53"/>
    <n v="1048"/>
    <n v="84"/>
    <m/>
    <n v="33"/>
    <n v="135"/>
    <n v="34"/>
    <n v="40"/>
    <n v="44"/>
    <n v="462"/>
    <n v="88"/>
    <n v="0"/>
    <n v="0"/>
  </r>
  <r>
    <n v="2019"/>
    <n v="5"/>
    <s v="5/01/2019"/>
    <x v="4"/>
    <s v="Female (F)"/>
    <s v="Non-Hispanic White"/>
    <s v="5-14 years"/>
    <n v="89"/>
    <n v="47"/>
    <n v="0"/>
    <n v="15"/>
    <n v="0"/>
    <n v="0"/>
    <m/>
    <n v="0"/>
    <m/>
    <n v="0"/>
    <n v="0"/>
    <m/>
    <n v="0"/>
    <n v="0"/>
    <n v="0"/>
  </r>
  <r>
    <n v="2019"/>
    <n v="5"/>
    <s v="5/01/2019"/>
    <x v="4"/>
    <s v="Female (F)"/>
    <s v="Non-Hispanic White"/>
    <s v="55-64 years"/>
    <n v="8526"/>
    <n v="7865"/>
    <n v="127"/>
    <n v="3117"/>
    <n v="277"/>
    <n v="42"/>
    <n v="93"/>
    <n v="668"/>
    <n v="117"/>
    <n v="107"/>
    <n v="67"/>
    <n v="1322"/>
    <n v="278"/>
    <n v="0"/>
    <n v="0"/>
  </r>
  <r>
    <n v="2019"/>
    <n v="5"/>
    <s v="5/01/2019"/>
    <x v="4"/>
    <s v="Female (F)"/>
    <s v="Non-Hispanic White"/>
    <s v="65-74 years"/>
    <n v="14931"/>
    <n v="14433"/>
    <n v="259"/>
    <n v="4965"/>
    <n v="500"/>
    <n v="266"/>
    <n v="240"/>
    <n v="1451"/>
    <n v="290"/>
    <n v="264"/>
    <n v="116"/>
    <n v="2592"/>
    <n v="675"/>
    <n v="0"/>
    <n v="0"/>
  </r>
  <r>
    <n v="2019"/>
    <n v="5"/>
    <s v="5/01/2019"/>
    <x v="4"/>
    <s v="Female (F)"/>
    <s v="Non-Hispanic White"/>
    <s v="75-84 years"/>
    <n v="21876"/>
    <n v="21215"/>
    <n v="321"/>
    <n v="4990"/>
    <n v="499"/>
    <n v="1418"/>
    <n v="348"/>
    <n v="2088"/>
    <n v="451"/>
    <n v="397"/>
    <n v="200"/>
    <n v="4616"/>
    <n v="1315"/>
    <n v="0"/>
    <n v="0"/>
  </r>
  <r>
    <n v="2019"/>
    <n v="5"/>
    <s v="5/01/2019"/>
    <x v="4"/>
    <s v="Female (F)"/>
    <s v="Non-Hispanic White"/>
    <s v="85 years and over"/>
    <n v="36570"/>
    <n v="35481"/>
    <n v="370"/>
    <n v="3621"/>
    <n v="532"/>
    <n v="3749"/>
    <n v="733"/>
    <n v="1878"/>
    <n v="526"/>
    <n v="584"/>
    <n v="550"/>
    <n v="10388"/>
    <n v="2836"/>
    <n v="0"/>
    <n v="0"/>
  </r>
  <r>
    <n v="2019"/>
    <n v="5"/>
    <s v="5/01/2019"/>
    <x v="4"/>
    <s v="Female (F)"/>
    <s v="Other"/>
    <s v="0-4 years"/>
    <n v="59"/>
    <n v="51"/>
    <n v="0"/>
    <n v="0"/>
    <n v="0"/>
    <n v="0"/>
    <n v="0"/>
    <n v="0"/>
    <n v="0"/>
    <n v="0"/>
    <m/>
    <n v="0"/>
    <m/>
    <n v="0"/>
    <n v="0"/>
  </r>
  <r>
    <n v="2019"/>
    <n v="5"/>
    <s v="5/01/2019"/>
    <x v="4"/>
    <s v="Female (F)"/>
    <s v="Other"/>
    <s v="15-24 years"/>
    <n v="23"/>
    <m/>
    <n v="0"/>
    <m/>
    <n v="0"/>
    <n v="0"/>
    <n v="0"/>
    <n v="0"/>
    <n v="0"/>
    <n v="0"/>
    <m/>
    <m/>
    <n v="0"/>
    <n v="0"/>
    <n v="0"/>
  </r>
  <r>
    <n v="2019"/>
    <n v="5"/>
    <s v="5/01/2019"/>
    <x v="4"/>
    <s v="Female (F)"/>
    <s v="Other"/>
    <s v="25-34 years"/>
    <n v="21"/>
    <n v="11"/>
    <n v="0"/>
    <m/>
    <n v="0"/>
    <n v="0"/>
    <n v="0"/>
    <m/>
    <n v="0"/>
    <n v="0"/>
    <n v="0"/>
    <m/>
    <n v="0"/>
    <n v="0"/>
    <n v="0"/>
  </r>
  <r>
    <n v="2019"/>
    <n v="5"/>
    <s v="5/01/2019"/>
    <x v="4"/>
    <s v="Female (F)"/>
    <s v="Other"/>
    <s v="35-44 years"/>
    <n v="53"/>
    <n v="42"/>
    <n v="0"/>
    <n v="15"/>
    <m/>
    <n v="0"/>
    <m/>
    <n v="0"/>
    <n v="0"/>
    <m/>
    <n v="0"/>
    <m/>
    <m/>
    <n v="0"/>
    <n v="0"/>
  </r>
  <r>
    <n v="2019"/>
    <n v="5"/>
    <s v="5/01/2019"/>
    <x v="4"/>
    <s v="Female (F)"/>
    <s v="Other"/>
    <s v="45-54 years"/>
    <n v="56"/>
    <n v="45"/>
    <m/>
    <n v="12"/>
    <n v="0"/>
    <n v="0"/>
    <m/>
    <m/>
    <m/>
    <m/>
    <m/>
    <m/>
    <m/>
    <n v="0"/>
    <n v="0"/>
  </r>
  <r>
    <n v="2019"/>
    <n v="5"/>
    <s v="5/01/2019"/>
    <x v="4"/>
    <s v="Female (F)"/>
    <s v="Other"/>
    <s v="5-14 years"/>
    <m/>
    <m/>
    <n v="0"/>
    <n v="0"/>
    <n v="0"/>
    <n v="0"/>
    <n v="0"/>
    <n v="0"/>
    <n v="0"/>
    <n v="0"/>
    <n v="0"/>
    <m/>
    <n v="0"/>
    <n v="0"/>
    <n v="0"/>
  </r>
  <r>
    <n v="2019"/>
    <n v="5"/>
    <s v="5/01/2019"/>
    <x v="4"/>
    <s v="Female (F)"/>
    <s v="Other"/>
    <s v="55-64 years"/>
    <n v="127"/>
    <n v="119"/>
    <n v="0"/>
    <n v="40"/>
    <n v="10"/>
    <n v="0"/>
    <m/>
    <m/>
    <m/>
    <m/>
    <n v="0"/>
    <n v="23"/>
    <m/>
    <n v="0"/>
    <n v="0"/>
  </r>
  <r>
    <n v="2019"/>
    <n v="5"/>
    <s v="5/01/2019"/>
    <x v="4"/>
    <s v="Female (F)"/>
    <s v="Other"/>
    <s v="65-74 years"/>
    <n v="151"/>
    <n v="146"/>
    <m/>
    <n v="42"/>
    <m/>
    <m/>
    <n v="0"/>
    <n v="10"/>
    <m/>
    <m/>
    <m/>
    <n v="35"/>
    <m/>
    <n v="0"/>
    <n v="0"/>
  </r>
  <r>
    <n v="2019"/>
    <n v="5"/>
    <s v="5/01/2019"/>
    <x v="4"/>
    <s v="Female (F)"/>
    <s v="Other"/>
    <s v="75-84 years"/>
    <n v="148"/>
    <n v="147"/>
    <m/>
    <n v="32"/>
    <n v="10"/>
    <m/>
    <m/>
    <n v="11"/>
    <m/>
    <m/>
    <m/>
    <n v="36"/>
    <n v="13"/>
    <n v="0"/>
    <n v="0"/>
  </r>
  <r>
    <n v="2019"/>
    <n v="5"/>
    <s v="5/01/2019"/>
    <x v="4"/>
    <s v="Female (F)"/>
    <s v="Other"/>
    <s v="85 years and over"/>
    <n v="146"/>
    <n v="143"/>
    <m/>
    <n v="14"/>
    <m/>
    <n v="13"/>
    <m/>
    <m/>
    <m/>
    <m/>
    <m/>
    <n v="41"/>
    <m/>
    <n v="0"/>
    <n v="0"/>
  </r>
  <r>
    <n v="2019"/>
    <n v="5"/>
    <s v="5/01/2019"/>
    <x v="4"/>
    <s v="Male (M)"/>
    <s v="Hispanic"/>
    <s v="0-4 years"/>
    <n v="244"/>
    <n v="230"/>
    <n v="0"/>
    <m/>
    <n v="0"/>
    <n v="0"/>
    <n v="0"/>
    <m/>
    <m/>
    <m/>
    <n v="26"/>
    <m/>
    <n v="0"/>
    <n v="0"/>
    <n v="0"/>
  </r>
  <r>
    <n v="2019"/>
    <n v="5"/>
    <s v="5/01/2019"/>
    <x v="4"/>
    <s v="Male (M)"/>
    <s v="Hispanic"/>
    <s v="15-24 years"/>
    <n v="375"/>
    <n v="75"/>
    <m/>
    <n v="21"/>
    <n v="0"/>
    <n v="0"/>
    <m/>
    <m/>
    <m/>
    <m/>
    <m/>
    <n v="10"/>
    <m/>
    <n v="0"/>
    <n v="0"/>
  </r>
  <r>
    <n v="2019"/>
    <n v="5"/>
    <s v="5/01/2019"/>
    <x v="4"/>
    <s v="Male (M)"/>
    <s v="Hispanic"/>
    <s v="25-34 years"/>
    <n v="585"/>
    <n v="179"/>
    <m/>
    <n v="30"/>
    <m/>
    <n v="0"/>
    <m/>
    <m/>
    <m/>
    <m/>
    <n v="15"/>
    <n v="29"/>
    <m/>
    <n v="0"/>
    <n v="0"/>
  </r>
  <r>
    <n v="2019"/>
    <n v="5"/>
    <s v="5/01/2019"/>
    <x v="4"/>
    <s v="Male (M)"/>
    <s v="Hispanic"/>
    <s v="35-44 years"/>
    <n v="667"/>
    <n v="325"/>
    <m/>
    <n v="74"/>
    <m/>
    <n v="0"/>
    <m/>
    <m/>
    <m/>
    <m/>
    <n v="12"/>
    <n v="74"/>
    <n v="12"/>
    <n v="0"/>
    <n v="0"/>
  </r>
  <r>
    <n v="2019"/>
    <n v="5"/>
    <s v="5/01/2019"/>
    <x v="4"/>
    <s v="Male (M)"/>
    <s v="Hispanic"/>
    <s v="45-54 years"/>
    <n v="999"/>
    <n v="744"/>
    <n v="11"/>
    <n v="159"/>
    <n v="49"/>
    <n v="0"/>
    <n v="13"/>
    <m/>
    <m/>
    <n v="19"/>
    <m/>
    <n v="192"/>
    <n v="43"/>
    <n v="0"/>
    <n v="0"/>
  </r>
  <r>
    <n v="2019"/>
    <n v="5"/>
    <s v="5/01/2019"/>
    <x v="4"/>
    <s v="Male (M)"/>
    <s v="Hispanic"/>
    <s v="5-14 years"/>
    <n v="62"/>
    <n v="34"/>
    <m/>
    <n v="14"/>
    <n v="0"/>
    <n v="0"/>
    <m/>
    <n v="0"/>
    <m/>
    <n v="0"/>
    <n v="0"/>
    <n v="0"/>
    <m/>
    <n v="0"/>
    <n v="0"/>
  </r>
  <r>
    <n v="2019"/>
    <n v="5"/>
    <s v="5/01/2019"/>
    <x v="4"/>
    <s v="Male (M)"/>
    <s v="Hispanic"/>
    <s v="55-64 years"/>
    <n v="1609"/>
    <n v="1414"/>
    <n v="14"/>
    <n v="393"/>
    <n v="94"/>
    <m/>
    <n v="19"/>
    <n v="29"/>
    <n v="17"/>
    <n v="25"/>
    <n v="14"/>
    <n v="354"/>
    <n v="78"/>
    <n v="0"/>
    <n v="0"/>
  </r>
  <r>
    <n v="2019"/>
    <n v="5"/>
    <s v="5/01/2019"/>
    <x v="4"/>
    <s v="Male (M)"/>
    <s v="Hispanic"/>
    <s v="65-74 years"/>
    <n v="1771"/>
    <n v="1690"/>
    <n v="15"/>
    <n v="522"/>
    <n v="123"/>
    <n v="18"/>
    <n v="25"/>
    <n v="57"/>
    <n v="37"/>
    <n v="56"/>
    <n v="13"/>
    <n v="394"/>
    <n v="83"/>
    <n v="0"/>
    <n v="0"/>
  </r>
  <r>
    <n v="2019"/>
    <n v="5"/>
    <s v="5/01/2019"/>
    <x v="4"/>
    <s v="Male (M)"/>
    <s v="Hispanic"/>
    <s v="75-84 years"/>
    <n v="1824"/>
    <n v="1771"/>
    <n v="17"/>
    <n v="456"/>
    <n v="102"/>
    <n v="59"/>
    <n v="36"/>
    <n v="89"/>
    <n v="36"/>
    <n v="52"/>
    <n v="10"/>
    <n v="427"/>
    <n v="108"/>
    <n v="0"/>
    <n v="0"/>
  </r>
  <r>
    <n v="2019"/>
    <n v="5"/>
    <s v="5/01/2019"/>
    <x v="4"/>
    <s v="Male (M)"/>
    <s v="Hispanic"/>
    <s v="85 years and over"/>
    <n v="1666"/>
    <n v="1630"/>
    <n v="31"/>
    <n v="256"/>
    <n v="48"/>
    <n v="139"/>
    <n v="33"/>
    <n v="93"/>
    <n v="31"/>
    <n v="31"/>
    <n v="17"/>
    <n v="467"/>
    <n v="132"/>
    <n v="0"/>
    <n v="0"/>
  </r>
  <r>
    <n v="2019"/>
    <n v="5"/>
    <s v="5/01/2019"/>
    <x v="4"/>
    <s v="Male (M)"/>
    <s v="Non-Hispanic American Indian or Alaska Native"/>
    <s v="0-4 years"/>
    <m/>
    <m/>
    <n v="0"/>
    <n v="0"/>
    <n v="0"/>
    <n v="0"/>
    <n v="0"/>
    <n v="0"/>
    <n v="0"/>
    <n v="0"/>
    <m/>
    <n v="0"/>
    <n v="0"/>
    <n v="0"/>
    <n v="0"/>
  </r>
  <r>
    <n v="2019"/>
    <n v="5"/>
    <s v="5/01/2019"/>
    <x v="4"/>
    <s v="Male (M)"/>
    <s v="Non-Hispanic American Indian or Alaska Native"/>
    <s v="15-24 years"/>
    <n v="31"/>
    <m/>
    <n v="0"/>
    <n v="0"/>
    <n v="0"/>
    <n v="0"/>
    <n v="0"/>
    <n v="0"/>
    <n v="0"/>
    <n v="0"/>
    <n v="0"/>
    <n v="0"/>
    <n v="0"/>
    <n v="0"/>
    <n v="0"/>
  </r>
  <r>
    <n v="2019"/>
    <n v="5"/>
    <s v="5/01/2019"/>
    <x v="4"/>
    <s v="Male (M)"/>
    <s v="Non-Hispanic American Indian or Alaska Native"/>
    <s v="25-34 years"/>
    <n v="69"/>
    <n v="16"/>
    <n v="0"/>
    <n v="0"/>
    <n v="0"/>
    <n v="0"/>
    <n v="0"/>
    <n v="0"/>
    <n v="0"/>
    <m/>
    <m/>
    <m/>
    <n v="0"/>
    <n v="0"/>
    <n v="0"/>
  </r>
  <r>
    <n v="2019"/>
    <n v="5"/>
    <s v="5/01/2019"/>
    <x v="4"/>
    <s v="Male (M)"/>
    <s v="Non-Hispanic American Indian or Alaska Native"/>
    <s v="35-44 years"/>
    <n v="66"/>
    <n v="34"/>
    <m/>
    <m/>
    <m/>
    <n v="0"/>
    <m/>
    <n v="0"/>
    <n v="0"/>
    <n v="0"/>
    <m/>
    <m/>
    <m/>
    <n v="0"/>
    <n v="0"/>
  </r>
  <r>
    <n v="2019"/>
    <n v="5"/>
    <s v="5/01/2019"/>
    <x v="4"/>
    <s v="Male (M)"/>
    <s v="Non-Hispanic American Indian or Alaska Native"/>
    <s v="45-54 years"/>
    <n v="104"/>
    <n v="78"/>
    <m/>
    <m/>
    <m/>
    <n v="0"/>
    <m/>
    <m/>
    <n v="0"/>
    <m/>
    <n v="0"/>
    <n v="21"/>
    <m/>
    <n v="0"/>
    <n v="0"/>
  </r>
  <r>
    <n v="2019"/>
    <n v="5"/>
    <s v="5/01/2019"/>
    <x v="4"/>
    <s v="Male (M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19"/>
    <n v="5"/>
    <s v="5/01/2019"/>
    <x v="4"/>
    <s v="Male (M)"/>
    <s v="Non-Hispanic American Indian or Alaska Native"/>
    <s v="55-64 years"/>
    <n v="151"/>
    <n v="136"/>
    <m/>
    <n v="33"/>
    <n v="15"/>
    <n v="0"/>
    <n v="0"/>
    <n v="11"/>
    <m/>
    <m/>
    <n v="0"/>
    <n v="33"/>
    <m/>
    <n v="0"/>
    <n v="0"/>
  </r>
  <r>
    <n v="2019"/>
    <n v="5"/>
    <s v="5/01/2019"/>
    <x v="4"/>
    <s v="Male (M)"/>
    <s v="Non-Hispanic American Indian or Alaska Native"/>
    <s v="65-74 years"/>
    <n v="144"/>
    <n v="137"/>
    <n v="0"/>
    <n v="45"/>
    <n v="12"/>
    <n v="0"/>
    <n v="0"/>
    <n v="12"/>
    <m/>
    <m/>
    <m/>
    <n v="28"/>
    <m/>
    <n v="0"/>
    <n v="0"/>
  </r>
  <r>
    <n v="2019"/>
    <n v="5"/>
    <s v="5/01/2019"/>
    <x v="4"/>
    <s v="Male (M)"/>
    <s v="Non-Hispanic American Indian or Alaska Native"/>
    <s v="75-84 years"/>
    <n v="137"/>
    <n v="129"/>
    <m/>
    <n v="27"/>
    <n v="10"/>
    <m/>
    <m/>
    <m/>
    <m/>
    <m/>
    <m/>
    <n v="36"/>
    <m/>
    <n v="0"/>
    <n v="0"/>
  </r>
  <r>
    <n v="2019"/>
    <n v="5"/>
    <s v="5/01/2019"/>
    <x v="4"/>
    <s v="Male (M)"/>
    <s v="Non-Hispanic American Indian or Alaska Native"/>
    <s v="85 years and over"/>
    <n v="66"/>
    <n v="66"/>
    <n v="0"/>
    <m/>
    <m/>
    <m/>
    <m/>
    <m/>
    <m/>
    <m/>
    <n v="0"/>
    <n v="17"/>
    <m/>
    <n v="0"/>
    <n v="0"/>
  </r>
  <r>
    <n v="2019"/>
    <n v="5"/>
    <s v="5/01/2019"/>
    <x v="4"/>
    <s v="Male (M)"/>
    <s v="Non-Hispanic Asian"/>
    <s v="0-4 years"/>
    <n v="38"/>
    <n v="33"/>
    <m/>
    <m/>
    <n v="0"/>
    <n v="0"/>
    <n v="0"/>
    <n v="0"/>
    <n v="0"/>
    <n v="0"/>
    <m/>
    <m/>
    <m/>
    <n v="0"/>
    <n v="0"/>
  </r>
  <r>
    <n v="2019"/>
    <n v="5"/>
    <s v="5/01/2019"/>
    <x v="4"/>
    <s v="Male (M)"/>
    <s v="Non-Hispanic Asian"/>
    <s v="15-24 years"/>
    <n v="41"/>
    <n v="12"/>
    <n v="0"/>
    <m/>
    <n v="0"/>
    <n v="0"/>
    <m/>
    <n v="0"/>
    <n v="0"/>
    <n v="0"/>
    <n v="0"/>
    <m/>
    <m/>
    <n v="0"/>
    <n v="0"/>
  </r>
  <r>
    <n v="2019"/>
    <n v="5"/>
    <s v="5/01/2019"/>
    <x v="4"/>
    <s v="Male (M)"/>
    <s v="Non-Hispanic Asian"/>
    <s v="25-34 years"/>
    <n v="85"/>
    <n v="34"/>
    <n v="0"/>
    <n v="11"/>
    <n v="0"/>
    <n v="0"/>
    <n v="0"/>
    <m/>
    <m/>
    <n v="0"/>
    <m/>
    <m/>
    <m/>
    <n v="0"/>
    <n v="0"/>
  </r>
  <r>
    <n v="2019"/>
    <n v="5"/>
    <s v="5/01/2019"/>
    <x v="4"/>
    <s v="Male (M)"/>
    <s v="Non-Hispanic Asian"/>
    <s v="35-44 years"/>
    <n v="102"/>
    <n v="70"/>
    <n v="0"/>
    <n v="19"/>
    <m/>
    <n v="0"/>
    <m/>
    <n v="0"/>
    <n v="0"/>
    <n v="0"/>
    <m/>
    <n v="14"/>
    <m/>
    <n v="0"/>
    <n v="0"/>
  </r>
  <r>
    <n v="2019"/>
    <n v="5"/>
    <s v="5/01/2019"/>
    <x v="4"/>
    <s v="Male (M)"/>
    <s v="Non-Hispanic Asian"/>
    <s v="45-54 years"/>
    <n v="190"/>
    <n v="162"/>
    <n v="0"/>
    <n v="62"/>
    <m/>
    <n v="0"/>
    <m/>
    <m/>
    <m/>
    <m/>
    <n v="0"/>
    <n v="52"/>
    <n v="12"/>
    <n v="0"/>
    <n v="0"/>
  </r>
  <r>
    <n v="2019"/>
    <n v="5"/>
    <s v="5/01/2019"/>
    <x v="4"/>
    <s v="Male (M)"/>
    <s v="Non-Hispanic Asian"/>
    <s v="5-14 years"/>
    <m/>
    <m/>
    <n v="0"/>
    <m/>
    <n v="0"/>
    <n v="0"/>
    <m/>
    <n v="0"/>
    <n v="0"/>
    <n v="0"/>
    <n v="0"/>
    <n v="0"/>
    <n v="0"/>
    <n v="0"/>
    <n v="0"/>
  </r>
  <r>
    <n v="2019"/>
    <n v="5"/>
    <s v="5/01/2019"/>
    <x v="4"/>
    <s v="Male (M)"/>
    <s v="Non-Hispanic Asian"/>
    <s v="55-64 years"/>
    <n v="388"/>
    <n v="358"/>
    <m/>
    <n v="119"/>
    <n v="20"/>
    <n v="0"/>
    <m/>
    <m/>
    <m/>
    <m/>
    <m/>
    <n v="110"/>
    <n v="23"/>
    <n v="0"/>
    <n v="0"/>
  </r>
  <r>
    <n v="2019"/>
    <n v="5"/>
    <s v="5/01/2019"/>
    <x v="4"/>
    <s v="Male (M)"/>
    <s v="Non-Hispanic Asian"/>
    <s v="65-74 years"/>
    <n v="591"/>
    <n v="566"/>
    <m/>
    <n v="214"/>
    <n v="27"/>
    <m/>
    <n v="14"/>
    <n v="12"/>
    <n v="10"/>
    <n v="16"/>
    <m/>
    <n v="142"/>
    <n v="32"/>
    <n v="0"/>
    <n v="0"/>
  </r>
  <r>
    <n v="2019"/>
    <n v="5"/>
    <s v="5/01/2019"/>
    <x v="4"/>
    <s v="Male (M)"/>
    <s v="Non-Hispanic Asian"/>
    <s v="75-84 years"/>
    <n v="742"/>
    <n v="714"/>
    <m/>
    <n v="224"/>
    <n v="29"/>
    <n v="16"/>
    <n v="23"/>
    <n v="32"/>
    <n v="19"/>
    <n v="20"/>
    <m/>
    <n v="154"/>
    <n v="54"/>
    <n v="0"/>
    <n v="0"/>
  </r>
  <r>
    <n v="2019"/>
    <n v="5"/>
    <s v="5/01/2019"/>
    <x v="4"/>
    <s v="Male (M)"/>
    <s v="Non-Hispanic Asian"/>
    <s v="85 years and over"/>
    <n v="761"/>
    <n v="740"/>
    <m/>
    <n v="123"/>
    <n v="31"/>
    <n v="56"/>
    <n v="25"/>
    <n v="33"/>
    <n v="12"/>
    <n v="23"/>
    <m/>
    <n v="195"/>
    <n v="59"/>
    <n v="0"/>
    <n v="0"/>
  </r>
  <r>
    <n v="2019"/>
    <n v="5"/>
    <s v="5/01/2019"/>
    <x v="4"/>
    <s v="Male (M)"/>
    <s v="Non-Hispanic Black"/>
    <s v="0-4 years"/>
    <n v="359"/>
    <n v="308"/>
    <n v="0"/>
    <m/>
    <n v="0"/>
    <n v="0"/>
    <m/>
    <n v="0"/>
    <m/>
    <m/>
    <n v="49"/>
    <m/>
    <n v="0"/>
    <n v="0"/>
    <n v="0"/>
  </r>
  <r>
    <n v="2019"/>
    <n v="5"/>
    <s v="5/01/2019"/>
    <x v="4"/>
    <s v="Male (M)"/>
    <s v="Non-Hispanic Black"/>
    <s v="15-24 years"/>
    <n v="507"/>
    <n v="73"/>
    <m/>
    <m/>
    <m/>
    <n v="0"/>
    <n v="0"/>
    <m/>
    <n v="0"/>
    <n v="0"/>
    <m/>
    <n v="17"/>
    <n v="0"/>
    <n v="0"/>
    <n v="0"/>
  </r>
  <r>
    <n v="2019"/>
    <n v="5"/>
    <s v="5/01/2019"/>
    <x v="4"/>
    <s v="Male (M)"/>
    <s v="Non-Hispanic Black"/>
    <s v="25-34 years"/>
    <n v="762"/>
    <n v="245"/>
    <m/>
    <n v="22"/>
    <n v="11"/>
    <n v="0"/>
    <m/>
    <m/>
    <m/>
    <m/>
    <n v="12"/>
    <n v="66"/>
    <m/>
    <n v="0"/>
    <n v="0"/>
  </r>
  <r>
    <n v="2019"/>
    <n v="5"/>
    <s v="5/01/2019"/>
    <x v="4"/>
    <s v="Male (M)"/>
    <s v="Non-Hispanic Black"/>
    <s v="35-44 years"/>
    <n v="905"/>
    <n v="507"/>
    <m/>
    <n v="68"/>
    <n v="29"/>
    <n v="0"/>
    <m/>
    <m/>
    <m/>
    <n v="12"/>
    <m/>
    <n v="184"/>
    <n v="13"/>
    <n v="0"/>
    <n v="0"/>
  </r>
  <r>
    <n v="2019"/>
    <n v="5"/>
    <s v="5/01/2019"/>
    <x v="4"/>
    <s v="Male (M)"/>
    <s v="Non-Hispanic Black"/>
    <s v="45-54 years"/>
    <n v="1595"/>
    <n v="1237"/>
    <n v="17"/>
    <n v="256"/>
    <n v="64"/>
    <n v="0"/>
    <n v="21"/>
    <n v="15"/>
    <n v="13"/>
    <n v="43"/>
    <n v="15"/>
    <n v="408"/>
    <n v="77"/>
    <n v="0"/>
    <n v="0"/>
  </r>
  <r>
    <n v="2019"/>
    <n v="5"/>
    <s v="5/01/2019"/>
    <x v="4"/>
    <s v="Male (M)"/>
    <s v="Non-Hispanic Black"/>
    <s v="5-14 years"/>
    <n v="62"/>
    <n v="24"/>
    <m/>
    <m/>
    <n v="0"/>
    <n v="0"/>
    <m/>
    <m/>
    <n v="0"/>
    <n v="0"/>
    <m/>
    <m/>
    <n v="0"/>
    <n v="0"/>
    <n v="0"/>
  </r>
  <r>
    <n v="2019"/>
    <n v="5"/>
    <s v="5/01/2019"/>
    <x v="4"/>
    <s v="Male (M)"/>
    <s v="Non-Hispanic Black"/>
    <s v="55-64 years"/>
    <n v="3169"/>
    <n v="2814"/>
    <n v="47"/>
    <n v="796"/>
    <n v="141"/>
    <m/>
    <n v="32"/>
    <n v="102"/>
    <n v="27"/>
    <n v="83"/>
    <n v="29"/>
    <n v="851"/>
    <n v="143"/>
    <n v="0"/>
    <n v="0"/>
  </r>
  <r>
    <n v="2019"/>
    <n v="5"/>
    <s v="5/01/2019"/>
    <x v="4"/>
    <s v="Male (M)"/>
    <s v="Non-Hispanic Black"/>
    <s v="65-74 years"/>
    <n v="3584"/>
    <n v="3410"/>
    <n v="67"/>
    <n v="1030"/>
    <n v="204"/>
    <n v="22"/>
    <n v="35"/>
    <n v="150"/>
    <n v="39"/>
    <n v="109"/>
    <n v="24"/>
    <n v="917"/>
    <n v="184"/>
    <n v="0"/>
    <n v="0"/>
  </r>
  <r>
    <n v="2019"/>
    <n v="5"/>
    <s v="5/01/2019"/>
    <x v="4"/>
    <s v="Male (M)"/>
    <s v="Non-Hispanic Black"/>
    <s v="75-84 years"/>
    <n v="2690"/>
    <n v="2635"/>
    <n v="54"/>
    <n v="623"/>
    <n v="126"/>
    <n v="72"/>
    <n v="41"/>
    <n v="146"/>
    <n v="29"/>
    <n v="85"/>
    <n v="29"/>
    <n v="701"/>
    <n v="190"/>
    <n v="0"/>
    <n v="0"/>
  </r>
  <r>
    <n v="2019"/>
    <n v="5"/>
    <s v="5/01/2019"/>
    <x v="4"/>
    <s v="Male (M)"/>
    <s v="Non-Hispanic Black"/>
    <s v="85 years and over"/>
    <n v="1694"/>
    <n v="1664"/>
    <n v="28"/>
    <n v="289"/>
    <n v="52"/>
    <n v="96"/>
    <n v="47"/>
    <n v="69"/>
    <n v="19"/>
    <n v="67"/>
    <n v="22"/>
    <n v="499"/>
    <n v="108"/>
    <n v="0"/>
    <n v="0"/>
  </r>
  <r>
    <n v="2019"/>
    <n v="5"/>
    <s v="5/01/2019"/>
    <x v="4"/>
    <s v="Male (M)"/>
    <s v="Non-Hispanic White"/>
    <s v="0-4 years"/>
    <n v="519"/>
    <n v="442"/>
    <m/>
    <n v="11"/>
    <n v="0"/>
    <n v="0"/>
    <m/>
    <m/>
    <m/>
    <m/>
    <n v="43"/>
    <m/>
    <m/>
    <n v="0"/>
    <n v="0"/>
  </r>
  <r>
    <n v="2019"/>
    <n v="5"/>
    <s v="5/01/2019"/>
    <x v="4"/>
    <s v="Male (M)"/>
    <s v="Non-Hispanic White"/>
    <s v="15-24 years"/>
    <n v="933"/>
    <n v="163"/>
    <m/>
    <n v="31"/>
    <m/>
    <n v="0"/>
    <m/>
    <m/>
    <m/>
    <n v="0"/>
    <m/>
    <n v="28"/>
    <m/>
    <n v="0"/>
    <n v="0"/>
  </r>
  <r>
    <n v="2019"/>
    <n v="5"/>
    <s v="5/01/2019"/>
    <x v="4"/>
    <s v="Male (M)"/>
    <s v="Non-Hispanic White"/>
    <s v="25-34 years"/>
    <n v="1929"/>
    <n v="475"/>
    <n v="12"/>
    <n v="72"/>
    <n v="30"/>
    <n v="0"/>
    <m/>
    <m/>
    <m/>
    <m/>
    <n v="23"/>
    <n v="106"/>
    <m/>
    <n v="0"/>
    <n v="0"/>
  </r>
  <r>
    <n v="2019"/>
    <n v="5"/>
    <s v="5/01/2019"/>
    <x v="4"/>
    <s v="Male (M)"/>
    <s v="Non-Hispanic White"/>
    <s v="35-44 years"/>
    <n v="2719"/>
    <n v="1210"/>
    <n v="14"/>
    <n v="235"/>
    <n v="50"/>
    <m/>
    <n v="19"/>
    <n v="15"/>
    <n v="13"/>
    <m/>
    <n v="32"/>
    <n v="330"/>
    <n v="37"/>
    <n v="0"/>
    <n v="0"/>
  </r>
  <r>
    <n v="2019"/>
    <n v="5"/>
    <s v="5/01/2019"/>
    <x v="4"/>
    <s v="Male (M)"/>
    <s v="Non-Hispanic White"/>
    <s v="45-54 years"/>
    <n v="5315"/>
    <n v="3862"/>
    <n v="49"/>
    <n v="990"/>
    <n v="199"/>
    <m/>
    <n v="44"/>
    <n v="99"/>
    <n v="26"/>
    <n v="49"/>
    <n v="44"/>
    <n v="1114"/>
    <n v="116"/>
    <n v="0"/>
    <n v="0"/>
  </r>
  <r>
    <n v="2019"/>
    <n v="5"/>
    <s v="5/01/2019"/>
    <x v="4"/>
    <s v="Male (M)"/>
    <s v="Non-Hispanic White"/>
    <s v="5-14 years"/>
    <n v="127"/>
    <n v="62"/>
    <n v="0"/>
    <n v="23"/>
    <n v="0"/>
    <n v="0"/>
    <m/>
    <n v="0"/>
    <m/>
    <n v="0"/>
    <m/>
    <m/>
    <m/>
    <n v="0"/>
    <n v="0"/>
  </r>
  <r>
    <n v="2019"/>
    <n v="5"/>
    <s v="5/01/2019"/>
    <x v="4"/>
    <s v="Male (M)"/>
    <s v="Non-Hispanic White"/>
    <s v="55-64 years"/>
    <n v="13550"/>
    <n v="11932"/>
    <n v="174"/>
    <n v="3796"/>
    <n v="518"/>
    <n v="37"/>
    <n v="148"/>
    <n v="664"/>
    <n v="144"/>
    <n v="142"/>
    <n v="121"/>
    <n v="3289"/>
    <n v="373"/>
    <n v="0"/>
    <n v="0"/>
  </r>
  <r>
    <n v="2019"/>
    <n v="5"/>
    <s v="5/01/2019"/>
    <x v="4"/>
    <s v="Male (M)"/>
    <s v="Non-Hispanic White"/>
    <s v="65-74 years"/>
    <n v="20250"/>
    <n v="19173"/>
    <n v="251"/>
    <n v="6157"/>
    <n v="822"/>
    <n v="210"/>
    <n v="236"/>
    <n v="1454"/>
    <n v="353"/>
    <n v="329"/>
    <n v="148"/>
    <n v="4898"/>
    <n v="780"/>
    <n v="0"/>
    <n v="0"/>
  </r>
  <r>
    <n v="2019"/>
    <n v="5"/>
    <s v="5/01/2019"/>
    <x v="4"/>
    <s v="Male (M)"/>
    <s v="Non-Hispanic White"/>
    <s v="75-84 years"/>
    <n v="24169"/>
    <n v="23176"/>
    <n v="339"/>
    <n v="5914"/>
    <n v="722"/>
    <n v="857"/>
    <n v="403"/>
    <n v="1820"/>
    <n v="525"/>
    <n v="449"/>
    <n v="203"/>
    <n v="6148"/>
    <n v="1106"/>
    <n v="0"/>
    <n v="0"/>
  </r>
  <r>
    <n v="2019"/>
    <n v="5"/>
    <s v="5/01/2019"/>
    <x v="4"/>
    <s v="Male (M)"/>
    <s v="Non-Hispanic White"/>
    <s v="85 years and over"/>
    <n v="23640"/>
    <n v="22744"/>
    <n v="277"/>
    <n v="3481"/>
    <n v="463"/>
    <n v="1478"/>
    <n v="550"/>
    <n v="1340"/>
    <n v="395"/>
    <n v="499"/>
    <n v="246"/>
    <n v="7463"/>
    <n v="1339"/>
    <n v="0"/>
    <n v="0"/>
  </r>
  <r>
    <n v="2019"/>
    <n v="5"/>
    <s v="5/01/2019"/>
    <x v="4"/>
    <s v="Male (M)"/>
    <s v="Other"/>
    <s v="0-4 years"/>
    <n v="60"/>
    <n v="48"/>
    <n v="0"/>
    <n v="0"/>
    <n v="0"/>
    <n v="0"/>
    <m/>
    <n v="0"/>
    <n v="0"/>
    <n v="0"/>
    <m/>
    <n v="0"/>
    <n v="0"/>
    <n v="0"/>
    <n v="0"/>
  </r>
  <r>
    <n v="2019"/>
    <n v="5"/>
    <s v="5/01/2019"/>
    <x v="4"/>
    <s v="Male (M)"/>
    <s v="Other"/>
    <s v="15-24 years"/>
    <n v="41"/>
    <m/>
    <n v="0"/>
    <m/>
    <n v="0"/>
    <n v="0"/>
    <n v="0"/>
    <m/>
    <n v="0"/>
    <n v="0"/>
    <m/>
    <n v="0"/>
    <n v="0"/>
    <n v="0"/>
    <n v="0"/>
  </r>
  <r>
    <n v="2019"/>
    <n v="5"/>
    <s v="5/01/2019"/>
    <x v="4"/>
    <s v="Male (M)"/>
    <s v="Other"/>
    <s v="25-34 years"/>
    <n v="69"/>
    <n v="24"/>
    <n v="0"/>
    <m/>
    <m/>
    <n v="0"/>
    <m/>
    <n v="0"/>
    <m/>
    <n v="0"/>
    <m/>
    <m/>
    <n v="0"/>
    <n v="0"/>
    <n v="0"/>
  </r>
  <r>
    <n v="2019"/>
    <n v="5"/>
    <s v="5/01/2019"/>
    <x v="4"/>
    <s v="Male (M)"/>
    <s v="Other"/>
    <s v="35-44 years"/>
    <n v="77"/>
    <n v="41"/>
    <n v="0"/>
    <n v="11"/>
    <n v="0"/>
    <n v="0"/>
    <n v="0"/>
    <m/>
    <n v="0"/>
    <n v="0"/>
    <m/>
    <n v="12"/>
    <m/>
    <n v="0"/>
    <n v="0"/>
  </r>
  <r>
    <n v="2019"/>
    <n v="5"/>
    <s v="5/01/2019"/>
    <x v="4"/>
    <s v="Male (M)"/>
    <s v="Other"/>
    <s v="45-54 years"/>
    <n v="125"/>
    <n v="97"/>
    <m/>
    <n v="17"/>
    <m/>
    <n v="0"/>
    <n v="0"/>
    <m/>
    <m/>
    <m/>
    <m/>
    <n v="31"/>
    <m/>
    <n v="0"/>
    <n v="0"/>
  </r>
  <r>
    <n v="2019"/>
    <n v="5"/>
    <s v="5/01/2019"/>
    <x v="4"/>
    <s v="Male (M)"/>
    <s v="Other"/>
    <s v="5-14 years"/>
    <n v="12"/>
    <m/>
    <n v="0"/>
    <m/>
    <n v="0"/>
    <n v="0"/>
    <n v="0"/>
    <m/>
    <n v="0"/>
    <n v="0"/>
    <n v="0"/>
    <m/>
    <n v="0"/>
    <n v="0"/>
    <n v="0"/>
  </r>
  <r>
    <n v="2019"/>
    <n v="5"/>
    <s v="5/01/2019"/>
    <x v="4"/>
    <s v="Male (M)"/>
    <s v="Other"/>
    <s v="55-64 years"/>
    <n v="235"/>
    <n v="209"/>
    <m/>
    <n v="49"/>
    <m/>
    <n v="0"/>
    <m/>
    <n v="15"/>
    <m/>
    <m/>
    <m/>
    <n v="65"/>
    <m/>
    <n v="0"/>
    <n v="0"/>
  </r>
  <r>
    <n v="2019"/>
    <n v="5"/>
    <s v="5/01/2019"/>
    <x v="4"/>
    <s v="Male (M)"/>
    <s v="Other"/>
    <s v="65-74 years"/>
    <n v="255"/>
    <n v="241"/>
    <m/>
    <n v="61"/>
    <n v="13"/>
    <m/>
    <m/>
    <n v="14"/>
    <m/>
    <m/>
    <m/>
    <n v="87"/>
    <m/>
    <n v="0"/>
    <n v="0"/>
  </r>
  <r>
    <n v="2019"/>
    <n v="5"/>
    <s v="5/01/2019"/>
    <x v="4"/>
    <s v="Male (M)"/>
    <s v="Other"/>
    <s v="75-84 years"/>
    <n v="219"/>
    <n v="214"/>
    <m/>
    <n v="49"/>
    <n v="14"/>
    <m/>
    <m/>
    <n v="15"/>
    <m/>
    <m/>
    <m/>
    <n v="60"/>
    <n v="12"/>
    <n v="0"/>
    <n v="0"/>
  </r>
  <r>
    <n v="2019"/>
    <n v="5"/>
    <s v="5/01/2019"/>
    <x v="4"/>
    <s v="Male (M)"/>
    <s v="Other"/>
    <s v="85 years and over"/>
    <n v="118"/>
    <n v="115"/>
    <m/>
    <n v="16"/>
    <m/>
    <m/>
    <m/>
    <m/>
    <m/>
    <m/>
    <n v="0"/>
    <n v="40"/>
    <m/>
    <n v="0"/>
    <n v="0"/>
  </r>
  <r>
    <n v="2019"/>
    <n v="6"/>
    <s v="6/01/2019"/>
    <x v="5"/>
    <s v="Female (F)"/>
    <s v="Hispanic"/>
    <s v="0-4 years"/>
    <n v="200"/>
    <n v="171"/>
    <n v="0"/>
    <m/>
    <n v="0"/>
    <n v="0"/>
    <n v="0"/>
    <n v="0"/>
    <m/>
    <n v="0"/>
    <n v="17"/>
    <m/>
    <m/>
    <n v="0"/>
    <n v="0"/>
  </r>
  <r>
    <n v="2019"/>
    <n v="6"/>
    <s v="6/01/2019"/>
    <x v="5"/>
    <s v="Female (F)"/>
    <s v="Hispanic"/>
    <s v="15-24 years"/>
    <n v="136"/>
    <n v="57"/>
    <n v="0"/>
    <n v="12"/>
    <m/>
    <n v="0"/>
    <m/>
    <m/>
    <m/>
    <m/>
    <m/>
    <m/>
    <m/>
    <n v="0"/>
    <n v="0"/>
  </r>
  <r>
    <n v="2019"/>
    <n v="6"/>
    <s v="6/01/2019"/>
    <x v="5"/>
    <s v="Female (F)"/>
    <s v="Hispanic"/>
    <s v="25-34 years"/>
    <n v="188"/>
    <n v="96"/>
    <n v="0"/>
    <n v="33"/>
    <m/>
    <n v="0"/>
    <n v="0"/>
    <m/>
    <m/>
    <m/>
    <m/>
    <m/>
    <m/>
    <n v="0"/>
    <n v="0"/>
  </r>
  <r>
    <n v="2019"/>
    <n v="6"/>
    <s v="6/01/2019"/>
    <x v="5"/>
    <s v="Female (F)"/>
    <s v="Hispanic"/>
    <s v="35-44 years"/>
    <n v="318"/>
    <n v="244"/>
    <m/>
    <n v="100"/>
    <n v="10"/>
    <n v="0"/>
    <n v="0"/>
    <m/>
    <m/>
    <m/>
    <n v="0"/>
    <n v="34"/>
    <n v="14"/>
    <n v="0"/>
    <n v="0"/>
  </r>
  <r>
    <n v="2019"/>
    <n v="6"/>
    <s v="6/01/2019"/>
    <x v="5"/>
    <s v="Female (F)"/>
    <s v="Hispanic"/>
    <s v="45-54 years"/>
    <n v="519"/>
    <n v="464"/>
    <m/>
    <n v="193"/>
    <n v="22"/>
    <n v="0"/>
    <m/>
    <m/>
    <m/>
    <m/>
    <m/>
    <n v="55"/>
    <n v="29"/>
    <n v="0"/>
    <n v="0"/>
  </r>
  <r>
    <n v="2019"/>
    <n v="6"/>
    <s v="6/01/2019"/>
    <x v="5"/>
    <s v="Female (F)"/>
    <s v="Hispanic"/>
    <s v="5-14 years"/>
    <n v="52"/>
    <n v="27"/>
    <n v="0"/>
    <m/>
    <n v="0"/>
    <n v="0"/>
    <n v="0"/>
    <n v="0"/>
    <n v="0"/>
    <m/>
    <m/>
    <m/>
    <n v="0"/>
    <n v="0"/>
    <n v="0"/>
  </r>
  <r>
    <n v="2019"/>
    <n v="6"/>
    <s v="6/01/2019"/>
    <x v="5"/>
    <s v="Female (F)"/>
    <s v="Hispanic"/>
    <s v="55-64 years"/>
    <n v="902"/>
    <n v="843"/>
    <n v="14"/>
    <n v="340"/>
    <n v="55"/>
    <m/>
    <n v="10"/>
    <n v="15"/>
    <n v="10"/>
    <n v="22"/>
    <m/>
    <n v="132"/>
    <n v="31"/>
    <n v="0"/>
    <n v="0"/>
  </r>
  <r>
    <n v="2019"/>
    <n v="6"/>
    <s v="6/01/2019"/>
    <x v="5"/>
    <s v="Female (F)"/>
    <s v="Hispanic"/>
    <s v="65-74 years"/>
    <n v="1259"/>
    <n v="1217"/>
    <n v="16"/>
    <n v="395"/>
    <n v="94"/>
    <n v="26"/>
    <n v="15"/>
    <n v="31"/>
    <n v="28"/>
    <n v="36"/>
    <m/>
    <n v="254"/>
    <n v="55"/>
    <n v="0"/>
    <n v="0"/>
  </r>
  <r>
    <n v="2019"/>
    <n v="6"/>
    <s v="6/01/2019"/>
    <x v="5"/>
    <s v="Female (F)"/>
    <s v="Hispanic"/>
    <s v="75-84 years"/>
    <n v="1676"/>
    <n v="1642"/>
    <n v="20"/>
    <n v="365"/>
    <n v="102"/>
    <n v="110"/>
    <n v="30"/>
    <n v="63"/>
    <n v="37"/>
    <n v="53"/>
    <n v="14"/>
    <n v="376"/>
    <n v="131"/>
    <n v="0"/>
    <n v="0"/>
  </r>
  <r>
    <n v="2019"/>
    <n v="6"/>
    <s v="6/01/2019"/>
    <x v="5"/>
    <s v="Female (F)"/>
    <s v="Hispanic"/>
    <s v="85 years and over"/>
    <n v="2303"/>
    <n v="2247"/>
    <n v="25"/>
    <n v="266"/>
    <n v="78"/>
    <n v="300"/>
    <n v="50"/>
    <n v="86"/>
    <n v="51"/>
    <n v="45"/>
    <n v="16"/>
    <n v="604"/>
    <n v="222"/>
    <n v="0"/>
    <n v="0"/>
  </r>
  <r>
    <n v="2019"/>
    <n v="6"/>
    <s v="6/01/2019"/>
    <x v="5"/>
    <s v="Female (F)"/>
    <s v="Non-Hispanic American Indian or Alaska Native"/>
    <s v="0-4 years"/>
    <m/>
    <m/>
    <n v="0"/>
    <n v="0"/>
    <n v="0"/>
    <n v="0"/>
    <n v="0"/>
    <n v="0"/>
    <n v="0"/>
    <n v="0"/>
    <m/>
    <n v="0"/>
    <n v="0"/>
    <n v="0"/>
    <n v="0"/>
  </r>
  <r>
    <n v="2019"/>
    <n v="6"/>
    <s v="6/01/2019"/>
    <x v="5"/>
    <s v="Female (F)"/>
    <s v="Non-Hispanic American Indian or Alaska Native"/>
    <s v="15-24 years"/>
    <n v="24"/>
    <m/>
    <n v="0"/>
    <n v="0"/>
    <n v="0"/>
    <n v="0"/>
    <n v="0"/>
    <n v="0"/>
    <n v="0"/>
    <n v="0"/>
    <m/>
    <m/>
    <n v="0"/>
    <n v="0"/>
    <n v="0"/>
  </r>
  <r>
    <n v="2019"/>
    <n v="6"/>
    <s v="6/01/2019"/>
    <x v="5"/>
    <s v="Female (F)"/>
    <s v="Non-Hispanic American Indian or Alaska Native"/>
    <s v="25-34 years"/>
    <n v="32"/>
    <n v="11"/>
    <n v="0"/>
    <m/>
    <n v="0"/>
    <n v="0"/>
    <n v="0"/>
    <n v="0"/>
    <n v="0"/>
    <n v="0"/>
    <m/>
    <m/>
    <n v="0"/>
    <n v="0"/>
    <n v="0"/>
  </r>
  <r>
    <n v="2019"/>
    <n v="6"/>
    <s v="6/01/2019"/>
    <x v="5"/>
    <s v="Female (F)"/>
    <s v="Non-Hispanic American Indian or Alaska Native"/>
    <s v="35-44 years"/>
    <n v="44"/>
    <n v="27"/>
    <m/>
    <m/>
    <m/>
    <n v="0"/>
    <n v="0"/>
    <n v="0"/>
    <n v="0"/>
    <n v="0"/>
    <m/>
    <m/>
    <n v="0"/>
    <n v="0"/>
    <n v="0"/>
  </r>
  <r>
    <n v="2019"/>
    <n v="6"/>
    <s v="6/01/2019"/>
    <x v="5"/>
    <s v="Female (F)"/>
    <s v="Non-Hispanic American Indian or Alaska Native"/>
    <s v="45-54 years"/>
    <n v="60"/>
    <n v="49"/>
    <m/>
    <n v="16"/>
    <m/>
    <n v="0"/>
    <n v="0"/>
    <m/>
    <n v="0"/>
    <n v="0"/>
    <n v="0"/>
    <m/>
    <m/>
    <n v="0"/>
    <n v="0"/>
  </r>
  <r>
    <n v="2019"/>
    <n v="6"/>
    <s v="6/01/2019"/>
    <x v="5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6"/>
    <s v="6/01/2019"/>
    <x v="5"/>
    <s v="Female (F)"/>
    <s v="Non-Hispanic American Indian or Alaska Native"/>
    <s v="55-64 years"/>
    <n v="107"/>
    <n v="98"/>
    <m/>
    <n v="18"/>
    <m/>
    <n v="0"/>
    <n v="0"/>
    <m/>
    <m/>
    <m/>
    <m/>
    <n v="24"/>
    <m/>
    <n v="0"/>
    <n v="0"/>
  </r>
  <r>
    <n v="2019"/>
    <n v="6"/>
    <s v="6/01/2019"/>
    <x v="5"/>
    <s v="Female (F)"/>
    <s v="Non-Hispanic American Indian or Alaska Native"/>
    <s v="65-74 years"/>
    <n v="121"/>
    <n v="117"/>
    <m/>
    <n v="31"/>
    <m/>
    <n v="0"/>
    <m/>
    <n v="10"/>
    <m/>
    <m/>
    <m/>
    <n v="15"/>
    <m/>
    <n v="0"/>
    <n v="0"/>
  </r>
  <r>
    <n v="2019"/>
    <n v="6"/>
    <s v="6/01/2019"/>
    <x v="5"/>
    <s v="Female (F)"/>
    <s v="Non-Hispanic American Indian or Alaska Native"/>
    <s v="75-84 years"/>
    <n v="129"/>
    <n v="126"/>
    <m/>
    <n v="28"/>
    <m/>
    <m/>
    <m/>
    <m/>
    <m/>
    <m/>
    <m/>
    <n v="23"/>
    <m/>
    <n v="0"/>
    <n v="0"/>
  </r>
  <r>
    <n v="2019"/>
    <n v="6"/>
    <s v="6/01/2019"/>
    <x v="5"/>
    <s v="Female (F)"/>
    <s v="Non-Hispanic American Indian or Alaska Native"/>
    <s v="85 years and over"/>
    <n v="108"/>
    <n v="106"/>
    <m/>
    <m/>
    <m/>
    <m/>
    <m/>
    <m/>
    <m/>
    <m/>
    <m/>
    <n v="33"/>
    <n v="12"/>
    <n v="0"/>
    <n v="0"/>
  </r>
  <r>
    <n v="2019"/>
    <n v="6"/>
    <s v="6/01/2019"/>
    <x v="5"/>
    <s v="Female (F)"/>
    <s v="Non-Hispanic Asian"/>
    <s v="0-4 years"/>
    <n v="30"/>
    <n v="27"/>
    <m/>
    <n v="0"/>
    <n v="0"/>
    <n v="0"/>
    <n v="0"/>
    <n v="0"/>
    <n v="0"/>
    <n v="0"/>
    <m/>
    <m/>
    <n v="0"/>
    <n v="0"/>
    <n v="0"/>
  </r>
  <r>
    <n v="2019"/>
    <n v="6"/>
    <s v="6/01/2019"/>
    <x v="5"/>
    <s v="Female (F)"/>
    <s v="Non-Hispanic Asian"/>
    <s v="15-24 years"/>
    <n v="21"/>
    <m/>
    <m/>
    <m/>
    <n v="0"/>
    <n v="0"/>
    <n v="0"/>
    <n v="0"/>
    <n v="0"/>
    <n v="0"/>
    <n v="0"/>
    <n v="0"/>
    <m/>
    <n v="0"/>
    <n v="0"/>
  </r>
  <r>
    <n v="2019"/>
    <n v="6"/>
    <s v="6/01/2019"/>
    <x v="5"/>
    <s v="Female (F)"/>
    <s v="Non-Hispanic Asian"/>
    <s v="25-34 years"/>
    <n v="38"/>
    <n v="22"/>
    <n v="0"/>
    <n v="10"/>
    <n v="0"/>
    <n v="0"/>
    <n v="0"/>
    <m/>
    <n v="0"/>
    <n v="0"/>
    <n v="0"/>
    <m/>
    <m/>
    <n v="0"/>
    <n v="0"/>
  </r>
  <r>
    <n v="2019"/>
    <n v="6"/>
    <s v="6/01/2019"/>
    <x v="5"/>
    <s v="Female (F)"/>
    <s v="Non-Hispanic Asian"/>
    <s v="35-44 years"/>
    <n v="67"/>
    <n v="54"/>
    <m/>
    <n v="29"/>
    <m/>
    <n v="0"/>
    <m/>
    <m/>
    <m/>
    <n v="0"/>
    <n v="0"/>
    <m/>
    <m/>
    <n v="0"/>
    <n v="0"/>
  </r>
  <r>
    <n v="2019"/>
    <n v="6"/>
    <s v="6/01/2019"/>
    <x v="5"/>
    <s v="Female (F)"/>
    <s v="Non-Hispanic Asian"/>
    <s v="45-54 years"/>
    <n v="114"/>
    <n v="104"/>
    <n v="0"/>
    <n v="68"/>
    <m/>
    <n v="0"/>
    <m/>
    <n v="0"/>
    <m/>
    <n v="0"/>
    <m/>
    <m/>
    <m/>
    <n v="0"/>
    <n v="0"/>
  </r>
  <r>
    <n v="2019"/>
    <n v="6"/>
    <s v="6/01/2019"/>
    <x v="5"/>
    <s v="Female (F)"/>
    <s v="Non-Hispanic Asian"/>
    <s v="5-14 years"/>
    <m/>
    <m/>
    <m/>
    <m/>
    <n v="0"/>
    <n v="0"/>
    <n v="0"/>
    <n v="0"/>
    <n v="0"/>
    <n v="0"/>
    <n v="0"/>
    <m/>
    <n v="0"/>
    <n v="0"/>
    <n v="0"/>
  </r>
  <r>
    <n v="2019"/>
    <n v="6"/>
    <s v="6/01/2019"/>
    <x v="5"/>
    <s v="Female (F)"/>
    <s v="Non-Hispanic Asian"/>
    <s v="55-64 years"/>
    <n v="243"/>
    <n v="230"/>
    <m/>
    <n v="121"/>
    <m/>
    <m/>
    <m/>
    <n v="0"/>
    <m/>
    <m/>
    <m/>
    <n v="38"/>
    <n v="16"/>
    <n v="0"/>
    <n v="0"/>
  </r>
  <r>
    <n v="2019"/>
    <n v="6"/>
    <s v="6/01/2019"/>
    <x v="5"/>
    <s v="Female (F)"/>
    <s v="Non-Hispanic Asian"/>
    <s v="65-74 years"/>
    <n v="446"/>
    <n v="426"/>
    <m/>
    <n v="187"/>
    <n v="14"/>
    <m/>
    <m/>
    <m/>
    <m/>
    <n v="12"/>
    <n v="0"/>
    <n v="83"/>
    <n v="27"/>
    <n v="0"/>
    <n v="0"/>
  </r>
  <r>
    <n v="2019"/>
    <n v="6"/>
    <s v="6/01/2019"/>
    <x v="5"/>
    <s v="Female (F)"/>
    <s v="Non-Hispanic Asian"/>
    <s v="75-84 years"/>
    <n v="631"/>
    <n v="612"/>
    <m/>
    <n v="180"/>
    <n v="37"/>
    <n v="23"/>
    <n v="12"/>
    <n v="11"/>
    <m/>
    <n v="15"/>
    <m/>
    <n v="155"/>
    <n v="53"/>
    <n v="0"/>
    <n v="0"/>
  </r>
  <r>
    <n v="2019"/>
    <n v="6"/>
    <s v="6/01/2019"/>
    <x v="5"/>
    <s v="Female (F)"/>
    <s v="Non-Hispanic Asian"/>
    <s v="85 years and over"/>
    <n v="1144"/>
    <n v="1117"/>
    <n v="12"/>
    <n v="131"/>
    <n v="35"/>
    <n v="133"/>
    <n v="37"/>
    <n v="30"/>
    <n v="16"/>
    <n v="15"/>
    <n v="13"/>
    <n v="273"/>
    <n v="119"/>
    <n v="0"/>
    <n v="0"/>
  </r>
  <r>
    <n v="2019"/>
    <n v="6"/>
    <s v="6/01/2019"/>
    <x v="5"/>
    <s v="Female (F)"/>
    <s v="Non-Hispanic Black"/>
    <s v="0-4 years"/>
    <n v="254"/>
    <n v="217"/>
    <m/>
    <m/>
    <n v="0"/>
    <n v="0"/>
    <m/>
    <m/>
    <m/>
    <m/>
    <n v="38"/>
    <m/>
    <m/>
    <n v="0"/>
    <n v="0"/>
  </r>
  <r>
    <n v="2019"/>
    <n v="6"/>
    <s v="6/01/2019"/>
    <x v="5"/>
    <s v="Female (F)"/>
    <s v="Non-Hispanic Black"/>
    <s v="15-24 years"/>
    <n v="150"/>
    <n v="70"/>
    <m/>
    <n v="10"/>
    <m/>
    <n v="0"/>
    <m/>
    <m/>
    <m/>
    <m/>
    <m/>
    <m/>
    <n v="0"/>
    <n v="0"/>
    <n v="0"/>
  </r>
  <r>
    <n v="2019"/>
    <n v="6"/>
    <s v="6/01/2019"/>
    <x v="5"/>
    <s v="Female (F)"/>
    <s v="Non-Hispanic Black"/>
    <s v="25-34 years"/>
    <n v="311"/>
    <n v="186"/>
    <m/>
    <n v="28"/>
    <n v="11"/>
    <n v="0"/>
    <m/>
    <m/>
    <m/>
    <m/>
    <m/>
    <n v="30"/>
    <m/>
    <n v="0"/>
    <n v="0"/>
  </r>
  <r>
    <n v="2019"/>
    <n v="6"/>
    <s v="6/01/2019"/>
    <x v="5"/>
    <s v="Female (F)"/>
    <s v="Non-Hispanic Black"/>
    <s v="35-44 years"/>
    <n v="481"/>
    <n v="385"/>
    <m/>
    <n v="104"/>
    <n v="20"/>
    <n v="0"/>
    <m/>
    <m/>
    <m/>
    <n v="17"/>
    <m/>
    <n v="74"/>
    <n v="18"/>
    <n v="0"/>
    <n v="0"/>
  </r>
  <r>
    <n v="2019"/>
    <n v="6"/>
    <s v="6/01/2019"/>
    <x v="5"/>
    <s v="Female (F)"/>
    <s v="Non-Hispanic Black"/>
    <s v="45-54 years"/>
    <n v="1030"/>
    <n v="902"/>
    <n v="16"/>
    <n v="271"/>
    <n v="50"/>
    <m/>
    <n v="13"/>
    <n v="21"/>
    <n v="12"/>
    <n v="23"/>
    <n v="10"/>
    <n v="225"/>
    <n v="39"/>
    <n v="0"/>
    <n v="0"/>
  </r>
  <r>
    <n v="2019"/>
    <n v="6"/>
    <s v="6/01/2019"/>
    <x v="5"/>
    <s v="Female (F)"/>
    <s v="Non-Hispanic Black"/>
    <s v="5-14 years"/>
    <n v="44"/>
    <n v="23"/>
    <n v="0"/>
    <m/>
    <n v="0"/>
    <n v="0"/>
    <n v="0"/>
    <m/>
    <n v="0"/>
    <n v="0"/>
    <n v="0"/>
    <m/>
    <n v="0"/>
    <n v="0"/>
    <n v="0"/>
  </r>
  <r>
    <n v="2019"/>
    <n v="6"/>
    <s v="6/01/2019"/>
    <x v="5"/>
    <s v="Female (F)"/>
    <s v="Non-Hispanic Black"/>
    <s v="55-64 years"/>
    <n v="2202"/>
    <n v="2092"/>
    <n v="38"/>
    <n v="716"/>
    <n v="125"/>
    <m/>
    <n v="30"/>
    <n v="94"/>
    <n v="31"/>
    <n v="57"/>
    <n v="19"/>
    <n v="454"/>
    <n v="109"/>
    <n v="0"/>
    <n v="0"/>
  </r>
  <r>
    <n v="2019"/>
    <n v="6"/>
    <s v="6/01/2019"/>
    <x v="5"/>
    <s v="Female (F)"/>
    <s v="Non-Hispanic Black"/>
    <s v="65-74 years"/>
    <n v="2625"/>
    <n v="2547"/>
    <n v="63"/>
    <n v="793"/>
    <n v="135"/>
    <n v="35"/>
    <n v="40"/>
    <n v="109"/>
    <n v="43"/>
    <n v="87"/>
    <n v="20"/>
    <n v="601"/>
    <n v="172"/>
    <n v="0"/>
    <n v="0"/>
  </r>
  <r>
    <n v="2019"/>
    <n v="6"/>
    <s v="6/01/2019"/>
    <x v="5"/>
    <s v="Female (F)"/>
    <s v="Non-Hispanic Black"/>
    <s v="75-84 years"/>
    <n v="2741"/>
    <n v="2693"/>
    <n v="59"/>
    <n v="607"/>
    <n v="162"/>
    <n v="157"/>
    <n v="46"/>
    <n v="113"/>
    <n v="51"/>
    <n v="115"/>
    <n v="22"/>
    <n v="628"/>
    <n v="212"/>
    <n v="0"/>
    <n v="0"/>
  </r>
  <r>
    <n v="2019"/>
    <n v="6"/>
    <s v="6/01/2019"/>
    <x v="5"/>
    <s v="Female (F)"/>
    <s v="Non-Hispanic Black"/>
    <s v="85 years and over"/>
    <n v="3207"/>
    <n v="3167"/>
    <n v="54"/>
    <n v="376"/>
    <n v="86"/>
    <n v="303"/>
    <n v="55"/>
    <n v="91"/>
    <n v="29"/>
    <n v="95"/>
    <n v="31"/>
    <n v="890"/>
    <n v="304"/>
    <n v="0"/>
    <n v="0"/>
  </r>
  <r>
    <n v="2019"/>
    <n v="6"/>
    <s v="6/01/2019"/>
    <x v="5"/>
    <s v="Female (F)"/>
    <s v="Non-Hispanic White"/>
    <s v="0-4 years"/>
    <n v="370"/>
    <n v="306"/>
    <n v="0"/>
    <m/>
    <n v="0"/>
    <n v="0"/>
    <m/>
    <m/>
    <m/>
    <m/>
    <n v="31"/>
    <m/>
    <m/>
    <n v="0"/>
    <n v="0"/>
  </r>
  <r>
    <n v="2019"/>
    <n v="6"/>
    <s v="6/01/2019"/>
    <x v="5"/>
    <s v="Female (F)"/>
    <s v="Non-Hispanic White"/>
    <s v="15-24 years"/>
    <n v="378"/>
    <n v="108"/>
    <m/>
    <n v="16"/>
    <m/>
    <n v="0"/>
    <m/>
    <m/>
    <m/>
    <m/>
    <m/>
    <n v="10"/>
    <n v="0"/>
    <n v="0"/>
    <n v="0"/>
  </r>
  <r>
    <n v="2019"/>
    <n v="6"/>
    <s v="6/01/2019"/>
    <x v="5"/>
    <s v="Female (F)"/>
    <s v="Non-Hispanic White"/>
    <s v="25-34 years"/>
    <n v="915"/>
    <n v="379"/>
    <m/>
    <n v="81"/>
    <n v="17"/>
    <n v="0"/>
    <m/>
    <m/>
    <m/>
    <m/>
    <n v="24"/>
    <n v="42"/>
    <n v="13"/>
    <n v="0"/>
    <n v="0"/>
  </r>
  <r>
    <n v="2019"/>
    <n v="6"/>
    <s v="6/01/2019"/>
    <x v="5"/>
    <s v="Female (F)"/>
    <s v="Non-Hispanic White"/>
    <s v="35-44 years"/>
    <n v="1403"/>
    <n v="856"/>
    <n v="20"/>
    <n v="273"/>
    <n v="37"/>
    <n v="0"/>
    <n v="11"/>
    <n v="19"/>
    <n v="10"/>
    <m/>
    <n v="23"/>
    <n v="138"/>
    <n v="26"/>
    <n v="0"/>
    <n v="0"/>
  </r>
  <r>
    <n v="2019"/>
    <n v="6"/>
    <s v="6/01/2019"/>
    <x v="5"/>
    <s v="Female (F)"/>
    <s v="Non-Hispanic White"/>
    <s v="45-54 years"/>
    <n v="3073"/>
    <n v="2483"/>
    <n v="42"/>
    <n v="948"/>
    <n v="102"/>
    <m/>
    <n v="25"/>
    <n v="120"/>
    <n v="30"/>
    <n v="36"/>
    <n v="30"/>
    <n v="410"/>
    <n v="94"/>
    <n v="0"/>
    <n v="0"/>
  </r>
  <r>
    <n v="2019"/>
    <n v="6"/>
    <s v="6/01/2019"/>
    <x v="5"/>
    <s v="Female (F)"/>
    <s v="Non-Hispanic White"/>
    <s v="5-14 years"/>
    <n v="98"/>
    <n v="52"/>
    <m/>
    <n v="19"/>
    <m/>
    <n v="0"/>
    <n v="0"/>
    <n v="0"/>
    <m/>
    <n v="0"/>
    <n v="0"/>
    <m/>
    <m/>
    <n v="0"/>
    <n v="0"/>
  </r>
  <r>
    <n v="2019"/>
    <n v="6"/>
    <s v="6/01/2019"/>
    <x v="5"/>
    <s v="Female (F)"/>
    <s v="Non-Hispanic White"/>
    <s v="55-64 years"/>
    <n v="8082"/>
    <n v="7417"/>
    <n v="127"/>
    <n v="2982"/>
    <n v="234"/>
    <n v="47"/>
    <n v="105"/>
    <n v="613"/>
    <n v="107"/>
    <n v="97"/>
    <n v="55"/>
    <n v="1260"/>
    <n v="264"/>
    <n v="0"/>
    <n v="0"/>
  </r>
  <r>
    <n v="2019"/>
    <n v="6"/>
    <s v="6/01/2019"/>
    <x v="5"/>
    <s v="Female (F)"/>
    <s v="Non-Hispanic White"/>
    <s v="65-74 years"/>
    <n v="13986"/>
    <n v="13506"/>
    <n v="233"/>
    <n v="4739"/>
    <n v="440"/>
    <n v="289"/>
    <n v="160"/>
    <n v="1384"/>
    <n v="241"/>
    <n v="262"/>
    <n v="97"/>
    <n v="2498"/>
    <n v="559"/>
    <n v="0"/>
    <n v="0"/>
  </r>
  <r>
    <n v="2019"/>
    <n v="6"/>
    <s v="6/01/2019"/>
    <x v="5"/>
    <s v="Female (F)"/>
    <s v="Non-Hispanic White"/>
    <s v="75-84 years"/>
    <n v="20657"/>
    <n v="20036"/>
    <n v="292"/>
    <n v="4714"/>
    <n v="543"/>
    <n v="1276"/>
    <n v="284"/>
    <n v="1886"/>
    <n v="341"/>
    <n v="396"/>
    <n v="204"/>
    <n v="4327"/>
    <n v="1276"/>
    <n v="0"/>
    <n v="0"/>
  </r>
  <r>
    <n v="2019"/>
    <n v="6"/>
    <s v="6/01/2019"/>
    <x v="5"/>
    <s v="Female (F)"/>
    <s v="Non-Hispanic White"/>
    <s v="85 years and over"/>
    <n v="34767"/>
    <n v="33654"/>
    <n v="326"/>
    <n v="3530"/>
    <n v="532"/>
    <n v="3602"/>
    <n v="664"/>
    <n v="1888"/>
    <n v="464"/>
    <n v="546"/>
    <n v="529"/>
    <n v="9729"/>
    <n v="2723"/>
    <n v="0"/>
    <n v="0"/>
  </r>
  <r>
    <n v="2019"/>
    <n v="6"/>
    <s v="6/01/2019"/>
    <x v="5"/>
    <s v="Female (F)"/>
    <s v="Other"/>
    <s v="0-4 years"/>
    <n v="39"/>
    <n v="34"/>
    <n v="0"/>
    <m/>
    <n v="0"/>
    <n v="0"/>
    <n v="0"/>
    <n v="0"/>
    <n v="0"/>
    <n v="0"/>
    <m/>
    <m/>
    <n v="0"/>
    <n v="0"/>
    <n v="0"/>
  </r>
  <r>
    <n v="2019"/>
    <n v="6"/>
    <s v="6/01/2019"/>
    <x v="5"/>
    <s v="Female (F)"/>
    <s v="Other"/>
    <s v="15-24 years"/>
    <n v="21"/>
    <m/>
    <n v="0"/>
    <m/>
    <n v="0"/>
    <n v="0"/>
    <n v="0"/>
    <n v="0"/>
    <m/>
    <m/>
    <n v="0"/>
    <n v="0"/>
    <n v="0"/>
    <n v="0"/>
    <n v="0"/>
  </r>
  <r>
    <n v="2019"/>
    <n v="6"/>
    <s v="6/01/2019"/>
    <x v="5"/>
    <s v="Female (F)"/>
    <s v="Other"/>
    <s v="25-34 years"/>
    <n v="37"/>
    <n v="15"/>
    <n v="0"/>
    <m/>
    <m/>
    <n v="0"/>
    <n v="0"/>
    <n v="0"/>
    <n v="0"/>
    <n v="0"/>
    <n v="0"/>
    <m/>
    <m/>
    <n v="0"/>
    <n v="0"/>
  </r>
  <r>
    <n v="2019"/>
    <n v="6"/>
    <s v="6/01/2019"/>
    <x v="5"/>
    <s v="Female (F)"/>
    <s v="Other"/>
    <s v="35-44 years"/>
    <n v="36"/>
    <n v="26"/>
    <n v="0"/>
    <m/>
    <m/>
    <n v="0"/>
    <n v="0"/>
    <m/>
    <m/>
    <m/>
    <n v="0"/>
    <m/>
    <m/>
    <n v="0"/>
    <n v="0"/>
  </r>
  <r>
    <n v="2019"/>
    <n v="6"/>
    <s v="6/01/2019"/>
    <x v="5"/>
    <s v="Female (F)"/>
    <s v="Other"/>
    <s v="45-54 years"/>
    <n v="65"/>
    <n v="54"/>
    <m/>
    <n v="13"/>
    <m/>
    <n v="0"/>
    <n v="0"/>
    <m/>
    <n v="0"/>
    <m/>
    <m/>
    <n v="12"/>
    <m/>
    <n v="0"/>
    <n v="0"/>
  </r>
  <r>
    <n v="2019"/>
    <n v="6"/>
    <s v="6/01/2019"/>
    <x v="5"/>
    <s v="Female (F)"/>
    <s v="Other"/>
    <s v="5-14 years"/>
    <m/>
    <m/>
    <n v="0"/>
    <m/>
    <n v="0"/>
    <n v="0"/>
    <n v="0"/>
    <n v="0"/>
    <m/>
    <n v="0"/>
    <n v="0"/>
    <n v="0"/>
    <m/>
    <n v="0"/>
    <n v="0"/>
  </r>
  <r>
    <n v="2019"/>
    <n v="6"/>
    <s v="6/01/2019"/>
    <x v="5"/>
    <s v="Female (F)"/>
    <s v="Other"/>
    <s v="55-64 years"/>
    <n v="127"/>
    <n v="113"/>
    <m/>
    <n v="36"/>
    <n v="12"/>
    <m/>
    <m/>
    <m/>
    <m/>
    <m/>
    <m/>
    <n v="24"/>
    <m/>
    <n v="0"/>
    <n v="0"/>
  </r>
  <r>
    <n v="2019"/>
    <n v="6"/>
    <s v="6/01/2019"/>
    <x v="5"/>
    <s v="Female (F)"/>
    <s v="Other"/>
    <s v="65-74 years"/>
    <n v="158"/>
    <n v="152"/>
    <m/>
    <n v="44"/>
    <m/>
    <m/>
    <m/>
    <n v="13"/>
    <n v="0"/>
    <m/>
    <n v="0"/>
    <n v="44"/>
    <m/>
    <n v="0"/>
    <n v="0"/>
  </r>
  <r>
    <n v="2019"/>
    <n v="6"/>
    <s v="6/01/2019"/>
    <x v="5"/>
    <s v="Female (F)"/>
    <s v="Other"/>
    <s v="75-84 years"/>
    <n v="143"/>
    <n v="138"/>
    <m/>
    <n v="34"/>
    <m/>
    <m/>
    <m/>
    <m/>
    <m/>
    <m/>
    <n v="0"/>
    <n v="31"/>
    <n v="13"/>
    <n v="0"/>
    <n v="0"/>
  </r>
  <r>
    <n v="2019"/>
    <n v="6"/>
    <s v="6/01/2019"/>
    <x v="5"/>
    <s v="Female (F)"/>
    <s v="Other"/>
    <s v="85 years and over"/>
    <n v="160"/>
    <n v="156"/>
    <m/>
    <n v="18"/>
    <m/>
    <n v="14"/>
    <m/>
    <m/>
    <m/>
    <m/>
    <m/>
    <n v="45"/>
    <n v="22"/>
    <n v="0"/>
    <n v="0"/>
  </r>
  <r>
    <n v="2019"/>
    <n v="6"/>
    <s v="6/01/2019"/>
    <x v="5"/>
    <s v="Male (M)"/>
    <s v="Hispanic"/>
    <s v="0-4 years"/>
    <n v="261"/>
    <n v="219"/>
    <n v="0"/>
    <m/>
    <n v="0"/>
    <n v="0"/>
    <n v="0"/>
    <n v="0"/>
    <m/>
    <m/>
    <n v="19"/>
    <m/>
    <m/>
    <n v="0"/>
    <n v="0"/>
  </r>
  <r>
    <n v="2019"/>
    <n v="6"/>
    <s v="6/01/2019"/>
    <x v="5"/>
    <s v="Male (M)"/>
    <s v="Hispanic"/>
    <s v="15-24 years"/>
    <n v="414"/>
    <n v="78"/>
    <m/>
    <n v="19"/>
    <m/>
    <n v="0"/>
    <m/>
    <m/>
    <m/>
    <m/>
    <n v="11"/>
    <m/>
    <m/>
    <n v="0"/>
    <n v="0"/>
  </r>
  <r>
    <n v="2019"/>
    <n v="6"/>
    <s v="6/01/2019"/>
    <x v="5"/>
    <s v="Male (M)"/>
    <s v="Hispanic"/>
    <s v="25-34 years"/>
    <n v="601"/>
    <n v="156"/>
    <m/>
    <n v="36"/>
    <m/>
    <n v="0"/>
    <m/>
    <m/>
    <m/>
    <m/>
    <n v="11"/>
    <n v="26"/>
    <m/>
    <n v="0"/>
    <n v="0"/>
  </r>
  <r>
    <n v="2019"/>
    <n v="6"/>
    <s v="6/01/2019"/>
    <x v="5"/>
    <s v="Male (M)"/>
    <s v="Hispanic"/>
    <s v="35-44 years"/>
    <n v="721"/>
    <n v="346"/>
    <m/>
    <n v="71"/>
    <n v="17"/>
    <m/>
    <m/>
    <m/>
    <m/>
    <m/>
    <n v="10"/>
    <n v="69"/>
    <n v="22"/>
    <n v="0"/>
    <n v="0"/>
  </r>
  <r>
    <n v="2019"/>
    <n v="6"/>
    <s v="6/01/2019"/>
    <x v="5"/>
    <s v="Male (M)"/>
    <s v="Hispanic"/>
    <s v="45-54 years"/>
    <n v="1045"/>
    <n v="777"/>
    <n v="13"/>
    <n v="178"/>
    <n v="50"/>
    <m/>
    <n v="12"/>
    <m/>
    <n v="17"/>
    <m/>
    <n v="13"/>
    <n v="178"/>
    <n v="41"/>
    <n v="0"/>
    <n v="0"/>
  </r>
  <r>
    <n v="2019"/>
    <n v="6"/>
    <s v="6/01/2019"/>
    <x v="5"/>
    <s v="Male (M)"/>
    <s v="Hispanic"/>
    <s v="5-14 years"/>
    <n v="49"/>
    <n v="23"/>
    <n v="0"/>
    <n v="11"/>
    <n v="0"/>
    <n v="0"/>
    <m/>
    <n v="0"/>
    <n v="0"/>
    <n v="0"/>
    <n v="0"/>
    <m/>
    <n v="0"/>
    <n v="0"/>
    <n v="0"/>
  </r>
  <r>
    <n v="2019"/>
    <n v="6"/>
    <s v="6/01/2019"/>
    <x v="5"/>
    <s v="Male (M)"/>
    <s v="Hispanic"/>
    <s v="55-64 years"/>
    <n v="1634"/>
    <n v="1425"/>
    <n v="21"/>
    <n v="392"/>
    <n v="98"/>
    <m/>
    <n v="15"/>
    <n v="29"/>
    <n v="26"/>
    <n v="34"/>
    <n v="13"/>
    <n v="342"/>
    <n v="82"/>
    <n v="0"/>
    <n v="0"/>
  </r>
  <r>
    <n v="2019"/>
    <n v="6"/>
    <s v="6/01/2019"/>
    <x v="5"/>
    <s v="Male (M)"/>
    <s v="Hispanic"/>
    <s v="65-74 years"/>
    <n v="1710"/>
    <n v="1622"/>
    <n v="23"/>
    <n v="515"/>
    <n v="118"/>
    <n v="17"/>
    <n v="27"/>
    <n v="47"/>
    <n v="34"/>
    <n v="47"/>
    <n v="11"/>
    <n v="403"/>
    <n v="73"/>
    <n v="0"/>
    <n v="0"/>
  </r>
  <r>
    <n v="2019"/>
    <n v="6"/>
    <s v="6/01/2019"/>
    <x v="5"/>
    <s v="Male (M)"/>
    <s v="Hispanic"/>
    <s v="75-84 years"/>
    <n v="1656"/>
    <n v="1603"/>
    <n v="15"/>
    <n v="440"/>
    <n v="80"/>
    <n v="62"/>
    <n v="34"/>
    <n v="71"/>
    <n v="38"/>
    <n v="51"/>
    <m/>
    <n v="375"/>
    <n v="108"/>
    <n v="0"/>
    <n v="0"/>
  </r>
  <r>
    <n v="2019"/>
    <n v="6"/>
    <s v="6/01/2019"/>
    <x v="5"/>
    <s v="Male (M)"/>
    <s v="Hispanic"/>
    <s v="85 years and over"/>
    <n v="1486"/>
    <n v="1452"/>
    <n v="17"/>
    <n v="225"/>
    <n v="50"/>
    <n v="108"/>
    <n v="29"/>
    <n v="80"/>
    <n v="32"/>
    <n v="39"/>
    <n v="10"/>
    <n v="428"/>
    <n v="93"/>
    <n v="0"/>
    <n v="0"/>
  </r>
  <r>
    <n v="2019"/>
    <n v="6"/>
    <s v="6/01/2019"/>
    <x v="5"/>
    <s v="Male (M)"/>
    <s v="Non-Hispanic American Indian or Alaska Native"/>
    <s v="0-4 years"/>
    <n v="15"/>
    <n v="12"/>
    <n v="0"/>
    <m/>
    <n v="0"/>
    <n v="0"/>
    <n v="0"/>
    <n v="0"/>
    <n v="0"/>
    <n v="0"/>
    <m/>
    <m/>
    <n v="0"/>
    <n v="0"/>
    <n v="0"/>
  </r>
  <r>
    <n v="2019"/>
    <n v="6"/>
    <s v="6/01/2019"/>
    <x v="5"/>
    <s v="Male (M)"/>
    <s v="Non-Hispanic American Indian or Alaska Native"/>
    <s v="15-24 years"/>
    <n v="23"/>
    <m/>
    <n v="0"/>
    <m/>
    <n v="0"/>
    <n v="0"/>
    <n v="0"/>
    <n v="0"/>
    <n v="0"/>
    <n v="0"/>
    <n v="0"/>
    <n v="0"/>
    <n v="0"/>
    <n v="0"/>
    <n v="0"/>
  </r>
  <r>
    <n v="2019"/>
    <n v="6"/>
    <s v="6/01/2019"/>
    <x v="5"/>
    <s v="Male (M)"/>
    <s v="Non-Hispanic American Indian or Alaska Native"/>
    <s v="25-34 years"/>
    <n v="57"/>
    <n v="16"/>
    <n v="0"/>
    <n v="0"/>
    <m/>
    <n v="0"/>
    <n v="0"/>
    <n v="0"/>
    <n v="0"/>
    <n v="0"/>
    <n v="0"/>
    <m/>
    <n v="0"/>
    <n v="0"/>
    <n v="0"/>
  </r>
  <r>
    <n v="2019"/>
    <n v="6"/>
    <s v="6/01/2019"/>
    <x v="5"/>
    <s v="Male (M)"/>
    <s v="Non-Hispanic American Indian or Alaska Native"/>
    <s v="35-44 years"/>
    <n v="73"/>
    <n v="35"/>
    <m/>
    <m/>
    <m/>
    <n v="0"/>
    <n v="0"/>
    <n v="0"/>
    <n v="0"/>
    <n v="0"/>
    <m/>
    <m/>
    <m/>
    <n v="0"/>
    <n v="0"/>
  </r>
  <r>
    <n v="2019"/>
    <n v="6"/>
    <s v="6/01/2019"/>
    <x v="5"/>
    <s v="Male (M)"/>
    <s v="Non-Hispanic American Indian or Alaska Native"/>
    <s v="45-54 years"/>
    <n v="94"/>
    <n v="69"/>
    <m/>
    <n v="10"/>
    <m/>
    <n v="0"/>
    <m/>
    <m/>
    <m/>
    <m/>
    <n v="0"/>
    <n v="22"/>
    <m/>
    <n v="0"/>
    <n v="0"/>
  </r>
  <r>
    <n v="2019"/>
    <n v="6"/>
    <s v="6/01/2019"/>
    <x v="5"/>
    <s v="Male (M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19"/>
    <n v="6"/>
    <s v="6/01/2019"/>
    <x v="5"/>
    <s v="Male (M)"/>
    <s v="Non-Hispanic American Indian or Alaska Native"/>
    <s v="55-64 years"/>
    <n v="142"/>
    <n v="125"/>
    <n v="0"/>
    <n v="32"/>
    <n v="10"/>
    <n v="0"/>
    <m/>
    <m/>
    <m/>
    <m/>
    <n v="0"/>
    <n v="31"/>
    <m/>
    <n v="0"/>
    <n v="0"/>
  </r>
  <r>
    <n v="2019"/>
    <n v="6"/>
    <s v="6/01/2019"/>
    <x v="5"/>
    <s v="Male (M)"/>
    <s v="Non-Hispanic American Indian or Alaska Native"/>
    <s v="65-74 years"/>
    <n v="169"/>
    <n v="155"/>
    <m/>
    <n v="51"/>
    <n v="10"/>
    <m/>
    <m/>
    <m/>
    <m/>
    <m/>
    <m/>
    <n v="36"/>
    <m/>
    <n v="0"/>
    <n v="0"/>
  </r>
  <r>
    <n v="2019"/>
    <n v="6"/>
    <s v="6/01/2019"/>
    <x v="5"/>
    <s v="Male (M)"/>
    <s v="Non-Hispanic American Indian or Alaska Native"/>
    <s v="75-84 years"/>
    <n v="132"/>
    <n v="127"/>
    <m/>
    <n v="24"/>
    <m/>
    <m/>
    <m/>
    <n v="13"/>
    <m/>
    <m/>
    <n v="0"/>
    <n v="28"/>
    <m/>
    <n v="0"/>
    <n v="0"/>
  </r>
  <r>
    <n v="2019"/>
    <n v="6"/>
    <s v="6/01/2019"/>
    <x v="5"/>
    <s v="Male (M)"/>
    <s v="Non-Hispanic American Indian or Alaska Native"/>
    <s v="85 years and over"/>
    <n v="51"/>
    <n v="46"/>
    <m/>
    <m/>
    <m/>
    <m/>
    <m/>
    <m/>
    <m/>
    <m/>
    <n v="0"/>
    <n v="12"/>
    <m/>
    <n v="0"/>
    <n v="0"/>
  </r>
  <r>
    <n v="2019"/>
    <n v="6"/>
    <s v="6/01/2019"/>
    <x v="5"/>
    <s v="Male (M)"/>
    <s v="Non-Hispanic Asian"/>
    <s v="0-4 years"/>
    <n v="33"/>
    <n v="31"/>
    <m/>
    <n v="0"/>
    <n v="0"/>
    <n v="0"/>
    <n v="0"/>
    <n v="0"/>
    <m/>
    <n v="0"/>
    <n v="0"/>
    <n v="0"/>
    <m/>
    <n v="0"/>
    <n v="0"/>
  </r>
  <r>
    <n v="2019"/>
    <n v="6"/>
    <s v="6/01/2019"/>
    <x v="5"/>
    <s v="Male (M)"/>
    <s v="Non-Hispanic Asian"/>
    <s v="15-24 years"/>
    <n v="38"/>
    <m/>
    <n v="0"/>
    <m/>
    <n v="0"/>
    <n v="0"/>
    <n v="0"/>
    <n v="0"/>
    <n v="0"/>
    <n v="0"/>
    <m/>
    <n v="0"/>
    <n v="0"/>
    <n v="0"/>
    <n v="0"/>
  </r>
  <r>
    <n v="2019"/>
    <n v="6"/>
    <s v="6/01/2019"/>
    <x v="5"/>
    <s v="Male (M)"/>
    <s v="Non-Hispanic Asian"/>
    <s v="25-34 years"/>
    <n v="82"/>
    <n v="33"/>
    <n v="0"/>
    <m/>
    <m/>
    <n v="0"/>
    <n v="0"/>
    <n v="0"/>
    <n v="0"/>
    <m/>
    <m/>
    <m/>
    <m/>
    <n v="0"/>
    <n v="0"/>
  </r>
  <r>
    <n v="2019"/>
    <n v="6"/>
    <s v="6/01/2019"/>
    <x v="5"/>
    <s v="Male (M)"/>
    <s v="Non-Hispanic Asian"/>
    <s v="35-44 years"/>
    <n v="111"/>
    <n v="70"/>
    <n v="0"/>
    <n v="17"/>
    <m/>
    <n v="0"/>
    <m/>
    <n v="0"/>
    <n v="0"/>
    <m/>
    <m/>
    <n v="15"/>
    <m/>
    <n v="0"/>
    <n v="0"/>
  </r>
  <r>
    <n v="2019"/>
    <n v="6"/>
    <s v="6/01/2019"/>
    <x v="5"/>
    <s v="Male (M)"/>
    <s v="Non-Hispanic Asian"/>
    <s v="45-54 years"/>
    <n v="208"/>
    <n v="167"/>
    <m/>
    <n v="64"/>
    <m/>
    <n v="0"/>
    <m/>
    <m/>
    <n v="0"/>
    <m/>
    <m/>
    <n v="44"/>
    <n v="16"/>
    <n v="0"/>
    <n v="0"/>
  </r>
  <r>
    <n v="2019"/>
    <n v="6"/>
    <s v="6/01/2019"/>
    <x v="5"/>
    <s v="Male (M)"/>
    <s v="Non-Hispanic Asian"/>
    <s v="5-14 years"/>
    <n v="12"/>
    <m/>
    <n v="0"/>
    <m/>
    <n v="0"/>
    <n v="0"/>
    <n v="0"/>
    <n v="0"/>
    <n v="0"/>
    <n v="0"/>
    <n v="0"/>
    <n v="0"/>
    <n v="0"/>
    <n v="0"/>
    <n v="0"/>
  </r>
  <r>
    <n v="2019"/>
    <n v="6"/>
    <s v="6/01/2019"/>
    <x v="5"/>
    <s v="Male (M)"/>
    <s v="Non-Hispanic Asian"/>
    <s v="55-64 years"/>
    <n v="380"/>
    <n v="342"/>
    <m/>
    <n v="132"/>
    <n v="16"/>
    <m/>
    <m/>
    <m/>
    <m/>
    <m/>
    <m/>
    <n v="95"/>
    <n v="24"/>
    <n v="0"/>
    <n v="0"/>
  </r>
  <r>
    <n v="2019"/>
    <n v="6"/>
    <s v="6/01/2019"/>
    <x v="5"/>
    <s v="Male (M)"/>
    <s v="Non-Hispanic Asian"/>
    <s v="65-74 years"/>
    <n v="601"/>
    <n v="568"/>
    <m/>
    <n v="195"/>
    <n v="34"/>
    <m/>
    <m/>
    <n v="13"/>
    <n v="10"/>
    <n v="13"/>
    <m/>
    <n v="147"/>
    <n v="45"/>
    <n v="0"/>
    <n v="0"/>
  </r>
  <r>
    <n v="2019"/>
    <n v="6"/>
    <s v="6/01/2019"/>
    <x v="5"/>
    <s v="Male (M)"/>
    <s v="Non-Hispanic Asian"/>
    <s v="75-84 years"/>
    <n v="701"/>
    <n v="675"/>
    <m/>
    <n v="167"/>
    <n v="29"/>
    <n v="14"/>
    <n v="11"/>
    <n v="40"/>
    <n v="15"/>
    <n v="21"/>
    <n v="0"/>
    <n v="181"/>
    <n v="47"/>
    <n v="0"/>
    <n v="0"/>
  </r>
  <r>
    <n v="2019"/>
    <n v="6"/>
    <s v="6/01/2019"/>
    <x v="5"/>
    <s v="Male (M)"/>
    <s v="Non-Hispanic Asian"/>
    <s v="85 years and over"/>
    <n v="675"/>
    <n v="649"/>
    <m/>
    <n v="108"/>
    <n v="25"/>
    <n v="41"/>
    <n v="31"/>
    <n v="26"/>
    <n v="14"/>
    <n v="12"/>
    <m/>
    <n v="185"/>
    <n v="47"/>
    <n v="0"/>
    <n v="0"/>
  </r>
  <r>
    <n v="2019"/>
    <n v="6"/>
    <s v="6/01/2019"/>
    <x v="5"/>
    <s v="Male (M)"/>
    <s v="Non-Hispanic Black"/>
    <s v="0-4 years"/>
    <n v="344"/>
    <n v="298"/>
    <m/>
    <m/>
    <n v="0"/>
    <n v="0"/>
    <m/>
    <n v="0"/>
    <m/>
    <m/>
    <n v="48"/>
    <m/>
    <m/>
    <n v="0"/>
    <n v="0"/>
  </r>
  <r>
    <n v="2019"/>
    <n v="6"/>
    <s v="6/01/2019"/>
    <x v="5"/>
    <s v="Male (M)"/>
    <s v="Non-Hispanic Black"/>
    <s v="15-24 years"/>
    <n v="471"/>
    <n v="74"/>
    <m/>
    <n v="10"/>
    <m/>
    <n v="0"/>
    <m/>
    <m/>
    <m/>
    <n v="0"/>
    <m/>
    <n v="12"/>
    <m/>
    <n v="0"/>
    <n v="0"/>
  </r>
  <r>
    <n v="2019"/>
    <n v="6"/>
    <s v="6/01/2019"/>
    <x v="5"/>
    <s v="Male (M)"/>
    <s v="Non-Hispanic Black"/>
    <s v="25-34 years"/>
    <n v="789"/>
    <n v="228"/>
    <m/>
    <n v="17"/>
    <n v="12"/>
    <n v="0"/>
    <m/>
    <n v="12"/>
    <m/>
    <m/>
    <n v="16"/>
    <n v="58"/>
    <m/>
    <n v="0"/>
    <n v="0"/>
  </r>
  <r>
    <n v="2019"/>
    <n v="6"/>
    <s v="6/01/2019"/>
    <x v="5"/>
    <s v="Male (M)"/>
    <s v="Non-Hispanic Black"/>
    <s v="35-44 years"/>
    <n v="837"/>
    <n v="428"/>
    <m/>
    <n v="57"/>
    <n v="19"/>
    <n v="0"/>
    <m/>
    <m/>
    <m/>
    <m/>
    <n v="12"/>
    <n v="158"/>
    <n v="21"/>
    <n v="0"/>
    <n v="0"/>
  </r>
  <r>
    <n v="2019"/>
    <n v="6"/>
    <s v="6/01/2019"/>
    <x v="5"/>
    <s v="Male (M)"/>
    <s v="Non-Hispanic Black"/>
    <s v="45-54 years"/>
    <n v="1476"/>
    <n v="1138"/>
    <n v="23"/>
    <n v="200"/>
    <n v="72"/>
    <n v="0"/>
    <n v="15"/>
    <n v="17"/>
    <n v="11"/>
    <n v="35"/>
    <n v="13"/>
    <n v="406"/>
    <n v="66"/>
    <n v="0"/>
    <n v="0"/>
  </r>
  <r>
    <n v="2019"/>
    <n v="6"/>
    <s v="6/01/2019"/>
    <x v="5"/>
    <s v="Male (M)"/>
    <s v="Non-Hispanic Black"/>
    <s v="5-14 years"/>
    <n v="69"/>
    <n v="27"/>
    <m/>
    <n v="10"/>
    <n v="0"/>
    <n v="0"/>
    <n v="0"/>
    <m/>
    <m/>
    <n v="0"/>
    <n v="0"/>
    <m/>
    <n v="0"/>
    <n v="0"/>
    <n v="0"/>
  </r>
  <r>
    <n v="2019"/>
    <n v="6"/>
    <s v="6/01/2019"/>
    <x v="5"/>
    <s v="Male (M)"/>
    <s v="Non-Hispanic Black"/>
    <s v="55-64 years"/>
    <n v="2982"/>
    <n v="2662"/>
    <n v="49"/>
    <n v="786"/>
    <n v="140"/>
    <m/>
    <n v="44"/>
    <n v="73"/>
    <n v="24"/>
    <n v="60"/>
    <n v="33"/>
    <n v="786"/>
    <n v="144"/>
    <n v="0"/>
    <n v="0"/>
  </r>
  <r>
    <n v="2019"/>
    <n v="6"/>
    <s v="6/01/2019"/>
    <x v="5"/>
    <s v="Male (M)"/>
    <s v="Non-Hispanic Black"/>
    <s v="65-74 years"/>
    <n v="3454"/>
    <n v="3288"/>
    <n v="79"/>
    <n v="934"/>
    <n v="178"/>
    <n v="25"/>
    <n v="52"/>
    <n v="142"/>
    <n v="41"/>
    <n v="91"/>
    <n v="22"/>
    <n v="941"/>
    <n v="189"/>
    <n v="0"/>
    <n v="0"/>
  </r>
  <r>
    <n v="2019"/>
    <n v="6"/>
    <s v="6/01/2019"/>
    <x v="5"/>
    <s v="Male (M)"/>
    <s v="Non-Hispanic Black"/>
    <s v="75-84 years"/>
    <n v="2562"/>
    <n v="2506"/>
    <n v="56"/>
    <n v="645"/>
    <n v="123"/>
    <n v="85"/>
    <n v="36"/>
    <n v="115"/>
    <n v="40"/>
    <n v="88"/>
    <n v="19"/>
    <n v="640"/>
    <n v="176"/>
    <n v="0"/>
    <n v="0"/>
  </r>
  <r>
    <n v="2019"/>
    <n v="6"/>
    <s v="6/01/2019"/>
    <x v="5"/>
    <s v="Male (M)"/>
    <s v="Non-Hispanic Black"/>
    <s v="85 years and over"/>
    <n v="1563"/>
    <n v="1522"/>
    <n v="28"/>
    <n v="290"/>
    <n v="47"/>
    <n v="93"/>
    <n v="34"/>
    <n v="53"/>
    <n v="14"/>
    <n v="49"/>
    <n v="15"/>
    <n v="419"/>
    <n v="111"/>
    <n v="0"/>
    <n v="0"/>
  </r>
  <r>
    <n v="2019"/>
    <n v="6"/>
    <s v="6/01/2019"/>
    <x v="5"/>
    <s v="Male (M)"/>
    <s v="Non-Hispanic White"/>
    <s v="0-4 years"/>
    <n v="526"/>
    <n v="431"/>
    <m/>
    <n v="10"/>
    <n v="0"/>
    <n v="0"/>
    <m/>
    <n v="0"/>
    <m/>
    <m/>
    <n v="54"/>
    <n v="11"/>
    <m/>
    <n v="0"/>
    <n v="0"/>
  </r>
  <r>
    <n v="2019"/>
    <n v="6"/>
    <s v="6/01/2019"/>
    <x v="5"/>
    <s v="Male (M)"/>
    <s v="Non-Hispanic White"/>
    <s v="15-24 years"/>
    <n v="879"/>
    <n v="156"/>
    <m/>
    <n v="39"/>
    <m/>
    <n v="0"/>
    <m/>
    <m/>
    <m/>
    <m/>
    <m/>
    <n v="19"/>
    <m/>
    <n v="0"/>
    <n v="0"/>
  </r>
  <r>
    <n v="2019"/>
    <n v="6"/>
    <s v="6/01/2019"/>
    <x v="5"/>
    <s v="Male (M)"/>
    <s v="Non-Hispanic White"/>
    <s v="25-34 years"/>
    <n v="1932"/>
    <n v="466"/>
    <n v="13"/>
    <n v="73"/>
    <n v="24"/>
    <n v="0"/>
    <m/>
    <m/>
    <m/>
    <m/>
    <n v="31"/>
    <n v="90"/>
    <m/>
    <n v="0"/>
    <n v="0"/>
  </r>
  <r>
    <n v="2019"/>
    <n v="6"/>
    <s v="6/01/2019"/>
    <x v="5"/>
    <s v="Male (M)"/>
    <s v="Non-Hispanic White"/>
    <s v="35-44 years"/>
    <n v="2676"/>
    <n v="1218"/>
    <n v="18"/>
    <n v="236"/>
    <n v="43"/>
    <n v="0"/>
    <n v="15"/>
    <m/>
    <n v="15"/>
    <n v="16"/>
    <n v="38"/>
    <n v="312"/>
    <n v="40"/>
    <n v="0"/>
    <n v="0"/>
  </r>
  <r>
    <n v="2019"/>
    <n v="6"/>
    <s v="6/01/2019"/>
    <x v="5"/>
    <s v="Male (M)"/>
    <s v="Non-Hispanic White"/>
    <s v="45-54 years"/>
    <n v="5228"/>
    <n v="3720"/>
    <n v="46"/>
    <n v="937"/>
    <n v="173"/>
    <m/>
    <n v="38"/>
    <n v="115"/>
    <n v="45"/>
    <n v="57"/>
    <n v="47"/>
    <n v="1117"/>
    <n v="98"/>
    <n v="0"/>
    <n v="0"/>
  </r>
  <r>
    <n v="2019"/>
    <n v="6"/>
    <s v="6/01/2019"/>
    <x v="5"/>
    <s v="Male (M)"/>
    <s v="Non-Hispanic White"/>
    <s v="5-14 years"/>
    <n v="142"/>
    <n v="62"/>
    <m/>
    <n v="21"/>
    <n v="0"/>
    <n v="0"/>
    <n v="0"/>
    <m/>
    <m/>
    <n v="0"/>
    <m/>
    <m/>
    <m/>
    <n v="0"/>
    <n v="0"/>
  </r>
  <r>
    <n v="2019"/>
    <n v="6"/>
    <s v="6/01/2019"/>
    <x v="5"/>
    <s v="Male (M)"/>
    <s v="Non-Hispanic White"/>
    <s v="55-64 years"/>
    <n v="12989"/>
    <n v="11327"/>
    <n v="122"/>
    <n v="3620"/>
    <n v="464"/>
    <n v="39"/>
    <n v="113"/>
    <n v="559"/>
    <n v="161"/>
    <n v="148"/>
    <n v="124"/>
    <n v="3118"/>
    <n v="346"/>
    <n v="0"/>
    <n v="0"/>
  </r>
  <r>
    <n v="2019"/>
    <n v="6"/>
    <s v="6/01/2019"/>
    <x v="5"/>
    <s v="Male (M)"/>
    <s v="Non-Hispanic White"/>
    <s v="65-74 years"/>
    <n v="19394"/>
    <n v="18309"/>
    <n v="258"/>
    <n v="5882"/>
    <n v="731"/>
    <n v="203"/>
    <n v="233"/>
    <n v="1365"/>
    <n v="371"/>
    <n v="296"/>
    <n v="129"/>
    <n v="4787"/>
    <n v="672"/>
    <n v="0"/>
    <n v="0"/>
  </r>
  <r>
    <n v="2019"/>
    <n v="6"/>
    <s v="6/01/2019"/>
    <x v="5"/>
    <s v="Male (M)"/>
    <s v="Non-Hispanic White"/>
    <s v="75-84 years"/>
    <n v="22615"/>
    <n v="21652"/>
    <n v="326"/>
    <n v="5697"/>
    <n v="712"/>
    <n v="793"/>
    <n v="367"/>
    <n v="1650"/>
    <n v="481"/>
    <n v="430"/>
    <n v="169"/>
    <n v="5532"/>
    <n v="1098"/>
    <n v="0"/>
    <n v="0"/>
  </r>
  <r>
    <n v="2019"/>
    <n v="6"/>
    <s v="6/01/2019"/>
    <x v="5"/>
    <s v="Male (M)"/>
    <s v="Non-Hispanic White"/>
    <s v="85 years and over"/>
    <n v="22261"/>
    <n v="21397"/>
    <n v="253"/>
    <n v="3385"/>
    <n v="463"/>
    <n v="1477"/>
    <n v="478"/>
    <n v="1139"/>
    <n v="397"/>
    <n v="497"/>
    <n v="283"/>
    <n v="6860"/>
    <n v="1293"/>
    <n v="0"/>
    <n v="0"/>
  </r>
  <r>
    <n v="2019"/>
    <n v="6"/>
    <s v="6/01/2019"/>
    <x v="5"/>
    <s v="Male (M)"/>
    <s v="Other"/>
    <s v="0-4 years"/>
    <n v="52"/>
    <n v="46"/>
    <m/>
    <m/>
    <n v="0"/>
    <n v="0"/>
    <n v="0"/>
    <n v="0"/>
    <n v="0"/>
    <n v="0"/>
    <m/>
    <m/>
    <n v="0"/>
    <n v="0"/>
    <n v="0"/>
  </r>
  <r>
    <n v="2019"/>
    <n v="6"/>
    <s v="6/01/2019"/>
    <x v="5"/>
    <s v="Male (M)"/>
    <s v="Other"/>
    <s v="15-24 years"/>
    <n v="54"/>
    <m/>
    <n v="0"/>
    <m/>
    <n v="0"/>
    <n v="0"/>
    <n v="0"/>
    <n v="0"/>
    <n v="0"/>
    <n v="0"/>
    <m/>
    <m/>
    <n v="0"/>
    <n v="0"/>
    <n v="0"/>
  </r>
  <r>
    <n v="2019"/>
    <n v="6"/>
    <s v="6/01/2019"/>
    <x v="5"/>
    <s v="Male (M)"/>
    <s v="Other"/>
    <s v="25-34 years"/>
    <n v="63"/>
    <n v="18"/>
    <m/>
    <m/>
    <n v="0"/>
    <n v="0"/>
    <n v="0"/>
    <m/>
    <n v="0"/>
    <n v="0"/>
    <m/>
    <m/>
    <m/>
    <n v="0"/>
    <n v="0"/>
  </r>
  <r>
    <n v="2019"/>
    <n v="6"/>
    <s v="6/01/2019"/>
    <x v="5"/>
    <s v="Male (M)"/>
    <s v="Other"/>
    <s v="35-44 years"/>
    <n v="67"/>
    <n v="33"/>
    <m/>
    <m/>
    <m/>
    <n v="0"/>
    <m/>
    <n v="0"/>
    <n v="0"/>
    <m/>
    <m/>
    <n v="13"/>
    <m/>
    <n v="0"/>
    <n v="0"/>
  </r>
  <r>
    <n v="2019"/>
    <n v="6"/>
    <s v="6/01/2019"/>
    <x v="5"/>
    <s v="Male (M)"/>
    <s v="Other"/>
    <s v="45-54 years"/>
    <n v="132"/>
    <n v="95"/>
    <m/>
    <n v="15"/>
    <m/>
    <n v="0"/>
    <n v="0"/>
    <m/>
    <n v="0"/>
    <m/>
    <m/>
    <n v="34"/>
    <m/>
    <n v="0"/>
    <n v="0"/>
  </r>
  <r>
    <n v="2019"/>
    <n v="6"/>
    <s v="6/01/2019"/>
    <x v="5"/>
    <s v="Male (M)"/>
    <s v="Other"/>
    <s v="5-14 years"/>
    <n v="11"/>
    <m/>
    <n v="0"/>
    <m/>
    <n v="0"/>
    <n v="0"/>
    <n v="0"/>
    <m/>
    <n v="0"/>
    <n v="0"/>
    <n v="0"/>
    <n v="0"/>
    <n v="0"/>
    <n v="0"/>
    <n v="0"/>
  </r>
  <r>
    <n v="2019"/>
    <n v="6"/>
    <s v="6/01/2019"/>
    <x v="5"/>
    <s v="Male (M)"/>
    <s v="Other"/>
    <s v="55-64 years"/>
    <n v="232"/>
    <n v="197"/>
    <m/>
    <n v="60"/>
    <n v="14"/>
    <n v="0"/>
    <m/>
    <n v="13"/>
    <m/>
    <m/>
    <m/>
    <n v="51"/>
    <m/>
    <n v="0"/>
    <n v="0"/>
  </r>
  <r>
    <n v="2019"/>
    <n v="6"/>
    <s v="6/01/2019"/>
    <x v="5"/>
    <s v="Male (M)"/>
    <s v="Other"/>
    <s v="65-74 years"/>
    <n v="234"/>
    <n v="224"/>
    <m/>
    <n v="56"/>
    <n v="10"/>
    <m/>
    <m/>
    <n v="13"/>
    <m/>
    <m/>
    <m/>
    <n v="73"/>
    <n v="13"/>
    <n v="0"/>
    <n v="0"/>
  </r>
  <r>
    <n v="2019"/>
    <n v="6"/>
    <s v="6/01/2019"/>
    <x v="5"/>
    <s v="Male (M)"/>
    <s v="Other"/>
    <s v="75-84 years"/>
    <n v="168"/>
    <n v="166"/>
    <m/>
    <n v="37"/>
    <n v="11"/>
    <m/>
    <m/>
    <n v="11"/>
    <m/>
    <m/>
    <n v="0"/>
    <n v="49"/>
    <n v="10"/>
    <n v="0"/>
    <n v="0"/>
  </r>
  <r>
    <n v="2019"/>
    <n v="6"/>
    <s v="6/01/2019"/>
    <x v="5"/>
    <s v="Male (M)"/>
    <s v="Other"/>
    <s v="85 years and over"/>
    <n v="111"/>
    <n v="106"/>
    <m/>
    <n v="16"/>
    <m/>
    <m/>
    <m/>
    <m/>
    <m/>
    <m/>
    <n v="0"/>
    <n v="32"/>
    <m/>
    <n v="0"/>
    <n v="0"/>
  </r>
  <r>
    <n v="2019"/>
    <n v="7"/>
    <s v="7/01/2019"/>
    <x v="6"/>
    <s v="Female (F)"/>
    <s v="Hispanic"/>
    <s v="0-4 years"/>
    <n v="193"/>
    <n v="159"/>
    <n v="0"/>
    <m/>
    <n v="0"/>
    <n v="0"/>
    <m/>
    <n v="0"/>
    <n v="0"/>
    <m/>
    <n v="16"/>
    <m/>
    <m/>
    <n v="0"/>
    <n v="0"/>
  </r>
  <r>
    <n v="2019"/>
    <n v="7"/>
    <s v="7/01/2019"/>
    <x v="6"/>
    <s v="Female (F)"/>
    <s v="Hispanic"/>
    <s v="15-24 years"/>
    <n v="121"/>
    <n v="48"/>
    <n v="0"/>
    <n v="13"/>
    <n v="0"/>
    <n v="0"/>
    <n v="0"/>
    <n v="0"/>
    <m/>
    <n v="0"/>
    <m/>
    <m/>
    <m/>
    <n v="0"/>
    <n v="0"/>
  </r>
  <r>
    <n v="2019"/>
    <n v="7"/>
    <s v="7/01/2019"/>
    <x v="6"/>
    <s v="Female (F)"/>
    <s v="Hispanic"/>
    <s v="25-34 years"/>
    <n v="212"/>
    <n v="98"/>
    <m/>
    <n v="38"/>
    <m/>
    <n v="0"/>
    <m/>
    <m/>
    <m/>
    <m/>
    <m/>
    <m/>
    <m/>
    <n v="0"/>
    <n v="0"/>
  </r>
  <r>
    <n v="2019"/>
    <n v="7"/>
    <s v="7/01/2019"/>
    <x v="6"/>
    <s v="Female (F)"/>
    <s v="Hispanic"/>
    <s v="35-44 years"/>
    <n v="336"/>
    <n v="252"/>
    <m/>
    <n v="96"/>
    <n v="10"/>
    <m/>
    <m/>
    <m/>
    <m/>
    <m/>
    <m/>
    <n v="29"/>
    <n v="14"/>
    <n v="0"/>
    <n v="0"/>
  </r>
  <r>
    <n v="2019"/>
    <n v="7"/>
    <s v="7/01/2019"/>
    <x v="6"/>
    <s v="Female (F)"/>
    <s v="Hispanic"/>
    <s v="45-54 years"/>
    <n v="571"/>
    <n v="480"/>
    <m/>
    <n v="216"/>
    <n v="16"/>
    <m/>
    <m/>
    <m/>
    <m/>
    <m/>
    <m/>
    <n v="51"/>
    <n v="30"/>
    <n v="0"/>
    <n v="0"/>
  </r>
  <r>
    <n v="2019"/>
    <n v="7"/>
    <s v="7/01/2019"/>
    <x v="6"/>
    <s v="Female (F)"/>
    <s v="Hispanic"/>
    <s v="5-14 years"/>
    <n v="50"/>
    <n v="24"/>
    <n v="0"/>
    <m/>
    <m/>
    <n v="0"/>
    <m/>
    <n v="0"/>
    <n v="0"/>
    <m/>
    <n v="0"/>
    <m/>
    <m/>
    <n v="0"/>
    <n v="0"/>
  </r>
  <r>
    <n v="2019"/>
    <n v="7"/>
    <s v="7/01/2019"/>
    <x v="6"/>
    <s v="Female (F)"/>
    <s v="Hispanic"/>
    <s v="55-64 years"/>
    <n v="937"/>
    <n v="877"/>
    <n v="10"/>
    <n v="343"/>
    <n v="57"/>
    <m/>
    <m/>
    <n v="16"/>
    <n v="24"/>
    <n v="22"/>
    <m/>
    <n v="139"/>
    <n v="59"/>
    <n v="0"/>
    <n v="0"/>
  </r>
  <r>
    <n v="2019"/>
    <n v="7"/>
    <s v="7/01/2019"/>
    <x v="6"/>
    <s v="Female (F)"/>
    <s v="Hispanic"/>
    <s v="65-74 years"/>
    <n v="1327"/>
    <n v="1284"/>
    <n v="23"/>
    <n v="427"/>
    <n v="89"/>
    <n v="22"/>
    <n v="12"/>
    <n v="35"/>
    <n v="20"/>
    <n v="34"/>
    <m/>
    <n v="234"/>
    <n v="61"/>
    <n v="0"/>
    <n v="0"/>
  </r>
  <r>
    <n v="2019"/>
    <n v="7"/>
    <s v="7/01/2019"/>
    <x v="6"/>
    <s v="Female (F)"/>
    <s v="Hispanic"/>
    <s v="75-84 years"/>
    <n v="1715"/>
    <n v="1669"/>
    <n v="32"/>
    <n v="390"/>
    <n v="85"/>
    <n v="91"/>
    <n v="20"/>
    <n v="63"/>
    <n v="42"/>
    <n v="61"/>
    <m/>
    <n v="379"/>
    <n v="152"/>
    <n v="0"/>
    <n v="0"/>
  </r>
  <r>
    <n v="2019"/>
    <n v="7"/>
    <s v="7/01/2019"/>
    <x v="6"/>
    <s v="Female (F)"/>
    <s v="Hispanic"/>
    <s v="85 years and over"/>
    <n v="2312"/>
    <n v="2265"/>
    <n v="27"/>
    <n v="259"/>
    <n v="87"/>
    <n v="322"/>
    <n v="40"/>
    <n v="88"/>
    <n v="39"/>
    <n v="46"/>
    <n v="23"/>
    <n v="582"/>
    <n v="226"/>
    <n v="0"/>
    <n v="0"/>
  </r>
  <r>
    <n v="2019"/>
    <n v="7"/>
    <s v="7/01/2019"/>
    <x v="6"/>
    <s v="Female (F)"/>
    <s v="Non-Hispanic American Indian or Alaska Native"/>
    <s v="0-4 years"/>
    <n v="12"/>
    <m/>
    <n v="0"/>
    <n v="0"/>
    <n v="0"/>
    <n v="0"/>
    <n v="0"/>
    <n v="0"/>
    <n v="0"/>
    <n v="0"/>
    <m/>
    <n v="0"/>
    <n v="0"/>
    <n v="0"/>
    <n v="0"/>
  </r>
  <r>
    <n v="2019"/>
    <n v="7"/>
    <s v="7/01/2019"/>
    <x v="6"/>
    <s v="Female (F)"/>
    <s v="Non-Hispanic American Indian or Alaska Native"/>
    <s v="15-24 years"/>
    <n v="11"/>
    <m/>
    <n v="0"/>
    <n v="0"/>
    <n v="0"/>
    <n v="0"/>
    <n v="0"/>
    <n v="0"/>
    <n v="0"/>
    <n v="0"/>
    <n v="0"/>
    <n v="0"/>
    <n v="0"/>
    <n v="0"/>
    <n v="0"/>
  </r>
  <r>
    <n v="2019"/>
    <n v="7"/>
    <s v="7/01/2019"/>
    <x v="6"/>
    <s v="Female (F)"/>
    <s v="Non-Hispanic American Indian or Alaska Native"/>
    <s v="25-34 years"/>
    <n v="37"/>
    <n v="20"/>
    <n v="0"/>
    <m/>
    <m/>
    <n v="0"/>
    <m/>
    <n v="0"/>
    <n v="0"/>
    <n v="0"/>
    <n v="0"/>
    <m/>
    <m/>
    <n v="0"/>
    <n v="0"/>
  </r>
  <r>
    <n v="2019"/>
    <n v="7"/>
    <s v="7/01/2019"/>
    <x v="6"/>
    <s v="Female (F)"/>
    <s v="Non-Hispanic American Indian or Alaska Native"/>
    <s v="35-44 years"/>
    <n v="35"/>
    <n v="25"/>
    <n v="0"/>
    <m/>
    <m/>
    <n v="0"/>
    <n v="0"/>
    <n v="0"/>
    <m/>
    <m/>
    <n v="0"/>
    <m/>
    <m/>
    <n v="0"/>
    <n v="0"/>
  </r>
  <r>
    <n v="2019"/>
    <n v="7"/>
    <s v="7/01/2019"/>
    <x v="6"/>
    <s v="Female (F)"/>
    <s v="Non-Hispanic American Indian or Alaska Native"/>
    <s v="45-54 years"/>
    <n v="66"/>
    <n v="52"/>
    <m/>
    <m/>
    <m/>
    <n v="0"/>
    <n v="0"/>
    <m/>
    <m/>
    <m/>
    <m/>
    <m/>
    <m/>
    <n v="0"/>
    <n v="0"/>
  </r>
  <r>
    <n v="2019"/>
    <n v="7"/>
    <s v="7/01/2019"/>
    <x v="6"/>
    <s v="Female (F)"/>
    <s v="Non-Hispanic American Indian or Alaska Native"/>
    <s v="5-14 years"/>
    <m/>
    <m/>
    <n v="0"/>
    <n v="0"/>
    <n v="0"/>
    <n v="0"/>
    <m/>
    <n v="0"/>
    <n v="0"/>
    <n v="0"/>
    <n v="0"/>
    <n v="0"/>
    <n v="0"/>
    <n v="0"/>
    <n v="0"/>
  </r>
  <r>
    <n v="2019"/>
    <n v="7"/>
    <s v="7/01/2019"/>
    <x v="6"/>
    <s v="Female (F)"/>
    <s v="Non-Hispanic American Indian or Alaska Native"/>
    <s v="55-64 years"/>
    <n v="115"/>
    <n v="110"/>
    <m/>
    <n v="35"/>
    <m/>
    <n v="0"/>
    <m/>
    <m/>
    <n v="0"/>
    <m/>
    <m/>
    <n v="17"/>
    <m/>
    <n v="0"/>
    <n v="0"/>
  </r>
  <r>
    <n v="2019"/>
    <n v="7"/>
    <s v="7/01/2019"/>
    <x v="6"/>
    <s v="Female (F)"/>
    <s v="Non-Hispanic American Indian or Alaska Native"/>
    <s v="65-74 years"/>
    <n v="125"/>
    <n v="121"/>
    <m/>
    <n v="29"/>
    <n v="11"/>
    <m/>
    <m/>
    <m/>
    <m/>
    <m/>
    <n v="0"/>
    <n v="25"/>
    <m/>
    <n v="0"/>
    <n v="0"/>
  </r>
  <r>
    <n v="2019"/>
    <n v="7"/>
    <s v="7/01/2019"/>
    <x v="6"/>
    <s v="Female (F)"/>
    <s v="Non-Hispanic American Indian or Alaska Native"/>
    <s v="75-84 years"/>
    <n v="135"/>
    <n v="131"/>
    <m/>
    <n v="30"/>
    <m/>
    <m/>
    <m/>
    <n v="10"/>
    <m/>
    <m/>
    <n v="0"/>
    <n v="28"/>
    <m/>
    <n v="0"/>
    <n v="0"/>
  </r>
  <r>
    <n v="2019"/>
    <n v="7"/>
    <s v="7/01/2019"/>
    <x v="6"/>
    <s v="Female (F)"/>
    <s v="Non-Hispanic American Indian or Alaska Native"/>
    <s v="85 years and over"/>
    <n v="112"/>
    <n v="108"/>
    <m/>
    <n v="11"/>
    <m/>
    <n v="14"/>
    <m/>
    <m/>
    <m/>
    <m/>
    <m/>
    <n v="24"/>
    <m/>
    <n v="0"/>
    <n v="0"/>
  </r>
  <r>
    <n v="2019"/>
    <n v="7"/>
    <s v="7/01/2019"/>
    <x v="6"/>
    <s v="Female (F)"/>
    <s v="Non-Hispanic Asian"/>
    <s v="0-4 years"/>
    <n v="35"/>
    <n v="33"/>
    <n v="0"/>
    <m/>
    <n v="0"/>
    <n v="0"/>
    <n v="0"/>
    <n v="0"/>
    <n v="0"/>
    <n v="0"/>
    <m/>
    <n v="0"/>
    <n v="0"/>
    <n v="0"/>
    <n v="0"/>
  </r>
  <r>
    <n v="2019"/>
    <n v="7"/>
    <s v="7/01/2019"/>
    <x v="6"/>
    <s v="Female (F)"/>
    <s v="Non-Hispanic Asian"/>
    <s v="15-24 years"/>
    <n v="20"/>
    <m/>
    <n v="0"/>
    <m/>
    <n v="0"/>
    <n v="0"/>
    <n v="0"/>
    <n v="0"/>
    <m/>
    <n v="0"/>
    <m/>
    <n v="0"/>
    <n v="0"/>
    <n v="0"/>
    <n v="0"/>
  </r>
  <r>
    <n v="2019"/>
    <n v="7"/>
    <s v="7/01/2019"/>
    <x v="6"/>
    <s v="Female (F)"/>
    <s v="Non-Hispanic Asian"/>
    <s v="25-34 years"/>
    <n v="34"/>
    <n v="10"/>
    <m/>
    <m/>
    <n v="0"/>
    <n v="0"/>
    <m/>
    <m/>
    <n v="0"/>
    <m/>
    <m/>
    <n v="0"/>
    <n v="0"/>
    <n v="0"/>
    <n v="0"/>
  </r>
  <r>
    <n v="2019"/>
    <n v="7"/>
    <s v="7/01/2019"/>
    <x v="6"/>
    <s v="Female (F)"/>
    <s v="Non-Hispanic Asian"/>
    <s v="35-44 years"/>
    <n v="58"/>
    <n v="46"/>
    <n v="0"/>
    <n v="23"/>
    <m/>
    <n v="0"/>
    <m/>
    <n v="0"/>
    <m/>
    <m/>
    <m/>
    <m/>
    <n v="0"/>
    <n v="0"/>
    <n v="0"/>
  </r>
  <r>
    <n v="2019"/>
    <n v="7"/>
    <s v="7/01/2019"/>
    <x v="6"/>
    <s v="Female (F)"/>
    <s v="Non-Hispanic Asian"/>
    <s v="45-54 years"/>
    <n v="151"/>
    <n v="133"/>
    <m/>
    <n v="80"/>
    <m/>
    <n v="0"/>
    <m/>
    <n v="0"/>
    <m/>
    <m/>
    <m/>
    <n v="13"/>
    <n v="10"/>
    <n v="0"/>
    <n v="0"/>
  </r>
  <r>
    <n v="2019"/>
    <n v="7"/>
    <s v="7/01/2019"/>
    <x v="6"/>
    <s v="Female (F)"/>
    <s v="Non-Hispanic Asian"/>
    <s v="5-14 years"/>
    <m/>
    <m/>
    <n v="0"/>
    <m/>
    <n v="0"/>
    <n v="0"/>
    <n v="0"/>
    <n v="0"/>
    <n v="0"/>
    <n v="0"/>
    <n v="0"/>
    <m/>
    <n v="0"/>
    <n v="0"/>
    <n v="0"/>
  </r>
  <r>
    <n v="2019"/>
    <n v="7"/>
    <s v="7/01/2019"/>
    <x v="6"/>
    <s v="Female (F)"/>
    <s v="Non-Hispanic Asian"/>
    <s v="55-64 years"/>
    <n v="273"/>
    <n v="254"/>
    <m/>
    <n v="146"/>
    <m/>
    <n v="0"/>
    <m/>
    <m/>
    <m/>
    <m/>
    <m/>
    <n v="35"/>
    <n v="16"/>
    <n v="0"/>
    <n v="0"/>
  </r>
  <r>
    <n v="2019"/>
    <n v="7"/>
    <s v="7/01/2019"/>
    <x v="6"/>
    <s v="Female (F)"/>
    <s v="Non-Hispanic Asian"/>
    <s v="65-74 years"/>
    <n v="469"/>
    <n v="451"/>
    <m/>
    <n v="194"/>
    <n v="20"/>
    <m/>
    <m/>
    <m/>
    <m/>
    <m/>
    <m/>
    <n v="79"/>
    <n v="35"/>
    <n v="0"/>
    <n v="0"/>
  </r>
  <r>
    <n v="2019"/>
    <n v="7"/>
    <s v="7/01/2019"/>
    <x v="6"/>
    <s v="Female (F)"/>
    <s v="Non-Hispanic Asian"/>
    <s v="75-84 years"/>
    <n v="643"/>
    <n v="629"/>
    <m/>
    <n v="165"/>
    <n v="42"/>
    <n v="26"/>
    <n v="15"/>
    <n v="15"/>
    <n v="12"/>
    <n v="17"/>
    <m/>
    <n v="128"/>
    <n v="54"/>
    <n v="0"/>
    <n v="0"/>
  </r>
  <r>
    <n v="2019"/>
    <n v="7"/>
    <s v="7/01/2019"/>
    <x v="6"/>
    <s v="Female (F)"/>
    <s v="Non-Hispanic Asian"/>
    <s v="85 years and over"/>
    <n v="1133"/>
    <n v="1113"/>
    <m/>
    <n v="147"/>
    <n v="37"/>
    <n v="130"/>
    <n v="33"/>
    <n v="36"/>
    <n v="16"/>
    <n v="19"/>
    <n v="14"/>
    <n v="269"/>
    <n v="118"/>
    <n v="0"/>
    <n v="0"/>
  </r>
  <r>
    <n v="2019"/>
    <n v="7"/>
    <s v="7/01/2019"/>
    <x v="6"/>
    <s v="Female (F)"/>
    <s v="Non-Hispanic Black"/>
    <s v="0-4 years"/>
    <n v="252"/>
    <n v="220"/>
    <m/>
    <m/>
    <n v="0"/>
    <n v="0"/>
    <n v="0"/>
    <n v="0"/>
    <m/>
    <n v="0"/>
    <n v="25"/>
    <m/>
    <m/>
    <n v="0"/>
    <n v="0"/>
  </r>
  <r>
    <n v="2019"/>
    <n v="7"/>
    <s v="7/01/2019"/>
    <x v="6"/>
    <s v="Female (F)"/>
    <s v="Non-Hispanic Black"/>
    <s v="15-24 years"/>
    <n v="138"/>
    <n v="49"/>
    <m/>
    <m/>
    <m/>
    <n v="0"/>
    <m/>
    <m/>
    <m/>
    <n v="0"/>
    <m/>
    <n v="10"/>
    <m/>
    <n v="0"/>
    <n v="0"/>
  </r>
  <r>
    <n v="2019"/>
    <n v="7"/>
    <s v="7/01/2019"/>
    <x v="6"/>
    <s v="Female (F)"/>
    <s v="Non-Hispanic Black"/>
    <s v="25-34 years"/>
    <n v="322"/>
    <n v="183"/>
    <m/>
    <n v="27"/>
    <n v="12"/>
    <n v="0"/>
    <m/>
    <m/>
    <m/>
    <m/>
    <n v="10"/>
    <n v="34"/>
    <m/>
    <n v="0"/>
    <n v="0"/>
  </r>
  <r>
    <n v="2019"/>
    <n v="7"/>
    <s v="7/01/2019"/>
    <x v="6"/>
    <s v="Female (F)"/>
    <s v="Non-Hispanic Black"/>
    <s v="35-44 years"/>
    <n v="532"/>
    <n v="415"/>
    <n v="11"/>
    <n v="101"/>
    <n v="19"/>
    <n v="0"/>
    <m/>
    <m/>
    <m/>
    <n v="15"/>
    <n v="13"/>
    <n v="98"/>
    <n v="19"/>
    <n v="0"/>
    <n v="0"/>
  </r>
  <r>
    <n v="2019"/>
    <n v="7"/>
    <s v="7/01/2019"/>
    <x v="6"/>
    <s v="Female (F)"/>
    <s v="Non-Hispanic Black"/>
    <s v="45-54 years"/>
    <n v="1075"/>
    <n v="943"/>
    <n v="23"/>
    <n v="285"/>
    <n v="50"/>
    <n v="0"/>
    <m/>
    <n v="22"/>
    <n v="22"/>
    <n v="22"/>
    <n v="16"/>
    <n v="214"/>
    <n v="48"/>
    <n v="0"/>
    <n v="0"/>
  </r>
  <r>
    <n v="2019"/>
    <n v="7"/>
    <s v="7/01/2019"/>
    <x v="6"/>
    <s v="Female (F)"/>
    <s v="Non-Hispanic Black"/>
    <s v="5-14 years"/>
    <n v="38"/>
    <n v="23"/>
    <n v="0"/>
    <m/>
    <n v="0"/>
    <n v="0"/>
    <m/>
    <m/>
    <n v="0"/>
    <n v="0"/>
    <m/>
    <m/>
    <n v="0"/>
    <n v="0"/>
    <n v="0"/>
  </r>
  <r>
    <n v="2019"/>
    <n v="7"/>
    <s v="7/01/2019"/>
    <x v="6"/>
    <s v="Female (F)"/>
    <s v="Non-Hispanic Black"/>
    <s v="55-64 years"/>
    <n v="2164"/>
    <n v="2056"/>
    <n v="43"/>
    <n v="674"/>
    <n v="118"/>
    <m/>
    <n v="29"/>
    <n v="85"/>
    <n v="40"/>
    <n v="53"/>
    <n v="12"/>
    <n v="478"/>
    <n v="103"/>
    <n v="0"/>
    <n v="0"/>
  </r>
  <r>
    <n v="2019"/>
    <n v="7"/>
    <s v="7/01/2019"/>
    <x v="6"/>
    <s v="Female (F)"/>
    <s v="Non-Hispanic Black"/>
    <s v="65-74 years"/>
    <n v="2621"/>
    <n v="2556"/>
    <n v="56"/>
    <n v="785"/>
    <n v="138"/>
    <n v="44"/>
    <n v="31"/>
    <n v="120"/>
    <n v="35"/>
    <n v="103"/>
    <n v="18"/>
    <n v="571"/>
    <n v="163"/>
    <n v="0"/>
    <n v="0"/>
  </r>
  <r>
    <n v="2019"/>
    <n v="7"/>
    <s v="7/01/2019"/>
    <x v="6"/>
    <s v="Female (F)"/>
    <s v="Non-Hispanic Black"/>
    <s v="75-84 years"/>
    <n v="2871"/>
    <n v="2821"/>
    <n v="57"/>
    <n v="609"/>
    <n v="149"/>
    <n v="149"/>
    <n v="40"/>
    <n v="125"/>
    <n v="39"/>
    <n v="115"/>
    <n v="20"/>
    <n v="719"/>
    <n v="221"/>
    <n v="0"/>
    <n v="0"/>
  </r>
  <r>
    <n v="2019"/>
    <n v="7"/>
    <s v="7/01/2019"/>
    <x v="6"/>
    <s v="Female (F)"/>
    <s v="Non-Hispanic Black"/>
    <s v="85 years and over"/>
    <n v="3163"/>
    <n v="3125"/>
    <n v="38"/>
    <n v="353"/>
    <n v="119"/>
    <n v="292"/>
    <n v="51"/>
    <n v="73"/>
    <n v="25"/>
    <n v="96"/>
    <n v="34"/>
    <n v="903"/>
    <n v="295"/>
    <n v="0"/>
    <n v="0"/>
  </r>
  <r>
    <n v="2019"/>
    <n v="7"/>
    <s v="7/01/2019"/>
    <x v="6"/>
    <s v="Female (F)"/>
    <s v="Non-Hispanic White"/>
    <s v="0-4 years"/>
    <n v="359"/>
    <n v="301"/>
    <m/>
    <m/>
    <n v="0"/>
    <n v="0"/>
    <m/>
    <n v="0"/>
    <m/>
    <m/>
    <n v="32"/>
    <m/>
    <m/>
    <n v="0"/>
    <n v="0"/>
  </r>
  <r>
    <n v="2019"/>
    <n v="7"/>
    <s v="7/01/2019"/>
    <x v="6"/>
    <s v="Female (F)"/>
    <s v="Non-Hispanic White"/>
    <s v="15-24 years"/>
    <n v="368"/>
    <n v="110"/>
    <m/>
    <n v="22"/>
    <m/>
    <n v="0"/>
    <m/>
    <m/>
    <m/>
    <n v="0"/>
    <m/>
    <n v="14"/>
    <m/>
    <n v="0"/>
    <n v="0"/>
  </r>
  <r>
    <n v="2019"/>
    <n v="7"/>
    <s v="7/01/2019"/>
    <x v="6"/>
    <s v="Female (F)"/>
    <s v="Non-Hispanic White"/>
    <s v="25-34 years"/>
    <n v="905"/>
    <n v="367"/>
    <n v="10"/>
    <n v="72"/>
    <m/>
    <n v="0"/>
    <m/>
    <m/>
    <m/>
    <m/>
    <n v="21"/>
    <n v="57"/>
    <n v="10"/>
    <n v="0"/>
    <n v="0"/>
  </r>
  <r>
    <n v="2019"/>
    <n v="7"/>
    <s v="7/01/2019"/>
    <x v="6"/>
    <s v="Female (F)"/>
    <s v="Non-Hispanic White"/>
    <s v="35-44 years"/>
    <n v="1437"/>
    <n v="865"/>
    <n v="19"/>
    <n v="254"/>
    <n v="29"/>
    <n v="0"/>
    <n v="11"/>
    <n v="17"/>
    <n v="11"/>
    <m/>
    <n v="26"/>
    <n v="139"/>
    <n v="31"/>
    <n v="0"/>
    <n v="0"/>
  </r>
  <r>
    <n v="2019"/>
    <n v="7"/>
    <s v="7/01/2019"/>
    <x v="6"/>
    <s v="Female (F)"/>
    <s v="Non-Hispanic White"/>
    <s v="45-54 years"/>
    <n v="3281"/>
    <n v="2656"/>
    <n v="51"/>
    <n v="1024"/>
    <n v="75"/>
    <n v="0"/>
    <n v="30"/>
    <n v="111"/>
    <n v="31"/>
    <n v="39"/>
    <n v="27"/>
    <n v="455"/>
    <n v="86"/>
    <n v="0"/>
    <n v="0"/>
  </r>
  <r>
    <n v="2019"/>
    <n v="7"/>
    <s v="7/01/2019"/>
    <x v="6"/>
    <s v="Female (F)"/>
    <s v="Non-Hispanic White"/>
    <s v="5-14 years"/>
    <n v="109"/>
    <n v="54"/>
    <m/>
    <n v="19"/>
    <n v="0"/>
    <n v="0"/>
    <n v="0"/>
    <m/>
    <n v="0"/>
    <n v="0"/>
    <m/>
    <m/>
    <m/>
    <n v="0"/>
    <n v="0"/>
  </r>
  <r>
    <n v="2019"/>
    <n v="7"/>
    <s v="7/01/2019"/>
    <x v="6"/>
    <s v="Female (F)"/>
    <s v="Non-Hispanic White"/>
    <s v="55-64 years"/>
    <n v="8258"/>
    <n v="7594"/>
    <n v="135"/>
    <n v="3081"/>
    <n v="234"/>
    <n v="37"/>
    <n v="90"/>
    <n v="575"/>
    <n v="99"/>
    <n v="101"/>
    <n v="75"/>
    <n v="1348"/>
    <n v="226"/>
    <n v="0"/>
    <n v="0"/>
  </r>
  <r>
    <n v="2019"/>
    <n v="7"/>
    <s v="7/01/2019"/>
    <x v="6"/>
    <s v="Female (F)"/>
    <s v="Non-Hispanic White"/>
    <s v="65-74 years"/>
    <n v="14030"/>
    <n v="13514"/>
    <n v="263"/>
    <n v="4910"/>
    <n v="461"/>
    <n v="298"/>
    <n v="165"/>
    <n v="1168"/>
    <n v="241"/>
    <n v="245"/>
    <n v="129"/>
    <n v="2508"/>
    <n v="557"/>
    <n v="0"/>
    <n v="0"/>
  </r>
  <r>
    <n v="2019"/>
    <n v="7"/>
    <s v="7/01/2019"/>
    <x v="6"/>
    <s v="Female (F)"/>
    <s v="Non-Hispanic White"/>
    <s v="75-84 years"/>
    <n v="20807"/>
    <n v="20160"/>
    <n v="333"/>
    <n v="4860"/>
    <n v="524"/>
    <n v="1294"/>
    <n v="290"/>
    <n v="1824"/>
    <n v="411"/>
    <n v="397"/>
    <n v="207"/>
    <n v="4253"/>
    <n v="1275"/>
    <n v="0"/>
    <n v="0"/>
  </r>
  <r>
    <n v="2019"/>
    <n v="7"/>
    <s v="7/01/2019"/>
    <x v="6"/>
    <s v="Female (F)"/>
    <s v="Non-Hispanic White"/>
    <s v="85 years and over"/>
    <n v="35016"/>
    <n v="33983"/>
    <n v="339"/>
    <n v="3718"/>
    <n v="533"/>
    <n v="3717"/>
    <n v="553"/>
    <n v="1733"/>
    <n v="499"/>
    <n v="531"/>
    <n v="506"/>
    <n v="9901"/>
    <n v="2833"/>
    <n v="0"/>
    <n v="0"/>
  </r>
  <r>
    <n v="2019"/>
    <n v="7"/>
    <s v="7/01/2019"/>
    <x v="6"/>
    <s v="Female (F)"/>
    <s v="Other"/>
    <s v="0-4 years"/>
    <n v="47"/>
    <n v="41"/>
    <n v="0"/>
    <m/>
    <n v="0"/>
    <n v="0"/>
    <n v="0"/>
    <n v="0"/>
    <n v="0"/>
    <n v="0"/>
    <m/>
    <n v="0"/>
    <n v="0"/>
    <n v="0"/>
    <n v="0"/>
  </r>
  <r>
    <n v="2019"/>
    <n v="7"/>
    <s v="7/01/2019"/>
    <x v="6"/>
    <s v="Female (F)"/>
    <s v="Other"/>
    <s v="15-24 years"/>
    <n v="21"/>
    <m/>
    <n v="0"/>
    <m/>
    <n v="0"/>
    <n v="0"/>
    <n v="0"/>
    <n v="0"/>
    <n v="0"/>
    <n v="0"/>
    <n v="0"/>
    <m/>
    <n v="0"/>
    <n v="0"/>
    <n v="0"/>
  </r>
  <r>
    <n v="2019"/>
    <n v="7"/>
    <s v="7/01/2019"/>
    <x v="6"/>
    <s v="Female (F)"/>
    <s v="Other"/>
    <s v="25-34 years"/>
    <n v="30"/>
    <n v="14"/>
    <m/>
    <m/>
    <n v="0"/>
    <n v="0"/>
    <n v="0"/>
    <m/>
    <n v="0"/>
    <n v="0"/>
    <m/>
    <m/>
    <m/>
    <n v="0"/>
    <n v="0"/>
  </r>
  <r>
    <n v="2019"/>
    <n v="7"/>
    <s v="7/01/2019"/>
    <x v="6"/>
    <s v="Female (F)"/>
    <s v="Other"/>
    <s v="35-44 years"/>
    <n v="34"/>
    <n v="20"/>
    <m/>
    <m/>
    <m/>
    <n v="0"/>
    <n v="0"/>
    <n v="0"/>
    <n v="0"/>
    <n v="0"/>
    <n v="0"/>
    <m/>
    <n v="0"/>
    <n v="0"/>
    <n v="0"/>
  </r>
  <r>
    <n v="2019"/>
    <n v="7"/>
    <s v="7/01/2019"/>
    <x v="6"/>
    <s v="Female (F)"/>
    <s v="Other"/>
    <s v="45-54 years"/>
    <n v="55"/>
    <n v="48"/>
    <m/>
    <n v="14"/>
    <m/>
    <n v="0"/>
    <m/>
    <m/>
    <m/>
    <m/>
    <m/>
    <m/>
    <m/>
    <n v="0"/>
    <n v="0"/>
  </r>
  <r>
    <n v="2019"/>
    <n v="7"/>
    <s v="7/01/2019"/>
    <x v="6"/>
    <s v="Female (F)"/>
    <s v="Other"/>
    <s v="5-14 years"/>
    <m/>
    <m/>
    <n v="0"/>
    <n v="0"/>
    <n v="0"/>
    <n v="0"/>
    <n v="0"/>
    <n v="0"/>
    <m/>
    <n v="0"/>
    <n v="0"/>
    <m/>
    <n v="0"/>
    <n v="0"/>
    <n v="0"/>
  </r>
  <r>
    <n v="2019"/>
    <n v="7"/>
    <s v="7/01/2019"/>
    <x v="6"/>
    <s v="Female (F)"/>
    <s v="Other"/>
    <s v="55-64 years"/>
    <n v="129"/>
    <n v="115"/>
    <n v="0"/>
    <n v="39"/>
    <m/>
    <n v="0"/>
    <m/>
    <m/>
    <n v="0"/>
    <m/>
    <m/>
    <n v="22"/>
    <m/>
    <n v="0"/>
    <n v="0"/>
  </r>
  <r>
    <n v="2019"/>
    <n v="7"/>
    <s v="7/01/2019"/>
    <x v="6"/>
    <s v="Female (F)"/>
    <s v="Other"/>
    <s v="65-74 years"/>
    <n v="161"/>
    <n v="155"/>
    <m/>
    <n v="47"/>
    <m/>
    <m/>
    <m/>
    <n v="15"/>
    <m/>
    <m/>
    <m/>
    <n v="35"/>
    <m/>
    <n v="0"/>
    <n v="0"/>
  </r>
  <r>
    <n v="2019"/>
    <n v="7"/>
    <s v="7/01/2019"/>
    <x v="6"/>
    <s v="Female (F)"/>
    <s v="Other"/>
    <s v="75-84 years"/>
    <n v="152"/>
    <n v="149"/>
    <n v="0"/>
    <n v="42"/>
    <m/>
    <m/>
    <m/>
    <n v="12"/>
    <m/>
    <m/>
    <m/>
    <n v="33"/>
    <n v="16"/>
    <n v="0"/>
    <n v="0"/>
  </r>
  <r>
    <n v="2019"/>
    <n v="7"/>
    <s v="7/01/2019"/>
    <x v="6"/>
    <s v="Female (F)"/>
    <s v="Other"/>
    <s v="85 years and over"/>
    <n v="149"/>
    <n v="147"/>
    <m/>
    <n v="21"/>
    <m/>
    <n v="13"/>
    <m/>
    <m/>
    <m/>
    <n v="0"/>
    <m/>
    <n v="50"/>
    <n v="11"/>
    <n v="0"/>
    <n v="0"/>
  </r>
  <r>
    <n v="2019"/>
    <n v="7"/>
    <s v="7/01/2019"/>
    <x v="6"/>
    <s v="Male (M)"/>
    <s v="Hispanic"/>
    <s v="0-4 years"/>
    <n v="263"/>
    <n v="219"/>
    <n v="0"/>
    <m/>
    <n v="0"/>
    <n v="0"/>
    <n v="0"/>
    <n v="0"/>
    <m/>
    <m/>
    <n v="22"/>
    <m/>
    <m/>
    <n v="0"/>
    <n v="0"/>
  </r>
  <r>
    <n v="2019"/>
    <n v="7"/>
    <s v="7/01/2019"/>
    <x v="6"/>
    <s v="Male (M)"/>
    <s v="Hispanic"/>
    <s v="15-24 years"/>
    <n v="424"/>
    <n v="61"/>
    <m/>
    <n v="18"/>
    <n v="0"/>
    <n v="0"/>
    <m/>
    <m/>
    <n v="0"/>
    <m/>
    <m/>
    <n v="10"/>
    <m/>
    <n v="0"/>
    <n v="0"/>
  </r>
  <r>
    <n v="2019"/>
    <n v="7"/>
    <s v="7/01/2019"/>
    <x v="6"/>
    <s v="Male (M)"/>
    <s v="Hispanic"/>
    <s v="25-34 years"/>
    <n v="635"/>
    <n v="184"/>
    <m/>
    <n v="46"/>
    <n v="11"/>
    <n v="0"/>
    <m/>
    <m/>
    <m/>
    <m/>
    <n v="12"/>
    <n v="26"/>
    <m/>
    <n v="0"/>
    <n v="0"/>
  </r>
  <r>
    <n v="2019"/>
    <n v="7"/>
    <s v="7/01/2019"/>
    <x v="6"/>
    <s v="Male (M)"/>
    <s v="Hispanic"/>
    <s v="35-44 years"/>
    <n v="714"/>
    <n v="328"/>
    <m/>
    <n v="60"/>
    <n v="11"/>
    <n v="0"/>
    <m/>
    <m/>
    <m/>
    <m/>
    <m/>
    <n v="72"/>
    <n v="14"/>
    <n v="0"/>
    <n v="0"/>
  </r>
  <r>
    <n v="2019"/>
    <n v="7"/>
    <s v="7/01/2019"/>
    <x v="6"/>
    <s v="Male (M)"/>
    <s v="Hispanic"/>
    <s v="45-54 years"/>
    <n v="1037"/>
    <n v="761"/>
    <n v="14"/>
    <n v="167"/>
    <n v="56"/>
    <m/>
    <n v="15"/>
    <m/>
    <n v="13"/>
    <n v="13"/>
    <n v="11"/>
    <n v="190"/>
    <n v="48"/>
    <n v="0"/>
    <n v="0"/>
  </r>
  <r>
    <n v="2019"/>
    <n v="7"/>
    <s v="7/01/2019"/>
    <x v="6"/>
    <s v="Male (M)"/>
    <s v="Hispanic"/>
    <s v="5-14 years"/>
    <n v="52"/>
    <n v="25"/>
    <n v="0"/>
    <m/>
    <n v="0"/>
    <n v="0"/>
    <m/>
    <n v="0"/>
    <m/>
    <n v="0"/>
    <m/>
    <m/>
    <n v="0"/>
    <n v="0"/>
    <n v="0"/>
  </r>
  <r>
    <n v="2019"/>
    <n v="7"/>
    <s v="7/01/2019"/>
    <x v="6"/>
    <s v="Male (M)"/>
    <s v="Hispanic"/>
    <s v="55-64 years"/>
    <n v="1581"/>
    <n v="1379"/>
    <n v="28"/>
    <n v="371"/>
    <n v="93"/>
    <m/>
    <n v="13"/>
    <n v="21"/>
    <n v="21"/>
    <n v="40"/>
    <n v="15"/>
    <n v="368"/>
    <n v="68"/>
    <n v="0"/>
    <n v="0"/>
  </r>
  <r>
    <n v="2019"/>
    <n v="7"/>
    <s v="7/01/2019"/>
    <x v="6"/>
    <s v="Male (M)"/>
    <s v="Hispanic"/>
    <s v="65-74 years"/>
    <n v="1776"/>
    <n v="1682"/>
    <n v="22"/>
    <n v="506"/>
    <n v="123"/>
    <n v="22"/>
    <n v="37"/>
    <n v="42"/>
    <n v="29"/>
    <n v="48"/>
    <m/>
    <n v="440"/>
    <n v="87"/>
    <n v="0"/>
    <n v="0"/>
  </r>
  <r>
    <n v="2019"/>
    <n v="7"/>
    <s v="7/01/2019"/>
    <x v="6"/>
    <s v="Male (M)"/>
    <s v="Hispanic"/>
    <s v="75-84 years"/>
    <n v="1670"/>
    <n v="1617"/>
    <n v="19"/>
    <n v="391"/>
    <n v="94"/>
    <n v="50"/>
    <n v="43"/>
    <n v="57"/>
    <n v="44"/>
    <n v="52"/>
    <n v="10"/>
    <n v="426"/>
    <n v="112"/>
    <n v="0"/>
    <n v="0"/>
  </r>
  <r>
    <n v="2019"/>
    <n v="7"/>
    <s v="7/01/2019"/>
    <x v="6"/>
    <s v="Male (M)"/>
    <s v="Hispanic"/>
    <s v="85 years and over"/>
    <n v="1503"/>
    <n v="1449"/>
    <n v="19"/>
    <n v="237"/>
    <n v="51"/>
    <n v="106"/>
    <n v="27"/>
    <n v="64"/>
    <n v="20"/>
    <n v="30"/>
    <n v="12"/>
    <n v="427"/>
    <n v="127"/>
    <n v="0"/>
    <n v="0"/>
  </r>
  <r>
    <n v="2019"/>
    <n v="7"/>
    <s v="7/01/2019"/>
    <x v="6"/>
    <s v="Male (M)"/>
    <s v="Non-Hispanic American Indian or Alaska Native"/>
    <s v="0-4 years"/>
    <n v="15"/>
    <n v="12"/>
    <n v="0"/>
    <n v="0"/>
    <n v="0"/>
    <n v="0"/>
    <n v="0"/>
    <n v="0"/>
    <n v="0"/>
    <n v="0"/>
    <m/>
    <n v="0"/>
    <m/>
    <n v="0"/>
    <n v="0"/>
  </r>
  <r>
    <n v="2019"/>
    <n v="7"/>
    <s v="7/01/2019"/>
    <x v="6"/>
    <s v="Male (M)"/>
    <s v="Non-Hispanic American Indian or Alaska Native"/>
    <s v="15-24 years"/>
    <n v="37"/>
    <m/>
    <n v="0"/>
    <n v="0"/>
    <m/>
    <n v="0"/>
    <n v="0"/>
    <n v="0"/>
    <n v="0"/>
    <n v="0"/>
    <n v="0"/>
    <n v="0"/>
    <m/>
    <n v="0"/>
    <n v="0"/>
  </r>
  <r>
    <n v="2019"/>
    <n v="7"/>
    <s v="7/01/2019"/>
    <x v="6"/>
    <s v="Male (M)"/>
    <s v="Non-Hispanic American Indian or Alaska Native"/>
    <s v="25-34 years"/>
    <n v="68"/>
    <n v="21"/>
    <m/>
    <n v="0"/>
    <n v="0"/>
    <n v="0"/>
    <n v="0"/>
    <n v="0"/>
    <n v="0"/>
    <n v="0"/>
    <m/>
    <m/>
    <n v="0"/>
    <n v="0"/>
    <n v="0"/>
  </r>
  <r>
    <n v="2019"/>
    <n v="7"/>
    <s v="7/01/2019"/>
    <x v="6"/>
    <s v="Male (M)"/>
    <s v="Non-Hispanic American Indian or Alaska Native"/>
    <s v="35-44 years"/>
    <n v="80"/>
    <n v="48"/>
    <m/>
    <m/>
    <m/>
    <n v="0"/>
    <n v="0"/>
    <m/>
    <n v="0"/>
    <n v="0"/>
    <m/>
    <n v="10"/>
    <m/>
    <n v="0"/>
    <n v="0"/>
  </r>
  <r>
    <n v="2019"/>
    <n v="7"/>
    <s v="7/01/2019"/>
    <x v="6"/>
    <s v="Male (M)"/>
    <s v="Non-Hispanic American Indian or Alaska Native"/>
    <s v="45-54 years"/>
    <n v="122"/>
    <n v="96"/>
    <n v="0"/>
    <n v="11"/>
    <n v="10"/>
    <n v="0"/>
    <m/>
    <m/>
    <m/>
    <m/>
    <m/>
    <n v="25"/>
    <m/>
    <n v="0"/>
    <n v="0"/>
  </r>
  <r>
    <n v="2019"/>
    <n v="7"/>
    <s v="7/01/2019"/>
    <x v="6"/>
    <s v="Male (M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19"/>
    <n v="7"/>
    <s v="7/01/2019"/>
    <x v="6"/>
    <s v="Male (M)"/>
    <s v="Non-Hispanic American Indian or Alaska Native"/>
    <s v="55-64 years"/>
    <n v="143"/>
    <n v="119"/>
    <m/>
    <n v="34"/>
    <m/>
    <n v="0"/>
    <n v="0"/>
    <m/>
    <m/>
    <m/>
    <m/>
    <n v="29"/>
    <m/>
    <n v="0"/>
    <n v="0"/>
  </r>
  <r>
    <n v="2019"/>
    <n v="7"/>
    <s v="7/01/2019"/>
    <x v="6"/>
    <s v="Male (M)"/>
    <s v="Non-Hispanic American Indian or Alaska Native"/>
    <s v="65-74 years"/>
    <n v="138"/>
    <n v="128"/>
    <n v="0"/>
    <n v="33"/>
    <n v="10"/>
    <m/>
    <n v="0"/>
    <m/>
    <m/>
    <m/>
    <m/>
    <n v="31"/>
    <n v="14"/>
    <n v="0"/>
    <n v="0"/>
  </r>
  <r>
    <n v="2019"/>
    <n v="7"/>
    <s v="7/01/2019"/>
    <x v="6"/>
    <s v="Male (M)"/>
    <s v="Non-Hispanic American Indian or Alaska Native"/>
    <s v="75-84 years"/>
    <n v="130"/>
    <n v="124"/>
    <m/>
    <n v="27"/>
    <m/>
    <m/>
    <m/>
    <n v="11"/>
    <m/>
    <m/>
    <m/>
    <n v="39"/>
    <m/>
    <n v="0"/>
    <n v="0"/>
  </r>
  <r>
    <n v="2019"/>
    <n v="7"/>
    <s v="7/01/2019"/>
    <x v="6"/>
    <s v="Male (M)"/>
    <s v="Non-Hispanic American Indian or Alaska Native"/>
    <s v="85 years and over"/>
    <n v="62"/>
    <n v="60"/>
    <m/>
    <n v="11"/>
    <m/>
    <m/>
    <m/>
    <m/>
    <m/>
    <m/>
    <n v="0"/>
    <n v="16"/>
    <m/>
    <n v="0"/>
    <n v="0"/>
  </r>
  <r>
    <n v="2019"/>
    <n v="7"/>
    <s v="7/01/2019"/>
    <x v="6"/>
    <s v="Male (M)"/>
    <s v="Non-Hispanic Asian"/>
    <s v="0-4 years"/>
    <n v="39"/>
    <n v="32"/>
    <m/>
    <m/>
    <n v="0"/>
    <n v="0"/>
    <n v="0"/>
    <n v="0"/>
    <m/>
    <n v="0"/>
    <m/>
    <m/>
    <n v="0"/>
    <n v="0"/>
    <n v="0"/>
  </r>
  <r>
    <n v="2019"/>
    <n v="7"/>
    <s v="7/01/2019"/>
    <x v="6"/>
    <s v="Male (M)"/>
    <s v="Non-Hispanic Asian"/>
    <s v="15-24 years"/>
    <n v="52"/>
    <n v="10"/>
    <n v="0"/>
    <m/>
    <n v="0"/>
    <n v="0"/>
    <n v="0"/>
    <n v="0"/>
    <n v="0"/>
    <n v="0"/>
    <n v="0"/>
    <m/>
    <n v="0"/>
    <n v="0"/>
    <n v="0"/>
  </r>
  <r>
    <n v="2019"/>
    <n v="7"/>
    <s v="7/01/2019"/>
    <x v="6"/>
    <s v="Male (M)"/>
    <s v="Non-Hispanic Asian"/>
    <s v="25-34 years"/>
    <n v="74"/>
    <n v="22"/>
    <n v="0"/>
    <n v="11"/>
    <m/>
    <n v="0"/>
    <n v="0"/>
    <n v="0"/>
    <n v="0"/>
    <n v="0"/>
    <n v="0"/>
    <n v="0"/>
    <n v="0"/>
    <n v="0"/>
    <n v="0"/>
  </r>
  <r>
    <n v="2019"/>
    <n v="7"/>
    <s v="7/01/2019"/>
    <x v="6"/>
    <s v="Male (M)"/>
    <s v="Non-Hispanic Asian"/>
    <s v="35-44 years"/>
    <n v="80"/>
    <n v="54"/>
    <m/>
    <n v="12"/>
    <m/>
    <n v="0"/>
    <n v="0"/>
    <n v="0"/>
    <n v="0"/>
    <n v="0"/>
    <n v="0"/>
    <n v="22"/>
    <m/>
    <n v="0"/>
    <n v="0"/>
  </r>
  <r>
    <n v="2019"/>
    <n v="7"/>
    <s v="7/01/2019"/>
    <x v="6"/>
    <s v="Male (M)"/>
    <s v="Non-Hispanic Asian"/>
    <s v="45-54 years"/>
    <n v="195"/>
    <n v="158"/>
    <m/>
    <n v="51"/>
    <m/>
    <n v="0"/>
    <m/>
    <m/>
    <n v="0"/>
    <m/>
    <m/>
    <n v="50"/>
    <m/>
    <n v="0"/>
    <n v="0"/>
  </r>
  <r>
    <n v="2019"/>
    <n v="7"/>
    <s v="7/01/2019"/>
    <x v="6"/>
    <s v="Male (M)"/>
    <s v="Non-Hispanic Asian"/>
    <s v="5-14 years"/>
    <m/>
    <m/>
    <n v="0"/>
    <m/>
    <n v="0"/>
    <n v="0"/>
    <n v="0"/>
    <n v="0"/>
    <n v="0"/>
    <n v="0"/>
    <n v="0"/>
    <n v="0"/>
    <n v="0"/>
    <n v="0"/>
    <n v="0"/>
  </r>
  <r>
    <n v="2019"/>
    <n v="7"/>
    <s v="7/01/2019"/>
    <x v="6"/>
    <s v="Male (M)"/>
    <s v="Non-Hispanic Asian"/>
    <s v="55-64 years"/>
    <n v="366"/>
    <n v="340"/>
    <m/>
    <n v="147"/>
    <n v="28"/>
    <n v="0"/>
    <m/>
    <m/>
    <m/>
    <m/>
    <m/>
    <n v="78"/>
    <n v="16"/>
    <n v="0"/>
    <n v="0"/>
  </r>
  <r>
    <n v="2019"/>
    <n v="7"/>
    <s v="7/01/2019"/>
    <x v="6"/>
    <s v="Male (M)"/>
    <s v="Non-Hispanic Asian"/>
    <s v="65-74 years"/>
    <n v="585"/>
    <n v="548"/>
    <m/>
    <n v="208"/>
    <n v="24"/>
    <m/>
    <m/>
    <n v="13"/>
    <m/>
    <n v="16"/>
    <m/>
    <n v="132"/>
    <n v="37"/>
    <n v="0"/>
    <n v="0"/>
  </r>
  <r>
    <n v="2019"/>
    <n v="7"/>
    <s v="7/01/2019"/>
    <x v="6"/>
    <s v="Male (M)"/>
    <s v="Non-Hispanic Asian"/>
    <s v="75-84 years"/>
    <n v="705"/>
    <n v="675"/>
    <m/>
    <n v="195"/>
    <n v="27"/>
    <n v="24"/>
    <n v="18"/>
    <n v="25"/>
    <n v="10"/>
    <n v="21"/>
    <m/>
    <n v="166"/>
    <n v="56"/>
    <n v="0"/>
    <n v="0"/>
  </r>
  <r>
    <n v="2019"/>
    <n v="7"/>
    <s v="7/01/2019"/>
    <x v="6"/>
    <s v="Male (M)"/>
    <s v="Non-Hispanic Asian"/>
    <s v="85 years and over"/>
    <n v="723"/>
    <n v="698"/>
    <m/>
    <n v="122"/>
    <n v="28"/>
    <n v="48"/>
    <n v="23"/>
    <n v="38"/>
    <n v="15"/>
    <n v="20"/>
    <m/>
    <n v="158"/>
    <n v="67"/>
    <n v="0"/>
    <n v="0"/>
  </r>
  <r>
    <n v="2019"/>
    <n v="7"/>
    <s v="7/01/2019"/>
    <x v="6"/>
    <s v="Male (M)"/>
    <s v="Non-Hispanic Black"/>
    <s v="0-4 years"/>
    <n v="323"/>
    <n v="273"/>
    <m/>
    <m/>
    <n v="0"/>
    <n v="0"/>
    <m/>
    <m/>
    <m/>
    <n v="0"/>
    <n v="44"/>
    <m/>
    <m/>
    <n v="0"/>
    <n v="0"/>
  </r>
  <r>
    <n v="2019"/>
    <n v="7"/>
    <s v="7/01/2019"/>
    <x v="6"/>
    <s v="Male (M)"/>
    <s v="Non-Hispanic Black"/>
    <s v="15-24 years"/>
    <n v="517"/>
    <n v="75"/>
    <n v="0"/>
    <m/>
    <m/>
    <n v="0"/>
    <n v="0"/>
    <m/>
    <m/>
    <n v="0"/>
    <m/>
    <n v="12"/>
    <m/>
    <n v="0"/>
    <n v="0"/>
  </r>
  <r>
    <n v="2019"/>
    <n v="7"/>
    <s v="7/01/2019"/>
    <x v="6"/>
    <s v="Male (M)"/>
    <s v="Non-Hispanic Black"/>
    <s v="25-34 years"/>
    <n v="818"/>
    <n v="216"/>
    <m/>
    <n v="17"/>
    <m/>
    <n v="0"/>
    <m/>
    <m/>
    <m/>
    <m/>
    <m/>
    <n v="63"/>
    <m/>
    <n v="0"/>
    <n v="0"/>
  </r>
  <r>
    <n v="2019"/>
    <n v="7"/>
    <s v="7/01/2019"/>
    <x v="6"/>
    <s v="Male (M)"/>
    <s v="Non-Hispanic Black"/>
    <s v="35-44 years"/>
    <n v="927"/>
    <n v="513"/>
    <n v="11"/>
    <n v="64"/>
    <n v="44"/>
    <m/>
    <n v="10"/>
    <m/>
    <n v="10"/>
    <m/>
    <n v="21"/>
    <n v="168"/>
    <n v="18"/>
    <n v="0"/>
    <n v="0"/>
  </r>
  <r>
    <n v="2019"/>
    <n v="7"/>
    <s v="7/01/2019"/>
    <x v="6"/>
    <s v="Male (M)"/>
    <s v="Non-Hispanic Black"/>
    <s v="45-54 years"/>
    <n v="1508"/>
    <n v="1133"/>
    <n v="19"/>
    <n v="185"/>
    <n v="81"/>
    <m/>
    <m/>
    <n v="15"/>
    <n v="11"/>
    <n v="31"/>
    <n v="20"/>
    <n v="392"/>
    <n v="68"/>
    <n v="0"/>
    <n v="0"/>
  </r>
  <r>
    <n v="2019"/>
    <n v="7"/>
    <s v="7/01/2019"/>
    <x v="6"/>
    <s v="Male (M)"/>
    <s v="Non-Hispanic Black"/>
    <s v="5-14 years"/>
    <n v="68"/>
    <n v="28"/>
    <n v="0"/>
    <m/>
    <m/>
    <n v="0"/>
    <n v="0"/>
    <m/>
    <m/>
    <n v="0"/>
    <n v="0"/>
    <n v="0"/>
    <m/>
    <n v="0"/>
    <n v="0"/>
  </r>
  <r>
    <n v="2019"/>
    <n v="7"/>
    <s v="7/01/2019"/>
    <x v="6"/>
    <s v="Male (M)"/>
    <s v="Non-Hispanic Black"/>
    <s v="55-64 years"/>
    <n v="3229"/>
    <n v="2855"/>
    <n v="63"/>
    <n v="805"/>
    <n v="146"/>
    <m/>
    <n v="34"/>
    <n v="96"/>
    <n v="30"/>
    <n v="84"/>
    <n v="35"/>
    <n v="839"/>
    <n v="139"/>
    <n v="0"/>
    <n v="0"/>
  </r>
  <r>
    <n v="2019"/>
    <n v="7"/>
    <s v="7/01/2019"/>
    <x v="6"/>
    <s v="Male (M)"/>
    <s v="Non-Hispanic Black"/>
    <s v="65-74 years"/>
    <n v="3485"/>
    <n v="3319"/>
    <n v="70"/>
    <n v="1002"/>
    <n v="168"/>
    <n v="27"/>
    <n v="56"/>
    <n v="147"/>
    <n v="39"/>
    <n v="101"/>
    <n v="22"/>
    <n v="919"/>
    <n v="166"/>
    <n v="0"/>
    <n v="0"/>
  </r>
  <r>
    <n v="2019"/>
    <n v="7"/>
    <s v="7/01/2019"/>
    <x v="6"/>
    <s v="Male (M)"/>
    <s v="Non-Hispanic Black"/>
    <s v="75-84 years"/>
    <n v="2589"/>
    <n v="2533"/>
    <n v="56"/>
    <n v="607"/>
    <n v="130"/>
    <n v="79"/>
    <n v="47"/>
    <n v="115"/>
    <n v="35"/>
    <n v="103"/>
    <n v="23"/>
    <n v="689"/>
    <n v="187"/>
    <n v="0"/>
    <n v="0"/>
  </r>
  <r>
    <n v="2019"/>
    <n v="7"/>
    <s v="7/01/2019"/>
    <x v="6"/>
    <s v="Male (M)"/>
    <s v="Non-Hispanic Black"/>
    <s v="85 years and over"/>
    <n v="1612"/>
    <n v="1582"/>
    <n v="27"/>
    <n v="289"/>
    <n v="56"/>
    <n v="102"/>
    <n v="39"/>
    <n v="63"/>
    <n v="19"/>
    <n v="52"/>
    <n v="13"/>
    <n v="415"/>
    <n v="95"/>
    <n v="0"/>
    <n v="0"/>
  </r>
  <r>
    <n v="2019"/>
    <n v="7"/>
    <s v="7/01/2019"/>
    <x v="6"/>
    <s v="Male (M)"/>
    <s v="Non-Hispanic White"/>
    <s v="0-4 years"/>
    <n v="495"/>
    <n v="404"/>
    <m/>
    <m/>
    <n v="0"/>
    <n v="0"/>
    <m/>
    <m/>
    <m/>
    <m/>
    <n v="52"/>
    <n v="10"/>
    <m/>
    <n v="0"/>
    <n v="0"/>
  </r>
  <r>
    <n v="2019"/>
    <n v="7"/>
    <s v="7/01/2019"/>
    <x v="6"/>
    <s v="Male (M)"/>
    <s v="Non-Hispanic White"/>
    <s v="15-24 years"/>
    <n v="918"/>
    <n v="138"/>
    <m/>
    <n v="34"/>
    <m/>
    <n v="0"/>
    <m/>
    <m/>
    <m/>
    <m/>
    <n v="13"/>
    <n v="19"/>
    <m/>
    <n v="0"/>
    <n v="0"/>
  </r>
  <r>
    <n v="2019"/>
    <n v="7"/>
    <s v="7/01/2019"/>
    <x v="6"/>
    <s v="Male (M)"/>
    <s v="Non-Hispanic White"/>
    <s v="25-34 years"/>
    <n v="2077"/>
    <n v="477"/>
    <m/>
    <n v="79"/>
    <n v="20"/>
    <m/>
    <m/>
    <m/>
    <m/>
    <m/>
    <n v="30"/>
    <n v="102"/>
    <m/>
    <n v="0"/>
    <n v="0"/>
  </r>
  <r>
    <n v="2019"/>
    <n v="7"/>
    <s v="7/01/2019"/>
    <x v="6"/>
    <s v="Male (M)"/>
    <s v="Non-Hispanic White"/>
    <s v="35-44 years"/>
    <n v="2805"/>
    <n v="1240"/>
    <n v="21"/>
    <n v="219"/>
    <n v="49"/>
    <n v="0"/>
    <n v="15"/>
    <n v="13"/>
    <n v="13"/>
    <n v="14"/>
    <n v="35"/>
    <n v="354"/>
    <n v="26"/>
    <n v="0"/>
    <n v="0"/>
  </r>
  <r>
    <n v="2019"/>
    <n v="7"/>
    <s v="7/01/2019"/>
    <x v="6"/>
    <s v="Male (M)"/>
    <s v="Non-Hispanic White"/>
    <s v="45-54 years"/>
    <n v="5537"/>
    <n v="3926"/>
    <n v="53"/>
    <n v="985"/>
    <n v="190"/>
    <m/>
    <n v="47"/>
    <n v="93"/>
    <n v="36"/>
    <n v="54"/>
    <n v="57"/>
    <n v="1214"/>
    <n v="116"/>
    <n v="0"/>
    <n v="0"/>
  </r>
  <r>
    <n v="2019"/>
    <n v="7"/>
    <s v="7/01/2019"/>
    <x v="6"/>
    <s v="Male (M)"/>
    <s v="Non-Hispanic White"/>
    <s v="5-14 years"/>
    <n v="149"/>
    <n v="67"/>
    <n v="0"/>
    <n v="24"/>
    <n v="0"/>
    <n v="0"/>
    <n v="0"/>
    <m/>
    <n v="0"/>
    <n v="0"/>
    <m/>
    <m/>
    <m/>
    <n v="0"/>
    <n v="0"/>
  </r>
  <r>
    <n v="2019"/>
    <n v="7"/>
    <s v="7/01/2019"/>
    <x v="6"/>
    <s v="Male (M)"/>
    <s v="Non-Hispanic White"/>
    <s v="55-64 years"/>
    <n v="13358"/>
    <n v="11638"/>
    <n v="183"/>
    <n v="3801"/>
    <n v="500"/>
    <n v="41"/>
    <n v="104"/>
    <n v="609"/>
    <n v="122"/>
    <n v="187"/>
    <n v="129"/>
    <n v="3093"/>
    <n v="363"/>
    <n v="0"/>
    <n v="0"/>
  </r>
  <r>
    <n v="2019"/>
    <n v="7"/>
    <s v="7/01/2019"/>
    <x v="6"/>
    <s v="Male (M)"/>
    <s v="Non-Hispanic White"/>
    <s v="65-74 years"/>
    <n v="19840"/>
    <n v="18666"/>
    <n v="243"/>
    <n v="6215"/>
    <n v="736"/>
    <n v="228"/>
    <n v="216"/>
    <n v="1300"/>
    <n v="321"/>
    <n v="278"/>
    <n v="159"/>
    <n v="4816"/>
    <n v="702"/>
    <n v="0"/>
    <n v="0"/>
  </r>
  <r>
    <n v="2019"/>
    <n v="7"/>
    <s v="7/01/2019"/>
    <x v="6"/>
    <s v="Male (M)"/>
    <s v="Non-Hispanic White"/>
    <s v="75-84 years"/>
    <n v="22946"/>
    <n v="21989"/>
    <n v="279"/>
    <n v="5833"/>
    <n v="659"/>
    <n v="833"/>
    <n v="334"/>
    <n v="1647"/>
    <n v="467"/>
    <n v="437"/>
    <n v="183"/>
    <n v="5603"/>
    <n v="1108"/>
    <n v="0"/>
    <n v="0"/>
  </r>
  <r>
    <n v="2019"/>
    <n v="7"/>
    <s v="7/01/2019"/>
    <x v="6"/>
    <s v="Male (M)"/>
    <s v="Non-Hispanic White"/>
    <s v="85 years and over"/>
    <n v="22432"/>
    <n v="21519"/>
    <n v="275"/>
    <n v="3401"/>
    <n v="456"/>
    <n v="1349"/>
    <n v="433"/>
    <n v="1227"/>
    <n v="364"/>
    <n v="474"/>
    <n v="274"/>
    <n v="6826"/>
    <n v="1406"/>
    <n v="0"/>
    <n v="0"/>
  </r>
  <r>
    <n v="2019"/>
    <n v="7"/>
    <s v="7/01/2019"/>
    <x v="6"/>
    <s v="Male (M)"/>
    <s v="Other"/>
    <s v="0-4 years"/>
    <n v="61"/>
    <n v="52"/>
    <n v="0"/>
    <m/>
    <n v="0"/>
    <n v="0"/>
    <m/>
    <n v="0"/>
    <m/>
    <n v="0"/>
    <m/>
    <n v="0"/>
    <m/>
    <n v="0"/>
    <n v="0"/>
  </r>
  <r>
    <n v="2019"/>
    <n v="7"/>
    <s v="7/01/2019"/>
    <x v="6"/>
    <s v="Male (M)"/>
    <s v="Other"/>
    <s v="15-24 years"/>
    <n v="46"/>
    <n v="10"/>
    <n v="0"/>
    <m/>
    <n v="0"/>
    <n v="0"/>
    <n v="0"/>
    <n v="0"/>
    <n v="0"/>
    <m/>
    <m/>
    <n v="0"/>
    <m/>
    <n v="0"/>
    <n v="0"/>
  </r>
  <r>
    <n v="2019"/>
    <n v="7"/>
    <s v="7/01/2019"/>
    <x v="6"/>
    <s v="Male (M)"/>
    <s v="Other"/>
    <s v="25-34 years"/>
    <n v="65"/>
    <n v="12"/>
    <n v="0"/>
    <n v="0"/>
    <m/>
    <n v="0"/>
    <n v="0"/>
    <n v="0"/>
    <n v="0"/>
    <n v="0"/>
    <n v="0"/>
    <m/>
    <n v="0"/>
    <n v="0"/>
    <n v="0"/>
  </r>
  <r>
    <n v="2019"/>
    <n v="7"/>
    <s v="7/01/2019"/>
    <x v="6"/>
    <s v="Male (M)"/>
    <s v="Other"/>
    <s v="35-44 years"/>
    <n v="61"/>
    <n v="32"/>
    <n v="0"/>
    <m/>
    <n v="0"/>
    <n v="0"/>
    <m/>
    <n v="0"/>
    <n v="0"/>
    <n v="0"/>
    <m/>
    <n v="11"/>
    <m/>
    <n v="0"/>
    <n v="0"/>
  </r>
  <r>
    <n v="2019"/>
    <n v="7"/>
    <s v="7/01/2019"/>
    <x v="6"/>
    <s v="Male (M)"/>
    <s v="Other"/>
    <s v="45-54 years"/>
    <n v="104"/>
    <n v="67"/>
    <m/>
    <n v="18"/>
    <m/>
    <n v="0"/>
    <m/>
    <m/>
    <m/>
    <m/>
    <m/>
    <n v="19"/>
    <m/>
    <n v="0"/>
    <n v="0"/>
  </r>
  <r>
    <n v="2019"/>
    <n v="7"/>
    <s v="7/01/2019"/>
    <x v="6"/>
    <s v="Male (M)"/>
    <s v="Other"/>
    <s v="5-14 years"/>
    <n v="14"/>
    <m/>
    <n v="0"/>
    <m/>
    <n v="0"/>
    <n v="0"/>
    <m/>
    <m/>
    <n v="0"/>
    <n v="0"/>
    <n v="0"/>
    <m/>
    <m/>
    <n v="0"/>
    <n v="0"/>
  </r>
  <r>
    <n v="2019"/>
    <n v="7"/>
    <s v="7/01/2019"/>
    <x v="6"/>
    <s v="Male (M)"/>
    <s v="Other"/>
    <s v="55-64 years"/>
    <n v="251"/>
    <n v="208"/>
    <m/>
    <n v="54"/>
    <m/>
    <n v="0"/>
    <m/>
    <m/>
    <m/>
    <n v="0"/>
    <m/>
    <n v="77"/>
    <n v="11"/>
    <n v="0"/>
    <n v="0"/>
  </r>
  <r>
    <n v="2019"/>
    <n v="7"/>
    <s v="7/01/2019"/>
    <x v="6"/>
    <s v="Male (M)"/>
    <s v="Other"/>
    <s v="65-74 years"/>
    <n v="234"/>
    <n v="209"/>
    <m/>
    <n v="67"/>
    <n v="12"/>
    <m/>
    <m/>
    <n v="10"/>
    <m/>
    <m/>
    <m/>
    <n v="74"/>
    <m/>
    <n v="0"/>
    <n v="0"/>
  </r>
  <r>
    <n v="2019"/>
    <n v="7"/>
    <s v="7/01/2019"/>
    <x v="6"/>
    <s v="Male (M)"/>
    <s v="Other"/>
    <s v="75-84 years"/>
    <n v="181"/>
    <n v="172"/>
    <m/>
    <n v="31"/>
    <n v="10"/>
    <m/>
    <m/>
    <n v="14"/>
    <m/>
    <m/>
    <m/>
    <n v="47"/>
    <m/>
    <n v="0"/>
    <n v="0"/>
  </r>
  <r>
    <n v="2019"/>
    <n v="7"/>
    <s v="7/01/2019"/>
    <x v="6"/>
    <s v="Male (M)"/>
    <s v="Other"/>
    <s v="85 years and over"/>
    <n v="120"/>
    <n v="117"/>
    <m/>
    <n v="15"/>
    <m/>
    <m/>
    <n v="0"/>
    <m/>
    <n v="0"/>
    <m/>
    <m/>
    <n v="36"/>
    <n v="10"/>
    <n v="0"/>
    <n v="0"/>
  </r>
  <r>
    <n v="2019"/>
    <n v="8"/>
    <s v="8/01/2019"/>
    <x v="7"/>
    <s v="Female (F)"/>
    <s v="Hispanic"/>
    <s v="0-4 years"/>
    <n v="191"/>
    <n v="169"/>
    <m/>
    <m/>
    <n v="0"/>
    <n v="0"/>
    <n v="0"/>
    <n v="0"/>
    <m/>
    <n v="0"/>
    <n v="14"/>
    <m/>
    <n v="0"/>
    <n v="0"/>
    <n v="0"/>
  </r>
  <r>
    <n v="2019"/>
    <n v="8"/>
    <s v="8/01/2019"/>
    <x v="7"/>
    <s v="Female (F)"/>
    <s v="Hispanic"/>
    <s v="15-24 years"/>
    <n v="134"/>
    <n v="41"/>
    <m/>
    <n v="15"/>
    <m/>
    <n v="0"/>
    <m/>
    <n v="0"/>
    <m/>
    <m/>
    <m/>
    <m/>
    <m/>
    <n v="0"/>
    <n v="0"/>
  </r>
  <r>
    <n v="2019"/>
    <n v="8"/>
    <s v="8/01/2019"/>
    <x v="7"/>
    <s v="Female (F)"/>
    <s v="Hispanic"/>
    <s v="25-34 years"/>
    <n v="214"/>
    <n v="119"/>
    <m/>
    <n v="31"/>
    <m/>
    <n v="0"/>
    <n v="0"/>
    <m/>
    <m/>
    <m/>
    <m/>
    <n v="13"/>
    <m/>
    <n v="0"/>
    <n v="0"/>
  </r>
  <r>
    <n v="2019"/>
    <n v="8"/>
    <s v="8/01/2019"/>
    <x v="7"/>
    <s v="Female (F)"/>
    <s v="Hispanic"/>
    <s v="35-44 years"/>
    <n v="361"/>
    <n v="251"/>
    <m/>
    <n v="106"/>
    <n v="12"/>
    <n v="0"/>
    <m/>
    <m/>
    <m/>
    <m/>
    <m/>
    <n v="26"/>
    <n v="12"/>
    <n v="0"/>
    <n v="0"/>
  </r>
  <r>
    <n v="2019"/>
    <n v="8"/>
    <s v="8/01/2019"/>
    <x v="7"/>
    <s v="Female (F)"/>
    <s v="Hispanic"/>
    <s v="45-54 years"/>
    <n v="520"/>
    <n v="451"/>
    <m/>
    <n v="189"/>
    <n v="36"/>
    <n v="0"/>
    <m/>
    <m/>
    <m/>
    <m/>
    <m/>
    <n v="65"/>
    <n v="25"/>
    <n v="0"/>
    <n v="0"/>
  </r>
  <r>
    <n v="2019"/>
    <n v="8"/>
    <s v="8/01/2019"/>
    <x v="7"/>
    <s v="Female (F)"/>
    <s v="Hispanic"/>
    <s v="5-14 years"/>
    <n v="41"/>
    <n v="19"/>
    <n v="0"/>
    <m/>
    <n v="0"/>
    <n v="0"/>
    <n v="0"/>
    <n v="0"/>
    <n v="0"/>
    <n v="0"/>
    <n v="0"/>
    <m/>
    <n v="0"/>
    <n v="0"/>
    <n v="0"/>
  </r>
  <r>
    <n v="2019"/>
    <n v="8"/>
    <s v="8/01/2019"/>
    <x v="7"/>
    <s v="Female (F)"/>
    <s v="Hispanic"/>
    <s v="55-64 years"/>
    <n v="943"/>
    <n v="873"/>
    <n v="18"/>
    <n v="348"/>
    <n v="67"/>
    <m/>
    <m/>
    <n v="17"/>
    <n v="14"/>
    <n v="18"/>
    <m/>
    <n v="146"/>
    <n v="43"/>
    <n v="0"/>
    <n v="0"/>
  </r>
  <r>
    <n v="2019"/>
    <n v="8"/>
    <s v="8/01/2019"/>
    <x v="7"/>
    <s v="Female (F)"/>
    <s v="Hispanic"/>
    <s v="65-74 years"/>
    <n v="1219"/>
    <n v="1173"/>
    <n v="12"/>
    <n v="389"/>
    <n v="88"/>
    <n v="21"/>
    <n v="14"/>
    <n v="32"/>
    <n v="22"/>
    <n v="37"/>
    <n v="11"/>
    <n v="211"/>
    <n v="56"/>
    <n v="0"/>
    <n v="0"/>
  </r>
  <r>
    <n v="2019"/>
    <n v="8"/>
    <s v="8/01/2019"/>
    <x v="7"/>
    <s v="Female (F)"/>
    <s v="Hispanic"/>
    <s v="75-84 years"/>
    <n v="1634"/>
    <n v="1595"/>
    <n v="16"/>
    <n v="359"/>
    <n v="80"/>
    <n v="99"/>
    <n v="25"/>
    <n v="60"/>
    <n v="33"/>
    <n v="43"/>
    <m/>
    <n v="357"/>
    <n v="120"/>
    <n v="0"/>
    <n v="0"/>
  </r>
  <r>
    <n v="2019"/>
    <n v="8"/>
    <s v="8/01/2019"/>
    <x v="7"/>
    <s v="Female (F)"/>
    <s v="Hispanic"/>
    <s v="85 years and over"/>
    <n v="2293"/>
    <n v="2246"/>
    <n v="22"/>
    <n v="274"/>
    <n v="69"/>
    <n v="271"/>
    <n v="38"/>
    <n v="79"/>
    <n v="31"/>
    <n v="45"/>
    <n v="20"/>
    <n v="581"/>
    <n v="253"/>
    <n v="0"/>
    <n v="0"/>
  </r>
  <r>
    <n v="2019"/>
    <n v="8"/>
    <s v="8/01/2019"/>
    <x v="7"/>
    <s v="Female (F)"/>
    <s v="Non-Hispanic American Indian or Alaska Native"/>
    <s v="0-4 years"/>
    <n v="10"/>
    <m/>
    <n v="0"/>
    <n v="0"/>
    <n v="0"/>
    <n v="0"/>
    <n v="0"/>
    <n v="0"/>
    <n v="0"/>
    <n v="0"/>
    <m/>
    <n v="0"/>
    <n v="0"/>
    <n v="0"/>
    <n v="0"/>
  </r>
  <r>
    <n v="2019"/>
    <n v="8"/>
    <s v="8/01/2019"/>
    <x v="7"/>
    <s v="Female (F)"/>
    <s v="Non-Hispanic American Indian or Alaska Native"/>
    <s v="15-24 years"/>
    <n v="16"/>
    <m/>
    <n v="0"/>
    <n v="0"/>
    <n v="0"/>
    <n v="0"/>
    <n v="0"/>
    <n v="0"/>
    <n v="0"/>
    <m/>
    <m/>
    <n v="0"/>
    <n v="0"/>
    <n v="0"/>
    <n v="0"/>
  </r>
  <r>
    <n v="2019"/>
    <n v="8"/>
    <s v="8/01/2019"/>
    <x v="7"/>
    <s v="Female (F)"/>
    <s v="Non-Hispanic American Indian or Alaska Native"/>
    <s v="25-34 years"/>
    <n v="31"/>
    <n v="19"/>
    <m/>
    <n v="0"/>
    <m/>
    <n v="0"/>
    <n v="0"/>
    <n v="0"/>
    <n v="0"/>
    <n v="0"/>
    <m/>
    <m/>
    <n v="0"/>
    <n v="0"/>
    <n v="0"/>
  </r>
  <r>
    <n v="2019"/>
    <n v="8"/>
    <s v="8/01/2019"/>
    <x v="7"/>
    <s v="Female (F)"/>
    <s v="Non-Hispanic American Indian or Alaska Native"/>
    <s v="35-44 years"/>
    <n v="61"/>
    <n v="42"/>
    <n v="0"/>
    <m/>
    <m/>
    <n v="0"/>
    <m/>
    <n v="0"/>
    <n v="0"/>
    <n v="0"/>
    <m/>
    <m/>
    <m/>
    <n v="0"/>
    <n v="0"/>
  </r>
  <r>
    <n v="2019"/>
    <n v="8"/>
    <s v="8/01/2019"/>
    <x v="7"/>
    <s v="Female (F)"/>
    <s v="Non-Hispanic American Indian or Alaska Native"/>
    <s v="45-54 years"/>
    <n v="73"/>
    <n v="61"/>
    <n v="0"/>
    <n v="15"/>
    <m/>
    <n v="0"/>
    <m/>
    <n v="0"/>
    <m/>
    <m/>
    <n v="0"/>
    <m/>
    <m/>
    <n v="0"/>
    <n v="0"/>
  </r>
  <r>
    <n v="2019"/>
    <n v="8"/>
    <s v="8/01/2019"/>
    <x v="7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8"/>
    <s v="8/01/2019"/>
    <x v="7"/>
    <s v="Female (F)"/>
    <s v="Non-Hispanic American Indian or Alaska Native"/>
    <s v="55-64 years"/>
    <n v="101"/>
    <n v="91"/>
    <m/>
    <n v="26"/>
    <m/>
    <m/>
    <m/>
    <m/>
    <m/>
    <m/>
    <m/>
    <n v="13"/>
    <m/>
    <n v="0"/>
    <n v="0"/>
  </r>
  <r>
    <n v="2019"/>
    <n v="8"/>
    <s v="8/01/2019"/>
    <x v="7"/>
    <s v="Female (F)"/>
    <s v="Non-Hispanic American Indian or Alaska Native"/>
    <s v="65-74 years"/>
    <n v="125"/>
    <n v="120"/>
    <m/>
    <n v="36"/>
    <m/>
    <m/>
    <m/>
    <m/>
    <m/>
    <m/>
    <n v="0"/>
    <n v="16"/>
    <m/>
    <n v="0"/>
    <n v="0"/>
  </r>
  <r>
    <n v="2019"/>
    <n v="8"/>
    <s v="8/01/2019"/>
    <x v="7"/>
    <s v="Female (F)"/>
    <s v="Non-Hispanic American Indian or Alaska Native"/>
    <s v="75-84 years"/>
    <n v="119"/>
    <n v="117"/>
    <m/>
    <n v="23"/>
    <m/>
    <m/>
    <m/>
    <m/>
    <m/>
    <n v="0"/>
    <n v="0"/>
    <n v="21"/>
    <m/>
    <n v="0"/>
    <n v="0"/>
  </r>
  <r>
    <n v="2019"/>
    <n v="8"/>
    <s v="8/01/2019"/>
    <x v="7"/>
    <s v="Female (F)"/>
    <s v="Non-Hispanic American Indian or Alaska Native"/>
    <s v="85 years and over"/>
    <n v="123"/>
    <n v="118"/>
    <n v="0"/>
    <n v="15"/>
    <m/>
    <m/>
    <m/>
    <m/>
    <m/>
    <m/>
    <m/>
    <n v="37"/>
    <m/>
    <n v="0"/>
    <n v="0"/>
  </r>
  <r>
    <n v="2019"/>
    <n v="8"/>
    <s v="8/01/2019"/>
    <x v="7"/>
    <s v="Female (F)"/>
    <s v="Non-Hispanic Asian"/>
    <s v="0-4 years"/>
    <n v="32"/>
    <n v="29"/>
    <n v="0"/>
    <n v="0"/>
    <n v="0"/>
    <n v="0"/>
    <m/>
    <n v="0"/>
    <m/>
    <n v="0"/>
    <m/>
    <m/>
    <n v="0"/>
    <n v="0"/>
    <n v="0"/>
  </r>
  <r>
    <n v="2019"/>
    <n v="8"/>
    <s v="8/01/2019"/>
    <x v="7"/>
    <s v="Female (F)"/>
    <s v="Non-Hispanic Asian"/>
    <s v="15-24 years"/>
    <n v="12"/>
    <m/>
    <n v="0"/>
    <m/>
    <n v="0"/>
    <n v="0"/>
    <n v="0"/>
    <n v="0"/>
    <n v="0"/>
    <n v="0"/>
    <n v="0"/>
    <n v="0"/>
    <n v="0"/>
    <n v="0"/>
    <n v="0"/>
  </r>
  <r>
    <n v="2019"/>
    <n v="8"/>
    <s v="8/01/2019"/>
    <x v="7"/>
    <s v="Female (F)"/>
    <s v="Non-Hispanic Asian"/>
    <s v="25-34 years"/>
    <n v="39"/>
    <n v="18"/>
    <n v="0"/>
    <m/>
    <n v="0"/>
    <n v="0"/>
    <n v="0"/>
    <m/>
    <n v="0"/>
    <n v="0"/>
    <m/>
    <m/>
    <m/>
    <n v="0"/>
    <n v="0"/>
  </r>
  <r>
    <n v="2019"/>
    <n v="8"/>
    <s v="8/01/2019"/>
    <x v="7"/>
    <s v="Female (F)"/>
    <s v="Non-Hispanic Asian"/>
    <s v="35-44 years"/>
    <n v="64"/>
    <n v="41"/>
    <n v="0"/>
    <n v="24"/>
    <n v="0"/>
    <n v="0"/>
    <n v="0"/>
    <m/>
    <n v="0"/>
    <n v="0"/>
    <n v="0"/>
    <m/>
    <m/>
    <n v="0"/>
    <n v="0"/>
  </r>
  <r>
    <n v="2019"/>
    <n v="8"/>
    <s v="8/01/2019"/>
    <x v="7"/>
    <s v="Female (F)"/>
    <s v="Non-Hispanic Asian"/>
    <s v="45-54 years"/>
    <n v="135"/>
    <n v="115"/>
    <m/>
    <n v="82"/>
    <m/>
    <n v="0"/>
    <m/>
    <m/>
    <n v="0"/>
    <n v="0"/>
    <n v="0"/>
    <m/>
    <n v="11"/>
    <n v="0"/>
    <n v="0"/>
  </r>
  <r>
    <n v="2019"/>
    <n v="8"/>
    <s v="8/01/2019"/>
    <x v="7"/>
    <s v="Female (F)"/>
    <s v="Non-Hispanic Asian"/>
    <s v="5-14 years"/>
    <n v="10"/>
    <m/>
    <n v="0"/>
    <m/>
    <n v="0"/>
    <n v="0"/>
    <n v="0"/>
    <m/>
    <n v="0"/>
    <n v="0"/>
    <n v="0"/>
    <n v="0"/>
    <n v="0"/>
    <n v="0"/>
    <n v="0"/>
  </r>
  <r>
    <n v="2019"/>
    <n v="8"/>
    <s v="8/01/2019"/>
    <x v="7"/>
    <s v="Female (F)"/>
    <s v="Non-Hispanic Asian"/>
    <s v="55-64 years"/>
    <n v="264"/>
    <n v="247"/>
    <m/>
    <n v="143"/>
    <n v="15"/>
    <m/>
    <m/>
    <m/>
    <m/>
    <m/>
    <n v="0"/>
    <n v="27"/>
    <n v="18"/>
    <n v="0"/>
    <n v="0"/>
  </r>
  <r>
    <n v="2019"/>
    <n v="8"/>
    <s v="8/01/2019"/>
    <x v="7"/>
    <s v="Female (F)"/>
    <s v="Non-Hispanic Asian"/>
    <s v="65-74 years"/>
    <n v="451"/>
    <n v="436"/>
    <m/>
    <n v="198"/>
    <n v="27"/>
    <m/>
    <m/>
    <m/>
    <m/>
    <n v="10"/>
    <m/>
    <n v="68"/>
    <n v="38"/>
    <n v="0"/>
    <n v="0"/>
  </r>
  <r>
    <n v="2019"/>
    <n v="8"/>
    <s v="8/01/2019"/>
    <x v="7"/>
    <s v="Female (F)"/>
    <s v="Non-Hispanic Asian"/>
    <s v="75-84 years"/>
    <n v="644"/>
    <n v="627"/>
    <m/>
    <n v="182"/>
    <n v="27"/>
    <n v="26"/>
    <m/>
    <n v="17"/>
    <n v="13"/>
    <n v="10"/>
    <m/>
    <n v="127"/>
    <n v="63"/>
    <n v="0"/>
    <n v="0"/>
  </r>
  <r>
    <n v="2019"/>
    <n v="8"/>
    <s v="8/01/2019"/>
    <x v="7"/>
    <s v="Female (F)"/>
    <s v="Non-Hispanic Asian"/>
    <s v="85 years and over"/>
    <n v="1073"/>
    <n v="1041"/>
    <n v="11"/>
    <n v="142"/>
    <n v="34"/>
    <n v="92"/>
    <n v="32"/>
    <n v="27"/>
    <n v="12"/>
    <n v="26"/>
    <n v="12"/>
    <n v="256"/>
    <n v="118"/>
    <n v="0"/>
    <n v="0"/>
  </r>
  <r>
    <n v="2019"/>
    <n v="8"/>
    <s v="8/01/2019"/>
    <x v="7"/>
    <s v="Female (F)"/>
    <s v="Non-Hispanic Black"/>
    <s v="0-4 years"/>
    <n v="275"/>
    <n v="244"/>
    <m/>
    <m/>
    <n v="0"/>
    <n v="0"/>
    <m/>
    <n v="0"/>
    <m/>
    <m/>
    <n v="36"/>
    <m/>
    <m/>
    <n v="0"/>
    <n v="0"/>
  </r>
  <r>
    <n v="2019"/>
    <n v="8"/>
    <s v="8/01/2019"/>
    <x v="7"/>
    <s v="Female (F)"/>
    <s v="Non-Hispanic Black"/>
    <s v="15-24 years"/>
    <n v="138"/>
    <n v="55"/>
    <n v="0"/>
    <m/>
    <m/>
    <n v="0"/>
    <m/>
    <m/>
    <m/>
    <n v="0"/>
    <m/>
    <m/>
    <m/>
    <n v="0"/>
    <n v="0"/>
  </r>
  <r>
    <n v="2019"/>
    <n v="8"/>
    <s v="8/01/2019"/>
    <x v="7"/>
    <s v="Female (F)"/>
    <s v="Non-Hispanic Black"/>
    <s v="25-34 years"/>
    <n v="310"/>
    <n v="176"/>
    <m/>
    <n v="33"/>
    <m/>
    <n v="0"/>
    <m/>
    <m/>
    <m/>
    <m/>
    <m/>
    <n v="29"/>
    <m/>
    <n v="0"/>
    <n v="0"/>
  </r>
  <r>
    <n v="2019"/>
    <n v="8"/>
    <s v="8/01/2019"/>
    <x v="7"/>
    <s v="Female (F)"/>
    <s v="Non-Hispanic Black"/>
    <s v="35-44 years"/>
    <n v="534"/>
    <n v="414"/>
    <m/>
    <n v="101"/>
    <n v="17"/>
    <n v="0"/>
    <m/>
    <m/>
    <m/>
    <m/>
    <m/>
    <n v="96"/>
    <n v="16"/>
    <n v="0"/>
    <n v="0"/>
  </r>
  <r>
    <n v="2019"/>
    <n v="8"/>
    <s v="8/01/2019"/>
    <x v="7"/>
    <s v="Female (F)"/>
    <s v="Non-Hispanic Black"/>
    <s v="45-54 years"/>
    <n v="997"/>
    <n v="885"/>
    <n v="30"/>
    <n v="256"/>
    <n v="56"/>
    <m/>
    <n v="10"/>
    <n v="24"/>
    <n v="15"/>
    <n v="17"/>
    <n v="11"/>
    <n v="199"/>
    <n v="51"/>
    <n v="0"/>
    <n v="0"/>
  </r>
  <r>
    <n v="2019"/>
    <n v="8"/>
    <s v="8/01/2019"/>
    <x v="7"/>
    <s v="Female (F)"/>
    <s v="Non-Hispanic Black"/>
    <s v="5-14 years"/>
    <n v="46"/>
    <n v="24"/>
    <n v="0"/>
    <m/>
    <n v="0"/>
    <n v="0"/>
    <n v="0"/>
    <n v="0"/>
    <m/>
    <n v="0"/>
    <m/>
    <m/>
    <m/>
    <n v="0"/>
    <n v="0"/>
  </r>
  <r>
    <n v="2019"/>
    <n v="8"/>
    <s v="8/01/2019"/>
    <x v="7"/>
    <s v="Female (F)"/>
    <s v="Non-Hispanic Black"/>
    <s v="55-64 years"/>
    <n v="2177"/>
    <n v="2052"/>
    <n v="49"/>
    <n v="743"/>
    <n v="112"/>
    <m/>
    <n v="26"/>
    <n v="77"/>
    <n v="31"/>
    <n v="56"/>
    <n v="13"/>
    <n v="466"/>
    <n v="90"/>
    <n v="0"/>
    <n v="0"/>
  </r>
  <r>
    <n v="2019"/>
    <n v="8"/>
    <s v="8/01/2019"/>
    <x v="7"/>
    <s v="Female (F)"/>
    <s v="Non-Hispanic Black"/>
    <s v="65-74 years"/>
    <n v="2727"/>
    <n v="2658"/>
    <n v="82"/>
    <n v="849"/>
    <n v="139"/>
    <n v="45"/>
    <n v="38"/>
    <n v="125"/>
    <n v="37"/>
    <n v="77"/>
    <n v="24"/>
    <n v="638"/>
    <n v="156"/>
    <n v="0"/>
    <n v="0"/>
  </r>
  <r>
    <n v="2019"/>
    <n v="8"/>
    <s v="8/01/2019"/>
    <x v="7"/>
    <s v="Female (F)"/>
    <s v="Non-Hispanic Black"/>
    <s v="75-84 years"/>
    <n v="2833"/>
    <n v="2777"/>
    <n v="73"/>
    <n v="642"/>
    <n v="151"/>
    <n v="156"/>
    <n v="48"/>
    <n v="103"/>
    <n v="30"/>
    <n v="115"/>
    <n v="25"/>
    <n v="633"/>
    <n v="244"/>
    <n v="0"/>
    <n v="0"/>
  </r>
  <r>
    <n v="2019"/>
    <n v="8"/>
    <s v="8/01/2019"/>
    <x v="7"/>
    <s v="Female (F)"/>
    <s v="Non-Hispanic Black"/>
    <s v="85 years and over"/>
    <n v="3270"/>
    <n v="3219"/>
    <n v="57"/>
    <n v="379"/>
    <n v="100"/>
    <n v="352"/>
    <n v="48"/>
    <n v="79"/>
    <n v="22"/>
    <n v="109"/>
    <n v="44"/>
    <n v="879"/>
    <n v="309"/>
    <n v="0"/>
    <n v="0"/>
  </r>
  <r>
    <n v="2019"/>
    <n v="8"/>
    <s v="8/01/2019"/>
    <x v="7"/>
    <s v="Female (F)"/>
    <s v="Non-Hispanic White"/>
    <s v="0-4 years"/>
    <n v="408"/>
    <n v="342"/>
    <m/>
    <m/>
    <n v="0"/>
    <n v="0"/>
    <m/>
    <n v="0"/>
    <m/>
    <m/>
    <n v="36"/>
    <m/>
    <m/>
    <n v="0"/>
    <n v="0"/>
  </r>
  <r>
    <n v="2019"/>
    <n v="8"/>
    <s v="8/01/2019"/>
    <x v="7"/>
    <s v="Female (F)"/>
    <s v="Non-Hispanic White"/>
    <s v="15-24 years"/>
    <n v="368"/>
    <n v="110"/>
    <m/>
    <n v="23"/>
    <m/>
    <n v="0"/>
    <m/>
    <m/>
    <m/>
    <m/>
    <m/>
    <n v="15"/>
    <m/>
    <n v="0"/>
    <n v="0"/>
  </r>
  <r>
    <n v="2019"/>
    <n v="8"/>
    <s v="8/01/2019"/>
    <x v="7"/>
    <s v="Female (F)"/>
    <s v="Non-Hispanic White"/>
    <s v="25-34 years"/>
    <n v="940"/>
    <n v="383"/>
    <n v="17"/>
    <n v="90"/>
    <n v="10"/>
    <n v="0"/>
    <m/>
    <m/>
    <m/>
    <m/>
    <n v="23"/>
    <n v="58"/>
    <n v="13"/>
    <n v="0"/>
    <n v="0"/>
  </r>
  <r>
    <n v="2019"/>
    <n v="8"/>
    <s v="8/01/2019"/>
    <x v="7"/>
    <s v="Female (F)"/>
    <s v="Non-Hispanic White"/>
    <s v="35-44 years"/>
    <n v="1547"/>
    <n v="935"/>
    <n v="10"/>
    <n v="312"/>
    <n v="38"/>
    <n v="0"/>
    <n v="11"/>
    <n v="16"/>
    <n v="11"/>
    <n v="10"/>
    <n v="27"/>
    <n v="140"/>
    <n v="33"/>
    <n v="0"/>
    <n v="0"/>
  </r>
  <r>
    <n v="2019"/>
    <n v="8"/>
    <s v="8/01/2019"/>
    <x v="7"/>
    <s v="Female (F)"/>
    <s v="Non-Hispanic White"/>
    <s v="45-54 years"/>
    <n v="3161"/>
    <n v="2547"/>
    <n v="35"/>
    <n v="965"/>
    <n v="95"/>
    <m/>
    <n v="32"/>
    <n v="114"/>
    <n v="30"/>
    <n v="19"/>
    <n v="41"/>
    <n v="456"/>
    <n v="88"/>
    <n v="0"/>
    <n v="0"/>
  </r>
  <r>
    <n v="2019"/>
    <n v="8"/>
    <s v="8/01/2019"/>
    <x v="7"/>
    <s v="Female (F)"/>
    <s v="Non-Hispanic White"/>
    <s v="5-14 years"/>
    <n v="80"/>
    <n v="40"/>
    <n v="0"/>
    <n v="13"/>
    <m/>
    <n v="0"/>
    <n v="0"/>
    <m/>
    <n v="0"/>
    <n v="0"/>
    <m/>
    <m/>
    <n v="0"/>
    <n v="0"/>
    <n v="0"/>
  </r>
  <r>
    <n v="2019"/>
    <n v="8"/>
    <s v="8/01/2019"/>
    <x v="7"/>
    <s v="Female (F)"/>
    <s v="Non-Hispanic White"/>
    <s v="55-64 years"/>
    <n v="8169"/>
    <n v="7500"/>
    <n v="142"/>
    <n v="3024"/>
    <n v="239"/>
    <n v="46"/>
    <n v="79"/>
    <n v="556"/>
    <n v="119"/>
    <n v="107"/>
    <n v="75"/>
    <n v="1292"/>
    <n v="258"/>
    <n v="0"/>
    <n v="0"/>
  </r>
  <r>
    <n v="2019"/>
    <n v="8"/>
    <s v="8/01/2019"/>
    <x v="7"/>
    <s v="Female (F)"/>
    <s v="Non-Hispanic White"/>
    <s v="65-74 years"/>
    <n v="14106"/>
    <n v="13597"/>
    <n v="234"/>
    <n v="4990"/>
    <n v="434"/>
    <n v="279"/>
    <n v="179"/>
    <n v="1185"/>
    <n v="260"/>
    <n v="243"/>
    <n v="117"/>
    <n v="2445"/>
    <n v="585"/>
    <n v="0"/>
    <n v="0"/>
  </r>
  <r>
    <n v="2019"/>
    <n v="8"/>
    <s v="8/01/2019"/>
    <x v="7"/>
    <s v="Female (F)"/>
    <s v="Non-Hispanic White"/>
    <s v="75-84 years"/>
    <n v="20823"/>
    <n v="20145"/>
    <n v="283"/>
    <n v="5112"/>
    <n v="488"/>
    <n v="1284"/>
    <n v="263"/>
    <n v="1771"/>
    <n v="405"/>
    <n v="360"/>
    <n v="164"/>
    <n v="4287"/>
    <n v="1247"/>
    <n v="0"/>
    <n v="0"/>
  </r>
  <r>
    <n v="2019"/>
    <n v="8"/>
    <s v="8/01/2019"/>
    <x v="7"/>
    <s v="Female (F)"/>
    <s v="Non-Hispanic White"/>
    <s v="85 years and over"/>
    <n v="34425"/>
    <n v="33309"/>
    <n v="334"/>
    <n v="3711"/>
    <n v="504"/>
    <n v="3659"/>
    <n v="552"/>
    <n v="1667"/>
    <n v="472"/>
    <n v="506"/>
    <n v="551"/>
    <n v="9633"/>
    <n v="2763"/>
    <n v="0"/>
    <n v="0"/>
  </r>
  <r>
    <n v="2019"/>
    <n v="8"/>
    <s v="8/01/2019"/>
    <x v="7"/>
    <s v="Female (F)"/>
    <s v="Other"/>
    <s v="0-4 years"/>
    <n v="38"/>
    <n v="30"/>
    <n v="0"/>
    <n v="0"/>
    <n v="0"/>
    <n v="0"/>
    <n v="0"/>
    <n v="0"/>
    <n v="0"/>
    <n v="0"/>
    <m/>
    <m/>
    <n v="0"/>
    <n v="0"/>
    <n v="0"/>
  </r>
  <r>
    <n v="2019"/>
    <n v="8"/>
    <s v="8/01/2019"/>
    <x v="7"/>
    <s v="Female (F)"/>
    <s v="Other"/>
    <s v="15-24 years"/>
    <n v="16"/>
    <m/>
    <m/>
    <n v="0"/>
    <n v="0"/>
    <n v="0"/>
    <n v="0"/>
    <n v="0"/>
    <n v="0"/>
    <n v="0"/>
    <m/>
    <n v="0"/>
    <n v="0"/>
    <n v="0"/>
    <n v="0"/>
  </r>
  <r>
    <n v="2019"/>
    <n v="8"/>
    <s v="8/01/2019"/>
    <x v="7"/>
    <s v="Female (F)"/>
    <s v="Other"/>
    <s v="25-34 years"/>
    <n v="29"/>
    <n v="14"/>
    <n v="0"/>
    <m/>
    <n v="0"/>
    <n v="0"/>
    <n v="0"/>
    <n v="0"/>
    <n v="0"/>
    <n v="0"/>
    <n v="0"/>
    <m/>
    <m/>
    <n v="0"/>
    <n v="0"/>
  </r>
  <r>
    <n v="2019"/>
    <n v="8"/>
    <s v="8/01/2019"/>
    <x v="7"/>
    <s v="Female (F)"/>
    <s v="Other"/>
    <s v="35-44 years"/>
    <n v="44"/>
    <n v="33"/>
    <n v="0"/>
    <n v="11"/>
    <n v="0"/>
    <n v="0"/>
    <n v="0"/>
    <n v="0"/>
    <n v="0"/>
    <m/>
    <n v="0"/>
    <m/>
    <m/>
    <n v="0"/>
    <n v="0"/>
  </r>
  <r>
    <n v="2019"/>
    <n v="8"/>
    <s v="8/01/2019"/>
    <x v="7"/>
    <s v="Female (F)"/>
    <s v="Other"/>
    <s v="45-54 years"/>
    <n v="48"/>
    <n v="39"/>
    <n v="0"/>
    <n v="16"/>
    <m/>
    <n v="0"/>
    <m/>
    <m/>
    <n v="0"/>
    <n v="0"/>
    <n v="0"/>
    <m/>
    <m/>
    <n v="0"/>
    <n v="0"/>
  </r>
  <r>
    <n v="2019"/>
    <n v="8"/>
    <s v="8/01/2019"/>
    <x v="7"/>
    <s v="Female (F)"/>
    <s v="Other"/>
    <s v="5-14 years"/>
    <m/>
    <m/>
    <n v="0"/>
    <m/>
    <n v="0"/>
    <n v="0"/>
    <n v="0"/>
    <m/>
    <m/>
    <n v="0"/>
    <n v="0"/>
    <m/>
    <n v="0"/>
    <n v="0"/>
    <n v="0"/>
  </r>
  <r>
    <n v="2019"/>
    <n v="8"/>
    <s v="8/01/2019"/>
    <x v="7"/>
    <s v="Female (F)"/>
    <s v="Other"/>
    <s v="55-64 years"/>
    <n v="119"/>
    <n v="108"/>
    <m/>
    <n v="37"/>
    <m/>
    <n v="0"/>
    <m/>
    <m/>
    <m/>
    <m/>
    <m/>
    <n v="26"/>
    <m/>
    <n v="0"/>
    <n v="0"/>
  </r>
  <r>
    <n v="2019"/>
    <n v="8"/>
    <s v="8/01/2019"/>
    <x v="7"/>
    <s v="Female (F)"/>
    <s v="Other"/>
    <s v="65-74 years"/>
    <n v="158"/>
    <n v="154"/>
    <m/>
    <n v="44"/>
    <m/>
    <m/>
    <m/>
    <m/>
    <m/>
    <m/>
    <m/>
    <n v="34"/>
    <n v="11"/>
    <n v="0"/>
    <n v="0"/>
  </r>
  <r>
    <n v="2019"/>
    <n v="8"/>
    <s v="8/01/2019"/>
    <x v="7"/>
    <s v="Female (F)"/>
    <s v="Other"/>
    <s v="75-84 years"/>
    <n v="167"/>
    <n v="158"/>
    <m/>
    <n v="39"/>
    <m/>
    <m/>
    <m/>
    <n v="11"/>
    <m/>
    <m/>
    <m/>
    <n v="36"/>
    <n v="14"/>
    <n v="0"/>
    <n v="0"/>
  </r>
  <r>
    <n v="2019"/>
    <n v="8"/>
    <s v="8/01/2019"/>
    <x v="7"/>
    <s v="Female (F)"/>
    <s v="Other"/>
    <s v="85 years and over"/>
    <n v="150"/>
    <n v="148"/>
    <m/>
    <n v="13"/>
    <m/>
    <n v="16"/>
    <m/>
    <m/>
    <m/>
    <m/>
    <m/>
    <n v="45"/>
    <n v="16"/>
    <n v="0"/>
    <n v="0"/>
  </r>
  <r>
    <n v="2019"/>
    <n v="8"/>
    <s v="8/01/2019"/>
    <x v="7"/>
    <s v="Male (M)"/>
    <s v="Hispanic"/>
    <s v="0-4 years"/>
    <n v="253"/>
    <n v="224"/>
    <m/>
    <m/>
    <n v="0"/>
    <n v="0"/>
    <m/>
    <n v="0"/>
    <m/>
    <n v="0"/>
    <n v="22"/>
    <m/>
    <m/>
    <n v="0"/>
    <n v="0"/>
  </r>
  <r>
    <n v="2019"/>
    <n v="8"/>
    <s v="8/01/2019"/>
    <x v="7"/>
    <s v="Male (M)"/>
    <s v="Hispanic"/>
    <s v="15-24 years"/>
    <n v="391"/>
    <n v="86"/>
    <n v="0"/>
    <n v="27"/>
    <m/>
    <n v="0"/>
    <m/>
    <m/>
    <n v="0"/>
    <m/>
    <m/>
    <n v="11"/>
    <m/>
    <n v="0"/>
    <n v="0"/>
  </r>
  <r>
    <n v="2019"/>
    <n v="8"/>
    <s v="8/01/2019"/>
    <x v="7"/>
    <s v="Male (M)"/>
    <s v="Hispanic"/>
    <s v="25-34 years"/>
    <n v="623"/>
    <n v="174"/>
    <m/>
    <n v="29"/>
    <n v="10"/>
    <n v="0"/>
    <m/>
    <m/>
    <m/>
    <m/>
    <m/>
    <n v="38"/>
    <m/>
    <n v="0"/>
    <n v="0"/>
  </r>
  <r>
    <n v="2019"/>
    <n v="8"/>
    <s v="8/01/2019"/>
    <x v="7"/>
    <s v="Male (M)"/>
    <s v="Hispanic"/>
    <s v="35-44 years"/>
    <n v="745"/>
    <n v="361"/>
    <m/>
    <n v="74"/>
    <n v="13"/>
    <n v="0"/>
    <m/>
    <m/>
    <m/>
    <m/>
    <m/>
    <n v="87"/>
    <n v="15"/>
    <n v="0"/>
    <n v="0"/>
  </r>
  <r>
    <n v="2019"/>
    <n v="8"/>
    <s v="8/01/2019"/>
    <x v="7"/>
    <s v="Male (M)"/>
    <s v="Hispanic"/>
    <s v="45-54 years"/>
    <n v="1060"/>
    <n v="784"/>
    <n v="10"/>
    <n v="172"/>
    <n v="48"/>
    <n v="0"/>
    <n v="14"/>
    <m/>
    <m/>
    <n v="13"/>
    <n v="17"/>
    <n v="200"/>
    <n v="41"/>
    <n v="0"/>
    <n v="0"/>
  </r>
  <r>
    <n v="2019"/>
    <n v="8"/>
    <s v="8/01/2019"/>
    <x v="7"/>
    <s v="Male (M)"/>
    <s v="Hispanic"/>
    <s v="5-14 years"/>
    <n v="47"/>
    <n v="26"/>
    <m/>
    <m/>
    <m/>
    <n v="0"/>
    <m/>
    <n v="0"/>
    <m/>
    <n v="0"/>
    <m/>
    <n v="0"/>
    <m/>
    <n v="0"/>
    <n v="0"/>
  </r>
  <r>
    <n v="2019"/>
    <n v="8"/>
    <s v="8/01/2019"/>
    <x v="7"/>
    <s v="Male (M)"/>
    <s v="Hispanic"/>
    <s v="55-64 years"/>
    <n v="1651"/>
    <n v="1434"/>
    <n v="18"/>
    <n v="447"/>
    <n v="90"/>
    <m/>
    <m/>
    <n v="20"/>
    <n v="11"/>
    <n v="32"/>
    <n v="16"/>
    <n v="358"/>
    <n v="62"/>
    <n v="0"/>
    <n v="0"/>
  </r>
  <r>
    <n v="2019"/>
    <n v="8"/>
    <s v="8/01/2019"/>
    <x v="7"/>
    <s v="Male (M)"/>
    <s v="Hispanic"/>
    <s v="65-74 years"/>
    <n v="1760"/>
    <n v="1648"/>
    <n v="22"/>
    <n v="512"/>
    <n v="126"/>
    <n v="19"/>
    <n v="28"/>
    <n v="48"/>
    <n v="29"/>
    <n v="62"/>
    <n v="12"/>
    <n v="373"/>
    <n v="88"/>
    <n v="0"/>
    <n v="0"/>
  </r>
  <r>
    <n v="2019"/>
    <n v="8"/>
    <s v="8/01/2019"/>
    <x v="7"/>
    <s v="Male (M)"/>
    <s v="Hispanic"/>
    <s v="75-84 years"/>
    <n v="1669"/>
    <n v="1616"/>
    <n v="24"/>
    <n v="433"/>
    <n v="82"/>
    <n v="69"/>
    <n v="26"/>
    <n v="59"/>
    <n v="30"/>
    <n v="47"/>
    <n v="10"/>
    <n v="404"/>
    <n v="101"/>
    <n v="0"/>
    <n v="0"/>
  </r>
  <r>
    <n v="2019"/>
    <n v="8"/>
    <s v="8/01/2019"/>
    <x v="7"/>
    <s v="Male (M)"/>
    <s v="Hispanic"/>
    <s v="85 years and over"/>
    <n v="1529"/>
    <n v="1476"/>
    <n v="14"/>
    <n v="259"/>
    <n v="47"/>
    <n v="131"/>
    <n v="32"/>
    <n v="68"/>
    <n v="25"/>
    <n v="29"/>
    <m/>
    <n v="417"/>
    <n v="126"/>
    <n v="0"/>
    <n v="0"/>
  </r>
  <r>
    <n v="2019"/>
    <n v="8"/>
    <s v="8/01/2019"/>
    <x v="7"/>
    <s v="Male (M)"/>
    <s v="Non-Hispanic American Indian or Alaska Native"/>
    <s v="0-4 years"/>
    <n v="12"/>
    <m/>
    <n v="0"/>
    <m/>
    <n v="0"/>
    <n v="0"/>
    <n v="0"/>
    <n v="0"/>
    <n v="0"/>
    <n v="0"/>
    <m/>
    <m/>
    <n v="0"/>
    <n v="0"/>
    <n v="0"/>
  </r>
  <r>
    <n v="2019"/>
    <n v="8"/>
    <s v="8/01/2019"/>
    <x v="7"/>
    <s v="Male (M)"/>
    <s v="Non-Hispanic American Indian or Alaska Native"/>
    <s v="15-24 years"/>
    <n v="25"/>
    <m/>
    <n v="0"/>
    <n v="0"/>
    <n v="0"/>
    <n v="0"/>
    <n v="0"/>
    <n v="0"/>
    <n v="0"/>
    <n v="0"/>
    <n v="0"/>
    <m/>
    <n v="0"/>
    <n v="0"/>
    <n v="0"/>
  </r>
  <r>
    <n v="2019"/>
    <n v="8"/>
    <s v="8/01/2019"/>
    <x v="7"/>
    <s v="Male (M)"/>
    <s v="Non-Hispanic American Indian or Alaska Native"/>
    <s v="25-34 years"/>
    <n v="69"/>
    <n v="20"/>
    <n v="0"/>
    <m/>
    <m/>
    <n v="0"/>
    <n v="0"/>
    <n v="0"/>
    <n v="0"/>
    <n v="0"/>
    <m/>
    <m/>
    <m/>
    <n v="0"/>
    <n v="0"/>
  </r>
  <r>
    <n v="2019"/>
    <n v="8"/>
    <s v="8/01/2019"/>
    <x v="7"/>
    <s v="Male (M)"/>
    <s v="Non-Hispanic American Indian or Alaska Native"/>
    <s v="35-44 years"/>
    <n v="65"/>
    <n v="29"/>
    <m/>
    <m/>
    <n v="0"/>
    <n v="0"/>
    <n v="0"/>
    <n v="0"/>
    <n v="0"/>
    <m/>
    <m/>
    <m/>
    <n v="0"/>
    <n v="0"/>
    <n v="0"/>
  </r>
  <r>
    <n v="2019"/>
    <n v="8"/>
    <s v="8/01/2019"/>
    <x v="7"/>
    <s v="Male (M)"/>
    <s v="Non-Hispanic American Indian or Alaska Native"/>
    <s v="45-54 years"/>
    <n v="100"/>
    <n v="79"/>
    <m/>
    <m/>
    <m/>
    <n v="0"/>
    <n v="0"/>
    <n v="0"/>
    <m/>
    <m/>
    <m/>
    <n v="17"/>
    <m/>
    <n v="0"/>
    <n v="0"/>
  </r>
  <r>
    <n v="2019"/>
    <n v="8"/>
    <s v="8/01/2019"/>
    <x v="7"/>
    <s v="Male (M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19"/>
    <n v="8"/>
    <s v="8/01/2019"/>
    <x v="7"/>
    <s v="Male (M)"/>
    <s v="Non-Hispanic American Indian or Alaska Native"/>
    <s v="55-64 years"/>
    <n v="132"/>
    <n v="109"/>
    <m/>
    <n v="24"/>
    <m/>
    <n v="0"/>
    <n v="0"/>
    <m/>
    <n v="0"/>
    <m/>
    <m/>
    <n v="42"/>
    <m/>
    <n v="0"/>
    <n v="0"/>
  </r>
  <r>
    <n v="2019"/>
    <n v="8"/>
    <s v="8/01/2019"/>
    <x v="7"/>
    <s v="Male (M)"/>
    <s v="Non-Hispanic American Indian or Alaska Native"/>
    <s v="65-74 years"/>
    <n v="147"/>
    <n v="142"/>
    <m/>
    <n v="43"/>
    <n v="11"/>
    <m/>
    <n v="0"/>
    <m/>
    <m/>
    <m/>
    <n v="0"/>
    <n v="34"/>
    <n v="13"/>
    <n v="0"/>
    <n v="0"/>
  </r>
  <r>
    <n v="2019"/>
    <n v="8"/>
    <s v="8/01/2019"/>
    <x v="7"/>
    <s v="Male (M)"/>
    <s v="Non-Hispanic American Indian or Alaska Native"/>
    <s v="75-84 years"/>
    <n v="117"/>
    <n v="112"/>
    <m/>
    <n v="24"/>
    <m/>
    <n v="0"/>
    <m/>
    <m/>
    <m/>
    <m/>
    <n v="0"/>
    <n v="40"/>
    <m/>
    <n v="0"/>
    <n v="0"/>
  </r>
  <r>
    <n v="2019"/>
    <n v="8"/>
    <s v="8/01/2019"/>
    <x v="7"/>
    <s v="Male (M)"/>
    <s v="Non-Hispanic American Indian or Alaska Native"/>
    <s v="85 years and over"/>
    <n v="67"/>
    <n v="65"/>
    <n v="0"/>
    <n v="16"/>
    <m/>
    <m/>
    <n v="0"/>
    <m/>
    <n v="0"/>
    <m/>
    <n v="0"/>
    <n v="15"/>
    <m/>
    <n v="0"/>
    <n v="0"/>
  </r>
  <r>
    <n v="2019"/>
    <n v="8"/>
    <s v="8/01/2019"/>
    <x v="7"/>
    <s v="Male (M)"/>
    <s v="Non-Hispanic Asian"/>
    <s v="0-4 years"/>
    <n v="35"/>
    <n v="29"/>
    <m/>
    <m/>
    <n v="0"/>
    <n v="0"/>
    <m/>
    <n v="0"/>
    <n v="0"/>
    <n v="0"/>
    <m/>
    <m/>
    <n v="0"/>
    <n v="0"/>
    <n v="0"/>
  </r>
  <r>
    <n v="2019"/>
    <n v="8"/>
    <s v="8/01/2019"/>
    <x v="7"/>
    <s v="Male (M)"/>
    <s v="Non-Hispanic Asian"/>
    <s v="15-24 years"/>
    <n v="53"/>
    <n v="13"/>
    <n v="0"/>
    <m/>
    <n v="0"/>
    <n v="0"/>
    <n v="0"/>
    <n v="0"/>
    <n v="0"/>
    <n v="0"/>
    <m/>
    <m/>
    <n v="0"/>
    <n v="0"/>
    <n v="0"/>
  </r>
  <r>
    <n v="2019"/>
    <n v="8"/>
    <s v="8/01/2019"/>
    <x v="7"/>
    <s v="Male (M)"/>
    <s v="Non-Hispanic Asian"/>
    <s v="25-34 years"/>
    <n v="80"/>
    <n v="17"/>
    <n v="0"/>
    <m/>
    <n v="0"/>
    <n v="0"/>
    <m/>
    <n v="0"/>
    <n v="0"/>
    <n v="0"/>
    <m/>
    <n v="0"/>
    <m/>
    <n v="0"/>
    <n v="0"/>
  </r>
  <r>
    <n v="2019"/>
    <n v="8"/>
    <s v="8/01/2019"/>
    <x v="7"/>
    <s v="Male (M)"/>
    <s v="Non-Hispanic Asian"/>
    <s v="35-44 years"/>
    <n v="114"/>
    <n v="71"/>
    <n v="0"/>
    <n v="18"/>
    <m/>
    <n v="0"/>
    <n v="0"/>
    <n v="0"/>
    <n v="0"/>
    <n v="0"/>
    <m/>
    <n v="28"/>
    <m/>
    <n v="0"/>
    <n v="0"/>
  </r>
  <r>
    <n v="2019"/>
    <n v="8"/>
    <s v="8/01/2019"/>
    <x v="7"/>
    <s v="Male (M)"/>
    <s v="Non-Hispanic Asian"/>
    <s v="45-54 years"/>
    <n v="198"/>
    <n v="153"/>
    <m/>
    <n v="52"/>
    <m/>
    <n v="0"/>
    <m/>
    <m/>
    <m/>
    <m/>
    <m/>
    <n v="46"/>
    <m/>
    <n v="0"/>
    <n v="0"/>
  </r>
  <r>
    <n v="2019"/>
    <n v="8"/>
    <s v="8/01/2019"/>
    <x v="7"/>
    <s v="Male (M)"/>
    <s v="Non-Hispanic Asian"/>
    <s v="5-14 years"/>
    <n v="10"/>
    <m/>
    <n v="0"/>
    <m/>
    <n v="0"/>
    <n v="0"/>
    <n v="0"/>
    <n v="0"/>
    <n v="0"/>
    <n v="0"/>
    <n v="0"/>
    <n v="0"/>
    <m/>
    <n v="0"/>
    <n v="0"/>
  </r>
  <r>
    <n v="2019"/>
    <n v="8"/>
    <s v="8/01/2019"/>
    <x v="7"/>
    <s v="Male (M)"/>
    <s v="Non-Hispanic Asian"/>
    <s v="55-64 years"/>
    <n v="371"/>
    <n v="336"/>
    <m/>
    <n v="133"/>
    <n v="28"/>
    <n v="0"/>
    <m/>
    <m/>
    <m/>
    <m/>
    <m/>
    <n v="81"/>
    <n v="21"/>
    <n v="0"/>
    <n v="0"/>
  </r>
  <r>
    <n v="2019"/>
    <n v="8"/>
    <s v="8/01/2019"/>
    <x v="7"/>
    <s v="Male (M)"/>
    <s v="Non-Hispanic Asian"/>
    <s v="65-74 years"/>
    <n v="583"/>
    <n v="543"/>
    <m/>
    <n v="191"/>
    <n v="30"/>
    <m/>
    <n v="15"/>
    <n v="17"/>
    <n v="14"/>
    <n v="10"/>
    <m/>
    <n v="129"/>
    <n v="51"/>
    <n v="0"/>
    <n v="0"/>
  </r>
  <r>
    <n v="2019"/>
    <n v="8"/>
    <s v="8/01/2019"/>
    <x v="7"/>
    <s v="Male (M)"/>
    <s v="Non-Hispanic Asian"/>
    <s v="75-84 years"/>
    <n v="701"/>
    <n v="673"/>
    <n v="10"/>
    <n v="196"/>
    <n v="38"/>
    <n v="18"/>
    <m/>
    <n v="20"/>
    <n v="14"/>
    <n v="21"/>
    <m/>
    <n v="151"/>
    <n v="55"/>
    <n v="0"/>
    <n v="0"/>
  </r>
  <r>
    <n v="2019"/>
    <n v="8"/>
    <s v="8/01/2019"/>
    <x v="7"/>
    <s v="Male (M)"/>
    <s v="Non-Hispanic Asian"/>
    <s v="85 years and over"/>
    <n v="698"/>
    <n v="676"/>
    <m/>
    <n v="98"/>
    <n v="21"/>
    <n v="40"/>
    <n v="27"/>
    <n v="33"/>
    <n v="10"/>
    <n v="19"/>
    <m/>
    <n v="201"/>
    <n v="57"/>
    <n v="0"/>
    <n v="0"/>
  </r>
  <r>
    <n v="2019"/>
    <n v="8"/>
    <s v="8/01/2019"/>
    <x v="7"/>
    <s v="Male (M)"/>
    <s v="Non-Hispanic Black"/>
    <s v="0-4 years"/>
    <n v="344"/>
    <n v="295"/>
    <m/>
    <n v="0"/>
    <n v="0"/>
    <n v="0"/>
    <m/>
    <n v="0"/>
    <m/>
    <n v="0"/>
    <n v="35"/>
    <m/>
    <m/>
    <n v="0"/>
    <n v="0"/>
  </r>
  <r>
    <n v="2019"/>
    <n v="8"/>
    <s v="8/01/2019"/>
    <x v="7"/>
    <s v="Male (M)"/>
    <s v="Non-Hispanic Black"/>
    <s v="15-24 years"/>
    <n v="496"/>
    <n v="67"/>
    <m/>
    <m/>
    <m/>
    <n v="0"/>
    <m/>
    <m/>
    <n v="0"/>
    <n v="0"/>
    <m/>
    <n v="13"/>
    <m/>
    <n v="0"/>
    <n v="0"/>
  </r>
  <r>
    <n v="2019"/>
    <n v="8"/>
    <s v="8/01/2019"/>
    <x v="7"/>
    <s v="Male (M)"/>
    <s v="Non-Hispanic Black"/>
    <s v="25-34 years"/>
    <n v="761"/>
    <n v="206"/>
    <m/>
    <n v="20"/>
    <n v="17"/>
    <n v="0"/>
    <m/>
    <m/>
    <m/>
    <m/>
    <n v="16"/>
    <n v="46"/>
    <m/>
    <n v="0"/>
    <n v="0"/>
  </r>
  <r>
    <n v="2019"/>
    <n v="8"/>
    <s v="8/01/2019"/>
    <x v="7"/>
    <s v="Male (M)"/>
    <s v="Non-Hispanic Black"/>
    <s v="35-44 years"/>
    <n v="852"/>
    <n v="447"/>
    <n v="15"/>
    <n v="55"/>
    <n v="29"/>
    <n v="0"/>
    <m/>
    <n v="11"/>
    <m/>
    <n v="13"/>
    <n v="18"/>
    <n v="141"/>
    <n v="14"/>
    <n v="0"/>
    <n v="0"/>
  </r>
  <r>
    <n v="2019"/>
    <n v="8"/>
    <s v="8/01/2019"/>
    <x v="7"/>
    <s v="Male (M)"/>
    <s v="Non-Hispanic Black"/>
    <s v="45-54 years"/>
    <n v="1390"/>
    <n v="1043"/>
    <n v="22"/>
    <n v="207"/>
    <n v="43"/>
    <n v="0"/>
    <n v="16"/>
    <n v="12"/>
    <n v="11"/>
    <n v="35"/>
    <n v="22"/>
    <n v="346"/>
    <n v="76"/>
    <n v="0"/>
    <n v="0"/>
  </r>
  <r>
    <n v="2019"/>
    <n v="8"/>
    <s v="8/01/2019"/>
    <x v="7"/>
    <s v="Male (M)"/>
    <s v="Non-Hispanic Black"/>
    <s v="5-14 years"/>
    <n v="71"/>
    <n v="34"/>
    <m/>
    <m/>
    <n v="0"/>
    <n v="0"/>
    <n v="0"/>
    <m/>
    <m/>
    <n v="0"/>
    <m/>
    <m/>
    <m/>
    <n v="0"/>
    <n v="0"/>
  </r>
  <r>
    <n v="2019"/>
    <n v="8"/>
    <s v="8/01/2019"/>
    <x v="7"/>
    <s v="Male (M)"/>
    <s v="Non-Hispanic Black"/>
    <s v="55-64 years"/>
    <n v="3089"/>
    <n v="2711"/>
    <n v="52"/>
    <n v="745"/>
    <n v="128"/>
    <m/>
    <n v="33"/>
    <n v="77"/>
    <n v="32"/>
    <n v="77"/>
    <n v="29"/>
    <n v="809"/>
    <n v="141"/>
    <n v="0"/>
    <n v="0"/>
  </r>
  <r>
    <n v="2019"/>
    <n v="8"/>
    <s v="8/01/2019"/>
    <x v="7"/>
    <s v="Male (M)"/>
    <s v="Non-Hispanic Black"/>
    <s v="65-74 years"/>
    <n v="3386"/>
    <n v="3227"/>
    <n v="58"/>
    <n v="957"/>
    <n v="159"/>
    <n v="23"/>
    <n v="39"/>
    <n v="120"/>
    <n v="39"/>
    <n v="95"/>
    <n v="31"/>
    <n v="894"/>
    <n v="210"/>
    <n v="0"/>
    <n v="0"/>
  </r>
  <r>
    <n v="2019"/>
    <n v="8"/>
    <s v="8/01/2019"/>
    <x v="7"/>
    <s v="Male (M)"/>
    <s v="Non-Hispanic Black"/>
    <s v="75-84 years"/>
    <n v="2538"/>
    <n v="2484"/>
    <n v="66"/>
    <n v="606"/>
    <n v="137"/>
    <n v="89"/>
    <n v="33"/>
    <n v="110"/>
    <n v="35"/>
    <n v="88"/>
    <n v="26"/>
    <n v="669"/>
    <n v="154"/>
    <n v="0"/>
    <n v="0"/>
  </r>
  <r>
    <n v="2019"/>
    <n v="8"/>
    <s v="8/01/2019"/>
    <x v="7"/>
    <s v="Male (M)"/>
    <s v="Non-Hispanic Black"/>
    <s v="85 years and over"/>
    <n v="1550"/>
    <n v="1517"/>
    <n v="41"/>
    <n v="256"/>
    <n v="52"/>
    <n v="77"/>
    <n v="36"/>
    <n v="58"/>
    <n v="12"/>
    <n v="57"/>
    <n v="15"/>
    <n v="427"/>
    <n v="110"/>
    <n v="0"/>
    <n v="0"/>
  </r>
  <r>
    <n v="2019"/>
    <n v="8"/>
    <s v="8/01/2019"/>
    <x v="7"/>
    <s v="Male (M)"/>
    <s v="Non-Hispanic White"/>
    <s v="0-4 years"/>
    <n v="441"/>
    <n v="374"/>
    <m/>
    <m/>
    <n v="0"/>
    <n v="0"/>
    <m/>
    <n v="0"/>
    <m/>
    <n v="0"/>
    <n v="50"/>
    <m/>
    <m/>
    <n v="0"/>
    <n v="0"/>
  </r>
  <r>
    <n v="2019"/>
    <n v="8"/>
    <s v="8/01/2019"/>
    <x v="7"/>
    <s v="Male (M)"/>
    <s v="Non-Hispanic White"/>
    <s v="15-24 years"/>
    <n v="895"/>
    <n v="152"/>
    <m/>
    <n v="30"/>
    <m/>
    <n v="0"/>
    <m/>
    <m/>
    <m/>
    <m/>
    <m/>
    <n v="25"/>
    <m/>
    <n v="0"/>
    <n v="0"/>
  </r>
  <r>
    <n v="2019"/>
    <n v="8"/>
    <s v="8/01/2019"/>
    <x v="7"/>
    <s v="Male (M)"/>
    <s v="Non-Hispanic White"/>
    <s v="25-34 years"/>
    <n v="2083"/>
    <n v="463"/>
    <m/>
    <n v="92"/>
    <n v="22"/>
    <n v="0"/>
    <m/>
    <m/>
    <m/>
    <m/>
    <n v="31"/>
    <n v="79"/>
    <n v="15"/>
    <n v="0"/>
    <n v="0"/>
  </r>
  <r>
    <n v="2019"/>
    <n v="8"/>
    <s v="8/01/2019"/>
    <x v="7"/>
    <s v="Male (M)"/>
    <s v="Non-Hispanic White"/>
    <s v="35-44 years"/>
    <n v="2742"/>
    <n v="1184"/>
    <n v="17"/>
    <n v="239"/>
    <n v="61"/>
    <n v="0"/>
    <n v="17"/>
    <n v="12"/>
    <n v="14"/>
    <n v="12"/>
    <n v="50"/>
    <n v="300"/>
    <n v="22"/>
    <n v="0"/>
    <n v="0"/>
  </r>
  <r>
    <n v="2019"/>
    <n v="8"/>
    <s v="8/01/2019"/>
    <x v="7"/>
    <s v="Male (M)"/>
    <s v="Non-Hispanic White"/>
    <s v="45-54 years"/>
    <n v="5226"/>
    <n v="3703"/>
    <n v="64"/>
    <n v="936"/>
    <n v="176"/>
    <m/>
    <n v="34"/>
    <n v="82"/>
    <n v="33"/>
    <n v="49"/>
    <n v="56"/>
    <n v="1070"/>
    <n v="121"/>
    <n v="0"/>
    <n v="0"/>
  </r>
  <r>
    <n v="2019"/>
    <n v="8"/>
    <s v="8/01/2019"/>
    <x v="7"/>
    <s v="Male (M)"/>
    <s v="Non-Hispanic White"/>
    <s v="5-14 years"/>
    <n v="116"/>
    <n v="55"/>
    <m/>
    <n v="13"/>
    <n v="0"/>
    <n v="0"/>
    <m/>
    <m/>
    <m/>
    <m/>
    <n v="0"/>
    <m/>
    <m/>
    <n v="0"/>
    <n v="0"/>
  </r>
  <r>
    <n v="2019"/>
    <n v="8"/>
    <s v="8/01/2019"/>
    <x v="7"/>
    <s v="Male (M)"/>
    <s v="Non-Hispanic White"/>
    <s v="55-64 years"/>
    <n v="13095"/>
    <n v="11420"/>
    <n v="149"/>
    <n v="3649"/>
    <n v="464"/>
    <n v="35"/>
    <n v="119"/>
    <n v="577"/>
    <n v="141"/>
    <n v="142"/>
    <n v="133"/>
    <n v="3156"/>
    <n v="359"/>
    <n v="0"/>
    <n v="0"/>
  </r>
  <r>
    <n v="2019"/>
    <n v="8"/>
    <s v="8/01/2019"/>
    <x v="7"/>
    <s v="Male (M)"/>
    <s v="Non-Hispanic White"/>
    <s v="65-74 years"/>
    <n v="19849"/>
    <n v="18682"/>
    <n v="240"/>
    <n v="6277"/>
    <n v="703"/>
    <n v="216"/>
    <n v="236"/>
    <n v="1256"/>
    <n v="334"/>
    <n v="305"/>
    <n v="163"/>
    <n v="4723"/>
    <n v="698"/>
    <n v="0"/>
    <n v="0"/>
  </r>
  <r>
    <n v="2019"/>
    <n v="8"/>
    <s v="8/01/2019"/>
    <x v="7"/>
    <s v="Male (M)"/>
    <s v="Non-Hispanic White"/>
    <s v="75-84 years"/>
    <n v="22871"/>
    <n v="21876"/>
    <n v="285"/>
    <n v="5917"/>
    <n v="669"/>
    <n v="840"/>
    <n v="364"/>
    <n v="1524"/>
    <n v="497"/>
    <n v="422"/>
    <n v="156"/>
    <n v="5621"/>
    <n v="1102"/>
    <n v="0"/>
    <n v="0"/>
  </r>
  <r>
    <n v="2019"/>
    <n v="8"/>
    <s v="8/01/2019"/>
    <x v="7"/>
    <s v="Male (M)"/>
    <s v="Non-Hispanic White"/>
    <s v="85 years and over"/>
    <n v="22495"/>
    <n v="21589"/>
    <n v="229"/>
    <n v="3502"/>
    <n v="460"/>
    <n v="1432"/>
    <n v="425"/>
    <n v="1130"/>
    <n v="360"/>
    <n v="464"/>
    <n v="274"/>
    <n v="6745"/>
    <n v="1376"/>
    <n v="0"/>
    <n v="0"/>
  </r>
  <r>
    <n v="2019"/>
    <n v="8"/>
    <s v="8/01/2019"/>
    <x v="7"/>
    <s v="Male (M)"/>
    <s v="Other"/>
    <s v="0-4 years"/>
    <n v="67"/>
    <n v="57"/>
    <m/>
    <m/>
    <n v="0"/>
    <n v="0"/>
    <n v="0"/>
    <n v="0"/>
    <m/>
    <n v="0"/>
    <n v="12"/>
    <n v="0"/>
    <n v="0"/>
    <n v="0"/>
    <n v="0"/>
  </r>
  <r>
    <n v="2019"/>
    <n v="8"/>
    <s v="8/01/2019"/>
    <x v="7"/>
    <s v="Male (M)"/>
    <s v="Other"/>
    <s v="15-24 years"/>
    <n v="44"/>
    <m/>
    <n v="0"/>
    <m/>
    <n v="0"/>
    <n v="0"/>
    <n v="0"/>
    <n v="0"/>
    <m/>
    <n v="0"/>
    <n v="0"/>
    <n v="0"/>
    <n v="0"/>
    <n v="0"/>
    <n v="0"/>
  </r>
  <r>
    <n v="2019"/>
    <n v="8"/>
    <s v="8/01/2019"/>
    <x v="7"/>
    <s v="Male (M)"/>
    <s v="Other"/>
    <s v="25-34 years"/>
    <n v="65"/>
    <n v="26"/>
    <n v="0"/>
    <m/>
    <m/>
    <n v="0"/>
    <m/>
    <m/>
    <n v="0"/>
    <n v="0"/>
    <m/>
    <n v="10"/>
    <n v="0"/>
    <n v="0"/>
    <n v="0"/>
  </r>
  <r>
    <n v="2019"/>
    <n v="8"/>
    <s v="8/01/2019"/>
    <x v="7"/>
    <s v="Male (M)"/>
    <s v="Other"/>
    <s v="35-44 years"/>
    <n v="64"/>
    <n v="26"/>
    <n v="0"/>
    <m/>
    <m/>
    <n v="0"/>
    <m/>
    <n v="0"/>
    <n v="0"/>
    <m/>
    <m/>
    <m/>
    <n v="0"/>
    <n v="0"/>
    <n v="0"/>
  </r>
  <r>
    <n v="2019"/>
    <n v="8"/>
    <s v="8/01/2019"/>
    <x v="7"/>
    <s v="Male (M)"/>
    <s v="Other"/>
    <s v="45-54 years"/>
    <n v="132"/>
    <n v="85"/>
    <m/>
    <n v="16"/>
    <m/>
    <n v="0"/>
    <m/>
    <m/>
    <n v="0"/>
    <m/>
    <m/>
    <n v="30"/>
    <m/>
    <n v="0"/>
    <n v="0"/>
  </r>
  <r>
    <n v="2019"/>
    <n v="8"/>
    <s v="8/01/2019"/>
    <x v="7"/>
    <s v="Male (M)"/>
    <s v="Other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8"/>
    <s v="8/01/2019"/>
    <x v="7"/>
    <s v="Male (M)"/>
    <s v="Other"/>
    <s v="55-64 years"/>
    <n v="219"/>
    <n v="184"/>
    <m/>
    <n v="42"/>
    <n v="12"/>
    <n v="0"/>
    <m/>
    <n v="10"/>
    <m/>
    <m/>
    <m/>
    <n v="54"/>
    <m/>
    <n v="0"/>
    <n v="0"/>
  </r>
  <r>
    <n v="2019"/>
    <n v="8"/>
    <s v="8/01/2019"/>
    <x v="7"/>
    <s v="Male (M)"/>
    <s v="Other"/>
    <s v="65-74 years"/>
    <n v="244"/>
    <n v="234"/>
    <m/>
    <n v="73"/>
    <n v="14"/>
    <m/>
    <m/>
    <n v="11"/>
    <m/>
    <m/>
    <m/>
    <n v="62"/>
    <m/>
    <n v="0"/>
    <n v="0"/>
  </r>
  <r>
    <n v="2019"/>
    <n v="8"/>
    <s v="8/01/2019"/>
    <x v="7"/>
    <s v="Male (M)"/>
    <s v="Other"/>
    <s v="75-84 years"/>
    <n v="191"/>
    <n v="177"/>
    <m/>
    <n v="39"/>
    <m/>
    <n v="13"/>
    <m/>
    <n v="19"/>
    <n v="0"/>
    <m/>
    <m/>
    <n v="52"/>
    <n v="12"/>
    <n v="0"/>
    <n v="0"/>
  </r>
  <r>
    <n v="2019"/>
    <n v="8"/>
    <s v="8/01/2019"/>
    <x v="7"/>
    <s v="Male (M)"/>
    <s v="Other"/>
    <s v="85 years and over"/>
    <n v="107"/>
    <n v="104"/>
    <m/>
    <n v="20"/>
    <m/>
    <m/>
    <m/>
    <m/>
    <m/>
    <m/>
    <m/>
    <n v="26"/>
    <m/>
    <n v="0"/>
    <n v="0"/>
  </r>
  <r>
    <n v="2019"/>
    <n v="9"/>
    <s v="9/01/2019"/>
    <x v="8"/>
    <s v="Female (F)"/>
    <s v="Hispanic"/>
    <s v="0-4 years"/>
    <n v="198"/>
    <n v="179"/>
    <m/>
    <m/>
    <n v="0"/>
    <n v="0"/>
    <n v="0"/>
    <m/>
    <m/>
    <m/>
    <n v="12"/>
    <m/>
    <m/>
    <n v="0"/>
    <n v="0"/>
  </r>
  <r>
    <n v="2019"/>
    <n v="9"/>
    <s v="9/01/2019"/>
    <x v="8"/>
    <s v="Female (F)"/>
    <s v="Hispanic"/>
    <s v="15-24 years"/>
    <n v="126"/>
    <n v="57"/>
    <m/>
    <n v="19"/>
    <m/>
    <n v="0"/>
    <m/>
    <n v="0"/>
    <m/>
    <n v="0"/>
    <m/>
    <m/>
    <n v="0"/>
    <n v="0"/>
    <n v="0"/>
  </r>
  <r>
    <n v="2019"/>
    <n v="9"/>
    <s v="9/01/2019"/>
    <x v="8"/>
    <s v="Female (F)"/>
    <s v="Hispanic"/>
    <s v="25-34 years"/>
    <n v="182"/>
    <n v="78"/>
    <m/>
    <n v="26"/>
    <m/>
    <n v="0"/>
    <n v="0"/>
    <n v="0"/>
    <n v="0"/>
    <m/>
    <m/>
    <m/>
    <m/>
    <n v="0"/>
    <n v="0"/>
  </r>
  <r>
    <n v="2019"/>
    <n v="9"/>
    <s v="9/01/2019"/>
    <x v="8"/>
    <s v="Female (F)"/>
    <s v="Hispanic"/>
    <s v="35-44 years"/>
    <n v="303"/>
    <n v="221"/>
    <m/>
    <n v="95"/>
    <m/>
    <n v="0"/>
    <m/>
    <m/>
    <m/>
    <m/>
    <m/>
    <n v="28"/>
    <n v="10"/>
    <n v="0"/>
    <n v="0"/>
  </r>
  <r>
    <n v="2019"/>
    <n v="9"/>
    <s v="9/01/2019"/>
    <x v="8"/>
    <s v="Female (F)"/>
    <s v="Hispanic"/>
    <s v="45-54 years"/>
    <n v="555"/>
    <n v="480"/>
    <n v="13"/>
    <n v="221"/>
    <n v="23"/>
    <m/>
    <m/>
    <n v="11"/>
    <m/>
    <m/>
    <m/>
    <n v="58"/>
    <n v="25"/>
    <n v="0"/>
    <n v="0"/>
  </r>
  <r>
    <n v="2019"/>
    <n v="9"/>
    <s v="9/01/2019"/>
    <x v="8"/>
    <s v="Female (F)"/>
    <s v="Hispanic"/>
    <s v="5-14 years"/>
    <n v="44"/>
    <n v="27"/>
    <n v="0"/>
    <n v="13"/>
    <n v="0"/>
    <n v="0"/>
    <n v="0"/>
    <m/>
    <m/>
    <n v="0"/>
    <m/>
    <n v="0"/>
    <n v="0"/>
    <n v="0"/>
    <n v="0"/>
  </r>
  <r>
    <n v="2019"/>
    <n v="9"/>
    <s v="9/01/2019"/>
    <x v="8"/>
    <s v="Female (F)"/>
    <s v="Hispanic"/>
    <s v="55-64 years"/>
    <n v="922"/>
    <n v="860"/>
    <n v="14"/>
    <n v="350"/>
    <n v="55"/>
    <m/>
    <n v="10"/>
    <n v="26"/>
    <n v="18"/>
    <n v="17"/>
    <m/>
    <n v="129"/>
    <n v="42"/>
    <n v="0"/>
    <n v="0"/>
  </r>
  <r>
    <n v="2019"/>
    <n v="9"/>
    <s v="9/01/2019"/>
    <x v="8"/>
    <s v="Female (F)"/>
    <s v="Hispanic"/>
    <s v="65-74 years"/>
    <n v="1221"/>
    <n v="1178"/>
    <n v="14"/>
    <n v="395"/>
    <n v="84"/>
    <n v="29"/>
    <n v="14"/>
    <n v="29"/>
    <n v="31"/>
    <n v="31"/>
    <m/>
    <n v="217"/>
    <n v="64"/>
    <n v="0"/>
    <n v="0"/>
  </r>
  <r>
    <n v="2019"/>
    <n v="9"/>
    <s v="9/01/2019"/>
    <x v="8"/>
    <s v="Female (F)"/>
    <s v="Hispanic"/>
    <s v="75-84 years"/>
    <n v="1630"/>
    <n v="1592"/>
    <n v="25"/>
    <n v="366"/>
    <n v="103"/>
    <n v="118"/>
    <n v="23"/>
    <n v="54"/>
    <n v="27"/>
    <n v="49"/>
    <n v="11"/>
    <n v="334"/>
    <n v="129"/>
    <n v="0"/>
    <n v="0"/>
  </r>
  <r>
    <n v="2019"/>
    <n v="9"/>
    <s v="9/01/2019"/>
    <x v="8"/>
    <s v="Female (F)"/>
    <s v="Hispanic"/>
    <s v="85 years and over"/>
    <n v="2302"/>
    <n v="2261"/>
    <n v="18"/>
    <n v="275"/>
    <n v="72"/>
    <n v="317"/>
    <n v="35"/>
    <n v="72"/>
    <n v="31"/>
    <n v="48"/>
    <n v="16"/>
    <n v="557"/>
    <n v="227"/>
    <n v="0"/>
    <n v="0"/>
  </r>
  <r>
    <n v="2019"/>
    <n v="9"/>
    <s v="9/01/2019"/>
    <x v="8"/>
    <s v="Female (F)"/>
    <s v="Non-Hispanic American Indian or Alaska Native"/>
    <s v="0-4 years"/>
    <n v="12"/>
    <n v="10"/>
    <n v="0"/>
    <n v="0"/>
    <n v="0"/>
    <n v="0"/>
    <n v="0"/>
    <n v="0"/>
    <n v="0"/>
    <n v="0"/>
    <m/>
    <n v="0"/>
    <n v="0"/>
    <n v="0"/>
    <n v="0"/>
  </r>
  <r>
    <n v="2019"/>
    <n v="9"/>
    <s v="9/01/2019"/>
    <x v="8"/>
    <s v="Female (F)"/>
    <s v="Non-Hispanic American Indian or Alaska Native"/>
    <s v="15-24 years"/>
    <n v="21"/>
    <m/>
    <n v="0"/>
    <m/>
    <n v="0"/>
    <n v="0"/>
    <n v="0"/>
    <n v="0"/>
    <n v="0"/>
    <n v="0"/>
    <n v="0"/>
    <m/>
    <n v="0"/>
    <n v="0"/>
    <n v="0"/>
  </r>
  <r>
    <n v="2019"/>
    <n v="9"/>
    <s v="9/01/2019"/>
    <x v="8"/>
    <s v="Female (F)"/>
    <s v="Non-Hispanic American Indian or Alaska Native"/>
    <s v="25-34 years"/>
    <n v="35"/>
    <n v="16"/>
    <n v="0"/>
    <m/>
    <n v="0"/>
    <n v="0"/>
    <n v="0"/>
    <n v="0"/>
    <n v="0"/>
    <n v="0"/>
    <n v="0"/>
    <m/>
    <n v="0"/>
    <n v="0"/>
    <n v="0"/>
  </r>
  <r>
    <n v="2019"/>
    <n v="9"/>
    <s v="9/01/2019"/>
    <x v="8"/>
    <s v="Female (F)"/>
    <s v="Non-Hispanic American Indian or Alaska Native"/>
    <s v="35-44 years"/>
    <n v="51"/>
    <n v="33"/>
    <m/>
    <m/>
    <m/>
    <n v="0"/>
    <n v="0"/>
    <n v="0"/>
    <n v="0"/>
    <n v="0"/>
    <n v="0"/>
    <m/>
    <n v="0"/>
    <n v="0"/>
    <n v="0"/>
  </r>
  <r>
    <n v="2019"/>
    <n v="9"/>
    <s v="9/01/2019"/>
    <x v="8"/>
    <s v="Female (F)"/>
    <s v="Non-Hispanic American Indian or Alaska Native"/>
    <s v="45-54 years"/>
    <n v="61"/>
    <n v="51"/>
    <n v="0"/>
    <m/>
    <m/>
    <m/>
    <n v="0"/>
    <n v="0"/>
    <n v="0"/>
    <m/>
    <m/>
    <m/>
    <m/>
    <n v="0"/>
    <n v="0"/>
  </r>
  <r>
    <n v="2019"/>
    <n v="9"/>
    <s v="9/01/2019"/>
    <x v="8"/>
    <s v="Female (F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19"/>
    <n v="9"/>
    <s v="9/01/2019"/>
    <x v="8"/>
    <s v="Female (F)"/>
    <s v="Non-Hispanic American Indian or Alaska Native"/>
    <s v="55-64 years"/>
    <n v="102"/>
    <n v="92"/>
    <m/>
    <n v="28"/>
    <m/>
    <n v="0"/>
    <m/>
    <m/>
    <m/>
    <m/>
    <n v="0"/>
    <n v="12"/>
    <m/>
    <n v="0"/>
    <n v="0"/>
  </r>
  <r>
    <n v="2019"/>
    <n v="9"/>
    <s v="9/01/2019"/>
    <x v="8"/>
    <s v="Female (F)"/>
    <s v="Non-Hispanic American Indian or Alaska Native"/>
    <s v="65-74 years"/>
    <n v="126"/>
    <n v="120"/>
    <m/>
    <n v="28"/>
    <n v="12"/>
    <m/>
    <m/>
    <m/>
    <m/>
    <m/>
    <n v="0"/>
    <n v="22"/>
    <n v="0"/>
    <n v="0"/>
    <n v="0"/>
  </r>
  <r>
    <n v="2019"/>
    <n v="9"/>
    <s v="9/01/2019"/>
    <x v="8"/>
    <s v="Female (F)"/>
    <s v="Non-Hispanic American Indian or Alaska Native"/>
    <s v="75-84 years"/>
    <n v="146"/>
    <n v="141"/>
    <m/>
    <n v="32"/>
    <n v="13"/>
    <m/>
    <m/>
    <n v="11"/>
    <m/>
    <m/>
    <m/>
    <n v="26"/>
    <n v="14"/>
    <n v="0"/>
    <n v="0"/>
  </r>
  <r>
    <n v="2019"/>
    <n v="9"/>
    <s v="9/01/2019"/>
    <x v="8"/>
    <s v="Female (F)"/>
    <s v="Non-Hispanic American Indian or Alaska Native"/>
    <s v="85 years and over"/>
    <n v="90"/>
    <n v="90"/>
    <m/>
    <m/>
    <m/>
    <m/>
    <m/>
    <m/>
    <m/>
    <m/>
    <m/>
    <n v="17"/>
    <m/>
    <n v="0"/>
    <n v="0"/>
  </r>
  <r>
    <n v="2019"/>
    <n v="9"/>
    <s v="9/01/2019"/>
    <x v="8"/>
    <s v="Female (F)"/>
    <s v="Non-Hispanic Asian"/>
    <s v="0-4 years"/>
    <n v="25"/>
    <n v="24"/>
    <n v="0"/>
    <n v="0"/>
    <n v="0"/>
    <n v="0"/>
    <n v="0"/>
    <n v="0"/>
    <n v="0"/>
    <n v="0"/>
    <n v="0"/>
    <m/>
    <n v="0"/>
    <n v="0"/>
    <n v="0"/>
  </r>
  <r>
    <n v="2019"/>
    <n v="9"/>
    <s v="9/01/2019"/>
    <x v="8"/>
    <s v="Female (F)"/>
    <s v="Non-Hispanic Asian"/>
    <s v="15-24 years"/>
    <n v="14"/>
    <m/>
    <n v="0"/>
    <m/>
    <n v="0"/>
    <n v="0"/>
    <n v="0"/>
    <n v="0"/>
    <n v="0"/>
    <n v="0"/>
    <n v="0"/>
    <n v="0"/>
    <n v="0"/>
    <n v="0"/>
    <n v="0"/>
  </r>
  <r>
    <n v="2019"/>
    <n v="9"/>
    <s v="9/01/2019"/>
    <x v="8"/>
    <s v="Female (F)"/>
    <s v="Non-Hispanic Asian"/>
    <s v="25-34 years"/>
    <n v="34"/>
    <n v="14"/>
    <n v="0"/>
    <m/>
    <m/>
    <n v="0"/>
    <n v="0"/>
    <n v="0"/>
    <n v="0"/>
    <n v="0"/>
    <m/>
    <m/>
    <m/>
    <n v="0"/>
    <n v="0"/>
  </r>
  <r>
    <n v="2019"/>
    <n v="9"/>
    <s v="9/01/2019"/>
    <x v="8"/>
    <s v="Female (F)"/>
    <s v="Non-Hispanic Asian"/>
    <s v="35-44 years"/>
    <n v="61"/>
    <n v="49"/>
    <n v="0"/>
    <n v="27"/>
    <m/>
    <n v="0"/>
    <n v="0"/>
    <m/>
    <m/>
    <n v="0"/>
    <n v="0"/>
    <m/>
    <m/>
    <n v="0"/>
    <n v="0"/>
  </r>
  <r>
    <n v="2019"/>
    <n v="9"/>
    <s v="9/01/2019"/>
    <x v="8"/>
    <s v="Female (F)"/>
    <s v="Non-Hispanic Asian"/>
    <s v="45-54 years"/>
    <n v="123"/>
    <n v="111"/>
    <m/>
    <n v="69"/>
    <m/>
    <m/>
    <m/>
    <n v="0"/>
    <n v="0"/>
    <m/>
    <n v="0"/>
    <m/>
    <n v="10"/>
    <n v="0"/>
    <n v="0"/>
  </r>
  <r>
    <n v="2019"/>
    <n v="9"/>
    <s v="9/01/2019"/>
    <x v="8"/>
    <s v="Female (F)"/>
    <s v="Non-Hispanic Asian"/>
    <s v="5-14 years"/>
    <m/>
    <m/>
    <n v="0"/>
    <n v="0"/>
    <n v="0"/>
    <n v="0"/>
    <m/>
    <n v="0"/>
    <n v="0"/>
    <n v="0"/>
    <n v="0"/>
    <m/>
    <m/>
    <n v="0"/>
    <n v="0"/>
  </r>
  <r>
    <n v="2019"/>
    <n v="9"/>
    <s v="9/01/2019"/>
    <x v="8"/>
    <s v="Female (F)"/>
    <s v="Non-Hispanic Asian"/>
    <s v="55-64 years"/>
    <n v="245"/>
    <n v="232"/>
    <m/>
    <n v="122"/>
    <m/>
    <m/>
    <m/>
    <m/>
    <m/>
    <m/>
    <n v="0"/>
    <n v="35"/>
    <n v="18"/>
    <n v="0"/>
    <n v="0"/>
  </r>
  <r>
    <n v="2019"/>
    <n v="9"/>
    <s v="9/01/2019"/>
    <x v="8"/>
    <s v="Female (F)"/>
    <s v="Non-Hispanic Asian"/>
    <s v="65-74 years"/>
    <n v="402"/>
    <n v="388"/>
    <m/>
    <n v="187"/>
    <n v="18"/>
    <m/>
    <m/>
    <m/>
    <m/>
    <m/>
    <m/>
    <n v="55"/>
    <n v="33"/>
    <n v="0"/>
    <n v="0"/>
  </r>
  <r>
    <n v="2019"/>
    <n v="9"/>
    <s v="9/01/2019"/>
    <x v="8"/>
    <s v="Female (F)"/>
    <s v="Non-Hispanic Asian"/>
    <s v="75-84 years"/>
    <n v="612"/>
    <n v="589"/>
    <m/>
    <n v="178"/>
    <n v="24"/>
    <n v="25"/>
    <n v="10"/>
    <n v="13"/>
    <m/>
    <n v="17"/>
    <m/>
    <n v="131"/>
    <n v="50"/>
    <n v="0"/>
    <n v="0"/>
  </r>
  <r>
    <n v="2019"/>
    <n v="9"/>
    <s v="9/01/2019"/>
    <x v="8"/>
    <s v="Female (F)"/>
    <s v="Non-Hispanic Asian"/>
    <s v="85 years and over"/>
    <n v="1105"/>
    <n v="1083"/>
    <m/>
    <n v="143"/>
    <n v="41"/>
    <n v="125"/>
    <n v="24"/>
    <n v="26"/>
    <n v="19"/>
    <n v="28"/>
    <m/>
    <n v="275"/>
    <n v="113"/>
    <n v="0"/>
    <n v="0"/>
  </r>
  <r>
    <n v="2019"/>
    <n v="9"/>
    <s v="9/01/2019"/>
    <x v="8"/>
    <s v="Female (F)"/>
    <s v="Non-Hispanic Black"/>
    <s v="0-4 years"/>
    <n v="237"/>
    <n v="203"/>
    <m/>
    <n v="0"/>
    <n v="0"/>
    <n v="0"/>
    <m/>
    <m/>
    <m/>
    <m/>
    <n v="30"/>
    <m/>
    <m/>
    <n v="0"/>
    <n v="0"/>
  </r>
  <r>
    <n v="2019"/>
    <n v="9"/>
    <s v="9/01/2019"/>
    <x v="8"/>
    <s v="Female (F)"/>
    <s v="Non-Hispanic Black"/>
    <s v="15-24 years"/>
    <n v="118"/>
    <n v="38"/>
    <m/>
    <m/>
    <m/>
    <n v="0"/>
    <n v="0"/>
    <m/>
    <n v="0"/>
    <n v="0"/>
    <m/>
    <m/>
    <n v="0"/>
    <n v="0"/>
    <n v="0"/>
  </r>
  <r>
    <n v="2019"/>
    <n v="9"/>
    <s v="9/01/2019"/>
    <x v="8"/>
    <s v="Female (F)"/>
    <s v="Non-Hispanic Black"/>
    <s v="25-34 years"/>
    <n v="278"/>
    <n v="156"/>
    <n v="0"/>
    <n v="23"/>
    <m/>
    <n v="0"/>
    <n v="0"/>
    <m/>
    <n v="0"/>
    <m/>
    <m/>
    <n v="26"/>
    <m/>
    <n v="0"/>
    <n v="0"/>
  </r>
  <r>
    <n v="2019"/>
    <n v="9"/>
    <s v="9/01/2019"/>
    <x v="8"/>
    <s v="Female (F)"/>
    <s v="Non-Hispanic Black"/>
    <s v="35-44 years"/>
    <n v="491"/>
    <n v="374"/>
    <m/>
    <n v="88"/>
    <n v="21"/>
    <n v="0"/>
    <m/>
    <n v="10"/>
    <m/>
    <m/>
    <m/>
    <n v="74"/>
    <n v="20"/>
    <n v="0"/>
    <n v="0"/>
  </r>
  <r>
    <n v="2019"/>
    <n v="9"/>
    <s v="9/01/2019"/>
    <x v="8"/>
    <s v="Female (F)"/>
    <s v="Non-Hispanic Black"/>
    <s v="45-54 years"/>
    <n v="961"/>
    <n v="848"/>
    <n v="15"/>
    <n v="254"/>
    <n v="48"/>
    <n v="0"/>
    <n v="13"/>
    <n v="20"/>
    <n v="13"/>
    <n v="22"/>
    <n v="15"/>
    <n v="191"/>
    <n v="39"/>
    <n v="0"/>
    <n v="0"/>
  </r>
  <r>
    <n v="2019"/>
    <n v="9"/>
    <s v="9/01/2019"/>
    <x v="8"/>
    <s v="Female (F)"/>
    <s v="Non-Hispanic Black"/>
    <s v="5-14 years"/>
    <n v="39"/>
    <n v="26"/>
    <m/>
    <m/>
    <n v="0"/>
    <n v="0"/>
    <n v="0"/>
    <m/>
    <m/>
    <n v="0"/>
    <m/>
    <m/>
    <n v="0"/>
    <n v="0"/>
    <n v="0"/>
  </r>
  <r>
    <n v="2019"/>
    <n v="9"/>
    <s v="9/01/2019"/>
    <x v="8"/>
    <s v="Female (F)"/>
    <s v="Non-Hispanic Black"/>
    <s v="55-64 years"/>
    <n v="2135"/>
    <n v="2022"/>
    <n v="44"/>
    <n v="707"/>
    <n v="101"/>
    <m/>
    <n v="19"/>
    <n v="61"/>
    <n v="30"/>
    <n v="60"/>
    <n v="25"/>
    <n v="443"/>
    <n v="98"/>
    <n v="0"/>
    <n v="0"/>
  </r>
  <r>
    <n v="2019"/>
    <n v="9"/>
    <s v="9/01/2019"/>
    <x v="8"/>
    <s v="Female (F)"/>
    <s v="Non-Hispanic Black"/>
    <s v="65-74 years"/>
    <n v="2697"/>
    <n v="2642"/>
    <n v="61"/>
    <n v="828"/>
    <n v="123"/>
    <n v="47"/>
    <n v="42"/>
    <n v="113"/>
    <n v="44"/>
    <n v="79"/>
    <n v="15"/>
    <n v="611"/>
    <n v="189"/>
    <n v="0"/>
    <n v="0"/>
  </r>
  <r>
    <n v="2019"/>
    <n v="9"/>
    <s v="9/01/2019"/>
    <x v="8"/>
    <s v="Female (F)"/>
    <s v="Non-Hispanic Black"/>
    <s v="75-84 years"/>
    <n v="2759"/>
    <n v="2718"/>
    <n v="41"/>
    <n v="602"/>
    <n v="154"/>
    <n v="136"/>
    <n v="41"/>
    <n v="98"/>
    <n v="26"/>
    <n v="103"/>
    <n v="28"/>
    <n v="691"/>
    <n v="207"/>
    <n v="0"/>
    <n v="0"/>
  </r>
  <r>
    <n v="2019"/>
    <n v="9"/>
    <s v="9/01/2019"/>
    <x v="8"/>
    <s v="Female (F)"/>
    <s v="Non-Hispanic Black"/>
    <s v="85 years and over"/>
    <n v="3244"/>
    <n v="3181"/>
    <n v="56"/>
    <n v="381"/>
    <n v="112"/>
    <n v="294"/>
    <n v="53"/>
    <n v="96"/>
    <n v="35"/>
    <n v="88"/>
    <n v="38"/>
    <n v="846"/>
    <n v="308"/>
    <n v="0"/>
    <n v="0"/>
  </r>
  <r>
    <n v="2019"/>
    <n v="9"/>
    <s v="9/01/2019"/>
    <x v="8"/>
    <s v="Female (F)"/>
    <s v="Non-Hispanic White"/>
    <s v="0-4 years"/>
    <n v="369"/>
    <n v="307"/>
    <m/>
    <m/>
    <n v="0"/>
    <n v="0"/>
    <m/>
    <n v="0"/>
    <m/>
    <n v="0"/>
    <n v="41"/>
    <m/>
    <m/>
    <n v="0"/>
    <n v="0"/>
  </r>
  <r>
    <n v="2019"/>
    <n v="9"/>
    <s v="9/01/2019"/>
    <x v="8"/>
    <s v="Female (F)"/>
    <s v="Non-Hispanic White"/>
    <s v="15-24 years"/>
    <n v="349"/>
    <n v="115"/>
    <m/>
    <n v="25"/>
    <m/>
    <n v="0"/>
    <n v="0"/>
    <m/>
    <n v="0"/>
    <n v="0"/>
    <m/>
    <n v="20"/>
    <m/>
    <n v="0"/>
    <n v="0"/>
  </r>
  <r>
    <n v="2019"/>
    <n v="9"/>
    <s v="9/01/2019"/>
    <x v="8"/>
    <s v="Female (F)"/>
    <s v="Non-Hispanic White"/>
    <s v="25-34 years"/>
    <n v="871"/>
    <n v="347"/>
    <m/>
    <n v="83"/>
    <n v="12"/>
    <n v="0"/>
    <m/>
    <n v="0"/>
    <m/>
    <m/>
    <n v="13"/>
    <n v="47"/>
    <n v="12"/>
    <n v="0"/>
    <n v="0"/>
  </r>
  <r>
    <n v="2019"/>
    <n v="9"/>
    <s v="9/01/2019"/>
    <x v="8"/>
    <s v="Female (F)"/>
    <s v="Non-Hispanic White"/>
    <s v="35-44 years"/>
    <n v="1453"/>
    <n v="869"/>
    <n v="17"/>
    <n v="287"/>
    <n v="13"/>
    <n v="0"/>
    <m/>
    <n v="14"/>
    <n v="10"/>
    <n v="13"/>
    <n v="24"/>
    <n v="147"/>
    <n v="37"/>
    <n v="0"/>
    <n v="0"/>
  </r>
  <r>
    <n v="2019"/>
    <n v="9"/>
    <s v="9/01/2019"/>
    <x v="8"/>
    <s v="Female (F)"/>
    <s v="Non-Hispanic White"/>
    <s v="45-54 years"/>
    <n v="3081"/>
    <n v="2494"/>
    <n v="47"/>
    <n v="943"/>
    <n v="88"/>
    <m/>
    <n v="32"/>
    <n v="91"/>
    <n v="29"/>
    <n v="30"/>
    <n v="37"/>
    <n v="430"/>
    <n v="98"/>
    <n v="0"/>
    <n v="0"/>
  </r>
  <r>
    <n v="2019"/>
    <n v="9"/>
    <s v="9/01/2019"/>
    <x v="8"/>
    <s v="Female (F)"/>
    <s v="Non-Hispanic White"/>
    <s v="5-14 years"/>
    <n v="87"/>
    <n v="53"/>
    <m/>
    <n v="17"/>
    <n v="0"/>
    <n v="0"/>
    <n v="0"/>
    <m/>
    <m/>
    <m/>
    <m/>
    <m/>
    <m/>
    <n v="0"/>
    <n v="0"/>
  </r>
  <r>
    <n v="2019"/>
    <n v="9"/>
    <s v="9/01/2019"/>
    <x v="8"/>
    <s v="Female (F)"/>
    <s v="Non-Hispanic White"/>
    <s v="55-64 years"/>
    <n v="7996"/>
    <n v="7367"/>
    <n v="144"/>
    <n v="2934"/>
    <n v="242"/>
    <n v="50"/>
    <n v="94"/>
    <n v="536"/>
    <n v="114"/>
    <n v="104"/>
    <n v="72"/>
    <n v="1274"/>
    <n v="251"/>
    <n v="0"/>
    <n v="0"/>
  </r>
  <r>
    <n v="2019"/>
    <n v="9"/>
    <s v="9/01/2019"/>
    <x v="8"/>
    <s v="Female (F)"/>
    <s v="Non-Hispanic White"/>
    <s v="65-74 years"/>
    <n v="13670"/>
    <n v="13177"/>
    <n v="241"/>
    <n v="4800"/>
    <n v="419"/>
    <n v="316"/>
    <n v="163"/>
    <n v="1181"/>
    <n v="248"/>
    <n v="216"/>
    <n v="108"/>
    <n v="2292"/>
    <n v="583"/>
    <n v="0"/>
    <n v="0"/>
  </r>
  <r>
    <n v="2019"/>
    <n v="9"/>
    <s v="9/01/2019"/>
    <x v="8"/>
    <s v="Female (F)"/>
    <s v="Non-Hispanic White"/>
    <s v="75-84 years"/>
    <n v="20370"/>
    <n v="19750"/>
    <n v="315"/>
    <n v="4868"/>
    <n v="495"/>
    <n v="1291"/>
    <n v="269"/>
    <n v="1639"/>
    <n v="406"/>
    <n v="380"/>
    <n v="208"/>
    <n v="4111"/>
    <n v="1285"/>
    <n v="0"/>
    <n v="0"/>
  </r>
  <r>
    <n v="2019"/>
    <n v="9"/>
    <s v="9/01/2019"/>
    <x v="8"/>
    <s v="Female (F)"/>
    <s v="Non-Hispanic White"/>
    <s v="85 years and over"/>
    <n v="34478"/>
    <n v="33396"/>
    <n v="346"/>
    <n v="3655"/>
    <n v="509"/>
    <n v="3598"/>
    <n v="549"/>
    <n v="1693"/>
    <n v="439"/>
    <n v="533"/>
    <n v="507"/>
    <n v="9589"/>
    <n v="2784"/>
    <n v="0"/>
    <n v="0"/>
  </r>
  <r>
    <n v="2019"/>
    <n v="9"/>
    <s v="9/01/2019"/>
    <x v="8"/>
    <s v="Female (F)"/>
    <s v="Other"/>
    <s v="0-4 years"/>
    <n v="42"/>
    <n v="38"/>
    <n v="0"/>
    <m/>
    <n v="0"/>
    <n v="0"/>
    <n v="0"/>
    <m/>
    <n v="0"/>
    <n v="0"/>
    <m/>
    <n v="0"/>
    <n v="0"/>
    <n v="0"/>
    <n v="0"/>
  </r>
  <r>
    <n v="2019"/>
    <n v="9"/>
    <s v="9/01/2019"/>
    <x v="8"/>
    <s v="Female (F)"/>
    <s v="Other"/>
    <s v="15-24 years"/>
    <n v="22"/>
    <m/>
    <n v="0"/>
    <m/>
    <n v="0"/>
    <n v="0"/>
    <m/>
    <m/>
    <n v="0"/>
    <n v="0"/>
    <n v="0"/>
    <n v="0"/>
    <n v="0"/>
    <n v="0"/>
    <n v="0"/>
  </r>
  <r>
    <n v="2019"/>
    <n v="9"/>
    <s v="9/01/2019"/>
    <x v="8"/>
    <s v="Female (F)"/>
    <s v="Other"/>
    <s v="25-34 years"/>
    <n v="26"/>
    <m/>
    <n v="0"/>
    <m/>
    <n v="0"/>
    <n v="0"/>
    <n v="0"/>
    <n v="0"/>
    <n v="0"/>
    <n v="0"/>
    <n v="0"/>
    <m/>
    <m/>
    <n v="0"/>
    <n v="0"/>
  </r>
  <r>
    <n v="2019"/>
    <n v="9"/>
    <s v="9/01/2019"/>
    <x v="8"/>
    <s v="Female (F)"/>
    <s v="Other"/>
    <s v="35-44 years"/>
    <n v="37"/>
    <n v="24"/>
    <m/>
    <m/>
    <n v="0"/>
    <n v="0"/>
    <n v="0"/>
    <m/>
    <n v="0"/>
    <n v="0"/>
    <m/>
    <m/>
    <m/>
    <n v="0"/>
    <n v="0"/>
  </r>
  <r>
    <n v="2019"/>
    <n v="9"/>
    <s v="9/01/2019"/>
    <x v="8"/>
    <s v="Female (F)"/>
    <s v="Other"/>
    <s v="45-54 years"/>
    <n v="67"/>
    <n v="52"/>
    <n v="0"/>
    <n v="23"/>
    <m/>
    <n v="0"/>
    <m/>
    <n v="0"/>
    <m/>
    <n v="0"/>
    <m/>
    <n v="10"/>
    <m/>
    <n v="0"/>
    <n v="0"/>
  </r>
  <r>
    <n v="2019"/>
    <n v="9"/>
    <s v="9/01/2019"/>
    <x v="8"/>
    <s v="Female (F)"/>
    <s v="Other"/>
    <s v="5-14 years"/>
    <m/>
    <m/>
    <n v="0"/>
    <m/>
    <n v="0"/>
    <n v="0"/>
    <n v="0"/>
    <n v="0"/>
    <n v="0"/>
    <n v="0"/>
    <n v="0"/>
    <m/>
    <m/>
    <n v="0"/>
    <n v="0"/>
  </r>
  <r>
    <n v="2019"/>
    <n v="9"/>
    <s v="9/01/2019"/>
    <x v="8"/>
    <s v="Female (F)"/>
    <s v="Other"/>
    <s v="55-64 years"/>
    <n v="123"/>
    <n v="111"/>
    <m/>
    <n v="43"/>
    <m/>
    <m/>
    <m/>
    <m/>
    <m/>
    <n v="0"/>
    <n v="0"/>
    <n v="24"/>
    <m/>
    <n v="0"/>
    <n v="0"/>
  </r>
  <r>
    <n v="2019"/>
    <n v="9"/>
    <s v="9/01/2019"/>
    <x v="8"/>
    <s v="Female (F)"/>
    <s v="Other"/>
    <s v="65-74 years"/>
    <n v="168"/>
    <n v="164"/>
    <m/>
    <n v="58"/>
    <m/>
    <m/>
    <n v="0"/>
    <m/>
    <m/>
    <m/>
    <m/>
    <n v="36"/>
    <m/>
    <n v="0"/>
    <n v="0"/>
  </r>
  <r>
    <n v="2019"/>
    <n v="9"/>
    <s v="9/01/2019"/>
    <x v="8"/>
    <s v="Female (F)"/>
    <s v="Other"/>
    <s v="75-84 years"/>
    <n v="153"/>
    <n v="149"/>
    <m/>
    <n v="38"/>
    <m/>
    <m/>
    <m/>
    <n v="10"/>
    <m/>
    <m/>
    <m/>
    <n v="34"/>
    <n v="15"/>
    <n v="0"/>
    <n v="0"/>
  </r>
  <r>
    <n v="2019"/>
    <n v="9"/>
    <s v="9/01/2019"/>
    <x v="8"/>
    <s v="Female (F)"/>
    <s v="Other"/>
    <s v="85 years and over"/>
    <n v="176"/>
    <n v="172"/>
    <m/>
    <n v="19"/>
    <m/>
    <n v="14"/>
    <m/>
    <m/>
    <m/>
    <m/>
    <m/>
    <n v="65"/>
    <n v="13"/>
    <n v="0"/>
    <n v="0"/>
  </r>
  <r>
    <n v="2019"/>
    <n v="9"/>
    <s v="9/01/2019"/>
    <x v="8"/>
    <s v="Male (M)"/>
    <s v="Hispanic"/>
    <s v="0-4 years"/>
    <n v="254"/>
    <n v="220"/>
    <m/>
    <m/>
    <n v="0"/>
    <n v="0"/>
    <m/>
    <n v="0"/>
    <m/>
    <n v="0"/>
    <n v="30"/>
    <m/>
    <n v="0"/>
    <n v="0"/>
    <n v="0"/>
  </r>
  <r>
    <n v="2019"/>
    <n v="9"/>
    <s v="9/01/2019"/>
    <x v="8"/>
    <s v="Male (M)"/>
    <s v="Hispanic"/>
    <s v="15-24 years"/>
    <n v="379"/>
    <n v="75"/>
    <n v="0"/>
    <n v="23"/>
    <m/>
    <n v="0"/>
    <n v="0"/>
    <m/>
    <m/>
    <m/>
    <n v="12"/>
    <m/>
    <m/>
    <n v="0"/>
    <n v="0"/>
  </r>
  <r>
    <n v="2019"/>
    <n v="9"/>
    <s v="9/01/2019"/>
    <x v="8"/>
    <s v="Male (M)"/>
    <s v="Hispanic"/>
    <s v="25-34 years"/>
    <n v="615"/>
    <n v="182"/>
    <m/>
    <n v="47"/>
    <m/>
    <n v="0"/>
    <m/>
    <m/>
    <m/>
    <m/>
    <n v="19"/>
    <n v="24"/>
    <m/>
    <n v="0"/>
    <n v="0"/>
  </r>
  <r>
    <n v="2019"/>
    <n v="9"/>
    <s v="9/01/2019"/>
    <x v="8"/>
    <s v="Male (M)"/>
    <s v="Hispanic"/>
    <s v="35-44 years"/>
    <n v="692"/>
    <n v="330"/>
    <m/>
    <n v="63"/>
    <n v="14"/>
    <n v="0"/>
    <m/>
    <m/>
    <m/>
    <m/>
    <m/>
    <n v="67"/>
    <n v="17"/>
    <n v="0"/>
    <n v="0"/>
  </r>
  <r>
    <n v="2019"/>
    <n v="9"/>
    <s v="9/01/2019"/>
    <x v="8"/>
    <s v="Male (M)"/>
    <s v="Hispanic"/>
    <s v="45-54 years"/>
    <n v="1047"/>
    <n v="746"/>
    <n v="15"/>
    <n v="175"/>
    <n v="45"/>
    <n v="0"/>
    <m/>
    <m/>
    <n v="11"/>
    <n v="12"/>
    <n v="10"/>
    <n v="193"/>
    <n v="38"/>
    <n v="0"/>
    <n v="0"/>
  </r>
  <r>
    <n v="2019"/>
    <n v="9"/>
    <s v="9/01/2019"/>
    <x v="8"/>
    <s v="Male (M)"/>
    <s v="Hispanic"/>
    <s v="5-14 years"/>
    <n v="63"/>
    <n v="32"/>
    <m/>
    <n v="10"/>
    <n v="0"/>
    <n v="0"/>
    <n v="0"/>
    <m/>
    <n v="0"/>
    <n v="0"/>
    <n v="0"/>
    <m/>
    <m/>
    <n v="0"/>
    <n v="0"/>
  </r>
  <r>
    <n v="2019"/>
    <n v="9"/>
    <s v="9/01/2019"/>
    <x v="8"/>
    <s v="Male (M)"/>
    <s v="Hispanic"/>
    <s v="55-64 years"/>
    <n v="1602"/>
    <n v="1397"/>
    <n v="25"/>
    <n v="400"/>
    <n v="100"/>
    <m/>
    <n v="18"/>
    <n v="22"/>
    <n v="19"/>
    <n v="30"/>
    <n v="14"/>
    <n v="358"/>
    <n v="61"/>
    <n v="0"/>
    <n v="0"/>
  </r>
  <r>
    <n v="2019"/>
    <n v="9"/>
    <s v="9/01/2019"/>
    <x v="8"/>
    <s v="Male (M)"/>
    <s v="Hispanic"/>
    <s v="65-74 years"/>
    <n v="1691"/>
    <n v="1611"/>
    <n v="23"/>
    <n v="505"/>
    <n v="94"/>
    <n v="21"/>
    <n v="17"/>
    <n v="45"/>
    <n v="29"/>
    <n v="51"/>
    <n v="13"/>
    <n v="395"/>
    <n v="102"/>
    <n v="0"/>
    <n v="0"/>
  </r>
  <r>
    <n v="2019"/>
    <n v="9"/>
    <s v="9/01/2019"/>
    <x v="8"/>
    <s v="Male (M)"/>
    <s v="Hispanic"/>
    <s v="75-84 years"/>
    <n v="1700"/>
    <n v="1641"/>
    <n v="30"/>
    <n v="409"/>
    <n v="76"/>
    <n v="67"/>
    <n v="30"/>
    <n v="72"/>
    <n v="47"/>
    <n v="35"/>
    <m/>
    <n v="415"/>
    <n v="107"/>
    <n v="0"/>
    <n v="0"/>
  </r>
  <r>
    <n v="2019"/>
    <n v="9"/>
    <s v="9/01/2019"/>
    <x v="8"/>
    <s v="Male (M)"/>
    <s v="Hispanic"/>
    <s v="85 years and over"/>
    <n v="1468"/>
    <n v="1420"/>
    <n v="16"/>
    <n v="228"/>
    <n v="47"/>
    <n v="129"/>
    <n v="20"/>
    <n v="79"/>
    <n v="21"/>
    <n v="35"/>
    <m/>
    <n v="406"/>
    <n v="107"/>
    <n v="0"/>
    <n v="0"/>
  </r>
  <r>
    <n v="2019"/>
    <n v="9"/>
    <s v="9/01/2019"/>
    <x v="8"/>
    <s v="Male (M)"/>
    <s v="Non-Hispanic American Indian or Alaska Native"/>
    <s v="0-4 years"/>
    <n v="10"/>
    <m/>
    <n v="0"/>
    <m/>
    <n v="0"/>
    <n v="0"/>
    <n v="0"/>
    <n v="0"/>
    <m/>
    <n v="0"/>
    <m/>
    <n v="0"/>
    <n v="0"/>
    <n v="0"/>
    <n v="0"/>
  </r>
  <r>
    <n v="2019"/>
    <n v="9"/>
    <s v="9/01/2019"/>
    <x v="8"/>
    <s v="Male (M)"/>
    <s v="Non-Hispanic American Indian or Alaska Native"/>
    <s v="15-24 years"/>
    <n v="35"/>
    <m/>
    <n v="0"/>
    <m/>
    <n v="0"/>
    <n v="0"/>
    <n v="0"/>
    <n v="0"/>
    <n v="0"/>
    <n v="0"/>
    <n v="0"/>
    <n v="0"/>
    <n v="0"/>
    <n v="0"/>
    <n v="0"/>
  </r>
  <r>
    <n v="2019"/>
    <n v="9"/>
    <s v="9/01/2019"/>
    <x v="8"/>
    <s v="Male (M)"/>
    <s v="Non-Hispanic American Indian or Alaska Native"/>
    <s v="25-34 years"/>
    <n v="56"/>
    <n v="24"/>
    <n v="0"/>
    <m/>
    <n v="0"/>
    <n v="0"/>
    <n v="0"/>
    <m/>
    <n v="0"/>
    <m/>
    <m/>
    <m/>
    <n v="0"/>
    <n v="0"/>
    <n v="0"/>
  </r>
  <r>
    <n v="2019"/>
    <n v="9"/>
    <s v="9/01/2019"/>
    <x v="8"/>
    <s v="Male (M)"/>
    <s v="Non-Hispanic American Indian or Alaska Native"/>
    <s v="35-44 years"/>
    <n v="61"/>
    <n v="34"/>
    <m/>
    <m/>
    <m/>
    <n v="0"/>
    <n v="0"/>
    <m/>
    <n v="0"/>
    <m/>
    <m/>
    <n v="11"/>
    <m/>
    <n v="0"/>
    <n v="0"/>
  </r>
  <r>
    <n v="2019"/>
    <n v="9"/>
    <s v="9/01/2019"/>
    <x v="8"/>
    <s v="Male (M)"/>
    <s v="Non-Hispanic American Indian or Alaska Native"/>
    <s v="45-54 years"/>
    <n v="105"/>
    <n v="81"/>
    <m/>
    <n v="11"/>
    <m/>
    <n v="0"/>
    <n v="0"/>
    <m/>
    <m/>
    <n v="0"/>
    <m/>
    <n v="23"/>
    <m/>
    <n v="0"/>
    <n v="0"/>
  </r>
  <r>
    <n v="2019"/>
    <n v="9"/>
    <s v="9/01/2019"/>
    <x v="8"/>
    <s v="Male (M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19"/>
    <n v="9"/>
    <s v="9/01/2019"/>
    <x v="8"/>
    <s v="Male (M)"/>
    <s v="Non-Hispanic American Indian or Alaska Native"/>
    <s v="55-64 years"/>
    <n v="127"/>
    <n v="105"/>
    <m/>
    <n v="21"/>
    <m/>
    <n v="0"/>
    <n v="0"/>
    <m/>
    <n v="0"/>
    <m/>
    <m/>
    <n v="29"/>
    <m/>
    <n v="0"/>
    <n v="0"/>
  </r>
  <r>
    <n v="2019"/>
    <n v="9"/>
    <s v="9/01/2019"/>
    <x v="8"/>
    <s v="Male (M)"/>
    <s v="Non-Hispanic American Indian or Alaska Native"/>
    <s v="65-74 years"/>
    <n v="164"/>
    <n v="153"/>
    <m/>
    <n v="39"/>
    <m/>
    <n v="0"/>
    <m/>
    <m/>
    <m/>
    <m/>
    <n v="0"/>
    <n v="43"/>
    <m/>
    <n v="0"/>
    <n v="0"/>
  </r>
  <r>
    <n v="2019"/>
    <n v="9"/>
    <s v="9/01/2019"/>
    <x v="8"/>
    <s v="Male (M)"/>
    <s v="Non-Hispanic American Indian or Alaska Native"/>
    <s v="75-84 years"/>
    <n v="131"/>
    <n v="125"/>
    <m/>
    <n v="23"/>
    <m/>
    <m/>
    <m/>
    <m/>
    <m/>
    <m/>
    <n v="0"/>
    <n v="33"/>
    <m/>
    <n v="0"/>
    <n v="0"/>
  </r>
  <r>
    <n v="2019"/>
    <n v="9"/>
    <s v="9/01/2019"/>
    <x v="8"/>
    <s v="Male (M)"/>
    <s v="Non-Hispanic American Indian or Alaska Native"/>
    <s v="85 years and over"/>
    <n v="72"/>
    <n v="66"/>
    <n v="0"/>
    <n v="10"/>
    <m/>
    <m/>
    <m/>
    <m/>
    <m/>
    <m/>
    <n v="0"/>
    <n v="21"/>
    <m/>
    <n v="0"/>
    <n v="0"/>
  </r>
  <r>
    <n v="2019"/>
    <n v="9"/>
    <s v="9/01/2019"/>
    <x v="8"/>
    <s v="Male (M)"/>
    <s v="Non-Hispanic Asian"/>
    <s v="0-4 years"/>
    <n v="38"/>
    <n v="36"/>
    <n v="0"/>
    <n v="0"/>
    <n v="0"/>
    <n v="0"/>
    <n v="0"/>
    <n v="0"/>
    <m/>
    <n v="0"/>
    <m/>
    <n v="0"/>
    <n v="0"/>
    <n v="0"/>
    <n v="0"/>
  </r>
  <r>
    <n v="2019"/>
    <n v="9"/>
    <s v="9/01/2019"/>
    <x v="8"/>
    <s v="Male (M)"/>
    <s v="Non-Hispanic Asian"/>
    <s v="15-24 years"/>
    <n v="38"/>
    <m/>
    <n v="0"/>
    <m/>
    <n v="0"/>
    <n v="0"/>
    <n v="0"/>
    <n v="0"/>
    <n v="0"/>
    <n v="0"/>
    <m/>
    <n v="0"/>
    <n v="0"/>
    <n v="0"/>
    <n v="0"/>
  </r>
  <r>
    <n v="2019"/>
    <n v="9"/>
    <s v="9/01/2019"/>
    <x v="8"/>
    <s v="Male (M)"/>
    <s v="Non-Hispanic Asian"/>
    <s v="25-34 years"/>
    <n v="74"/>
    <n v="30"/>
    <n v="0"/>
    <n v="12"/>
    <m/>
    <n v="0"/>
    <n v="0"/>
    <n v="0"/>
    <n v="0"/>
    <n v="0"/>
    <m/>
    <m/>
    <m/>
    <n v="0"/>
    <n v="0"/>
  </r>
  <r>
    <n v="2019"/>
    <n v="9"/>
    <s v="9/01/2019"/>
    <x v="8"/>
    <s v="Male (M)"/>
    <s v="Non-Hispanic Asian"/>
    <s v="35-44 years"/>
    <n v="122"/>
    <n v="81"/>
    <n v="0"/>
    <n v="18"/>
    <m/>
    <n v="0"/>
    <n v="0"/>
    <n v="0"/>
    <n v="0"/>
    <m/>
    <m/>
    <n v="31"/>
    <m/>
    <n v="0"/>
    <n v="0"/>
  </r>
  <r>
    <n v="2019"/>
    <n v="9"/>
    <s v="9/01/2019"/>
    <x v="8"/>
    <s v="Male (M)"/>
    <s v="Non-Hispanic Asian"/>
    <s v="45-54 years"/>
    <n v="181"/>
    <n v="153"/>
    <n v="0"/>
    <n v="67"/>
    <m/>
    <n v="0"/>
    <m/>
    <m/>
    <m/>
    <m/>
    <m/>
    <n v="39"/>
    <m/>
    <n v="0"/>
    <n v="0"/>
  </r>
  <r>
    <n v="2019"/>
    <n v="9"/>
    <s v="9/01/2019"/>
    <x v="8"/>
    <s v="Male (M)"/>
    <s v="Non-Hispanic Asian"/>
    <s v="5-14 years"/>
    <n v="11"/>
    <m/>
    <n v="0"/>
    <m/>
    <n v="0"/>
    <n v="0"/>
    <n v="0"/>
    <n v="0"/>
    <m/>
    <n v="0"/>
    <n v="0"/>
    <n v="0"/>
    <m/>
    <n v="0"/>
    <n v="0"/>
  </r>
  <r>
    <n v="2019"/>
    <n v="9"/>
    <s v="9/01/2019"/>
    <x v="8"/>
    <s v="Male (M)"/>
    <s v="Non-Hispanic Asian"/>
    <s v="55-64 years"/>
    <n v="400"/>
    <n v="363"/>
    <m/>
    <n v="152"/>
    <n v="14"/>
    <n v="0"/>
    <m/>
    <m/>
    <m/>
    <m/>
    <m/>
    <n v="81"/>
    <n v="25"/>
    <n v="0"/>
    <n v="0"/>
  </r>
  <r>
    <n v="2019"/>
    <n v="9"/>
    <s v="9/01/2019"/>
    <x v="8"/>
    <s v="Male (M)"/>
    <s v="Non-Hispanic Asian"/>
    <s v="65-74 years"/>
    <n v="566"/>
    <n v="539"/>
    <m/>
    <n v="192"/>
    <n v="27"/>
    <m/>
    <m/>
    <n v="10"/>
    <m/>
    <n v="11"/>
    <m/>
    <n v="127"/>
    <n v="52"/>
    <n v="0"/>
    <n v="0"/>
  </r>
  <r>
    <n v="2019"/>
    <n v="9"/>
    <s v="9/01/2019"/>
    <x v="8"/>
    <s v="Male (M)"/>
    <s v="Non-Hispanic Asian"/>
    <s v="75-84 years"/>
    <n v="715"/>
    <n v="680"/>
    <n v="10"/>
    <n v="212"/>
    <n v="29"/>
    <n v="15"/>
    <n v="19"/>
    <n v="28"/>
    <n v="18"/>
    <n v="14"/>
    <m/>
    <n v="157"/>
    <n v="60"/>
    <n v="0"/>
    <n v="0"/>
  </r>
  <r>
    <n v="2019"/>
    <n v="9"/>
    <s v="9/01/2019"/>
    <x v="8"/>
    <s v="Male (M)"/>
    <s v="Non-Hispanic Asian"/>
    <s v="85 years and over"/>
    <n v="679"/>
    <n v="653"/>
    <m/>
    <n v="132"/>
    <n v="22"/>
    <n v="43"/>
    <n v="18"/>
    <n v="20"/>
    <m/>
    <n v="16"/>
    <m/>
    <n v="176"/>
    <n v="55"/>
    <n v="0"/>
    <n v="0"/>
  </r>
  <r>
    <n v="2019"/>
    <n v="9"/>
    <s v="9/01/2019"/>
    <x v="8"/>
    <s v="Male (M)"/>
    <s v="Non-Hispanic Black"/>
    <s v="0-4 years"/>
    <n v="326"/>
    <n v="283"/>
    <m/>
    <m/>
    <n v="0"/>
    <n v="0"/>
    <m/>
    <m/>
    <m/>
    <m/>
    <n v="37"/>
    <m/>
    <m/>
    <n v="0"/>
    <n v="0"/>
  </r>
  <r>
    <n v="2019"/>
    <n v="9"/>
    <s v="9/01/2019"/>
    <x v="8"/>
    <s v="Male (M)"/>
    <s v="Non-Hispanic Black"/>
    <s v="15-24 years"/>
    <n v="487"/>
    <n v="68"/>
    <n v="0"/>
    <m/>
    <m/>
    <n v="0"/>
    <m/>
    <m/>
    <m/>
    <m/>
    <m/>
    <n v="17"/>
    <m/>
    <n v="0"/>
    <n v="0"/>
  </r>
  <r>
    <n v="2019"/>
    <n v="9"/>
    <s v="9/01/2019"/>
    <x v="8"/>
    <s v="Male (M)"/>
    <s v="Non-Hispanic Black"/>
    <s v="25-34 years"/>
    <n v="750"/>
    <n v="199"/>
    <m/>
    <n v="25"/>
    <n v="14"/>
    <n v="0"/>
    <n v="0"/>
    <m/>
    <m/>
    <m/>
    <n v="10"/>
    <n v="50"/>
    <m/>
    <n v="0"/>
    <n v="0"/>
  </r>
  <r>
    <n v="2019"/>
    <n v="9"/>
    <s v="9/01/2019"/>
    <x v="8"/>
    <s v="Male (M)"/>
    <s v="Non-Hispanic Black"/>
    <s v="35-44 years"/>
    <n v="831"/>
    <n v="436"/>
    <m/>
    <n v="64"/>
    <n v="36"/>
    <n v="0"/>
    <m/>
    <m/>
    <m/>
    <n v="11"/>
    <n v="15"/>
    <n v="144"/>
    <n v="18"/>
    <n v="0"/>
    <n v="0"/>
  </r>
  <r>
    <n v="2019"/>
    <n v="9"/>
    <s v="9/01/2019"/>
    <x v="8"/>
    <s v="Male (M)"/>
    <s v="Non-Hispanic Black"/>
    <s v="45-54 years"/>
    <n v="1415"/>
    <n v="1076"/>
    <n v="21"/>
    <n v="227"/>
    <n v="65"/>
    <n v="0"/>
    <n v="13"/>
    <n v="18"/>
    <n v="11"/>
    <n v="36"/>
    <n v="21"/>
    <n v="348"/>
    <n v="52"/>
    <n v="0"/>
    <n v="0"/>
  </r>
  <r>
    <n v="2019"/>
    <n v="9"/>
    <s v="9/01/2019"/>
    <x v="8"/>
    <s v="Male (M)"/>
    <s v="Non-Hispanic Black"/>
    <s v="5-14 years"/>
    <n v="51"/>
    <n v="21"/>
    <n v="0"/>
    <m/>
    <n v="0"/>
    <n v="0"/>
    <n v="0"/>
    <m/>
    <n v="0"/>
    <n v="0"/>
    <m/>
    <n v="0"/>
    <n v="0"/>
    <n v="0"/>
    <n v="0"/>
  </r>
  <r>
    <n v="2019"/>
    <n v="9"/>
    <s v="9/01/2019"/>
    <x v="8"/>
    <s v="Male (M)"/>
    <s v="Non-Hispanic Black"/>
    <s v="55-64 years"/>
    <n v="3066"/>
    <n v="2691"/>
    <n v="56"/>
    <n v="700"/>
    <n v="164"/>
    <m/>
    <n v="26"/>
    <n v="85"/>
    <n v="24"/>
    <n v="81"/>
    <n v="33"/>
    <n v="819"/>
    <n v="148"/>
    <n v="0"/>
    <n v="0"/>
  </r>
  <r>
    <n v="2019"/>
    <n v="9"/>
    <s v="9/01/2019"/>
    <x v="8"/>
    <s v="Male (M)"/>
    <s v="Non-Hispanic Black"/>
    <s v="65-74 years"/>
    <n v="3371"/>
    <n v="3207"/>
    <n v="69"/>
    <n v="954"/>
    <n v="177"/>
    <n v="19"/>
    <n v="37"/>
    <n v="129"/>
    <n v="48"/>
    <n v="112"/>
    <n v="34"/>
    <n v="855"/>
    <n v="210"/>
    <n v="0"/>
    <n v="0"/>
  </r>
  <r>
    <n v="2019"/>
    <n v="9"/>
    <s v="9/01/2019"/>
    <x v="8"/>
    <s v="Male (M)"/>
    <s v="Non-Hispanic Black"/>
    <s v="75-84 years"/>
    <n v="2557"/>
    <n v="2497"/>
    <n v="42"/>
    <n v="657"/>
    <n v="120"/>
    <n v="73"/>
    <n v="38"/>
    <n v="117"/>
    <n v="35"/>
    <n v="87"/>
    <n v="20"/>
    <n v="641"/>
    <n v="181"/>
    <n v="0"/>
    <n v="0"/>
  </r>
  <r>
    <n v="2019"/>
    <n v="9"/>
    <s v="9/01/2019"/>
    <x v="8"/>
    <s v="Male (M)"/>
    <s v="Non-Hispanic Black"/>
    <s v="85 years and over"/>
    <n v="1610"/>
    <n v="1572"/>
    <n v="27"/>
    <n v="285"/>
    <n v="53"/>
    <n v="93"/>
    <n v="28"/>
    <n v="68"/>
    <n v="24"/>
    <n v="55"/>
    <n v="16"/>
    <n v="393"/>
    <n v="126"/>
    <n v="0"/>
    <n v="0"/>
  </r>
  <r>
    <n v="2019"/>
    <n v="9"/>
    <s v="9/01/2019"/>
    <x v="8"/>
    <s v="Male (M)"/>
    <s v="Non-Hispanic White"/>
    <s v="0-4 years"/>
    <n v="440"/>
    <n v="368"/>
    <m/>
    <n v="10"/>
    <n v="0"/>
    <n v="0"/>
    <m/>
    <m/>
    <m/>
    <m/>
    <n v="39"/>
    <m/>
    <m/>
    <n v="0"/>
    <n v="0"/>
  </r>
  <r>
    <n v="2019"/>
    <n v="9"/>
    <s v="9/01/2019"/>
    <x v="8"/>
    <s v="Male (M)"/>
    <s v="Non-Hispanic White"/>
    <s v="15-24 years"/>
    <n v="901"/>
    <n v="140"/>
    <m/>
    <n v="34"/>
    <m/>
    <n v="0"/>
    <m/>
    <m/>
    <m/>
    <m/>
    <m/>
    <n v="22"/>
    <m/>
    <n v="0"/>
    <n v="0"/>
  </r>
  <r>
    <n v="2019"/>
    <n v="9"/>
    <s v="9/01/2019"/>
    <x v="8"/>
    <s v="Male (M)"/>
    <s v="Non-Hispanic White"/>
    <s v="25-34 years"/>
    <n v="1937"/>
    <n v="422"/>
    <m/>
    <n v="76"/>
    <n v="11"/>
    <n v="0"/>
    <m/>
    <m/>
    <m/>
    <m/>
    <n v="32"/>
    <n v="100"/>
    <m/>
    <n v="0"/>
    <n v="0"/>
  </r>
  <r>
    <n v="2019"/>
    <n v="9"/>
    <s v="9/01/2019"/>
    <x v="8"/>
    <s v="Male (M)"/>
    <s v="Non-Hispanic White"/>
    <s v="35-44 years"/>
    <n v="2748"/>
    <n v="1179"/>
    <n v="13"/>
    <n v="232"/>
    <n v="58"/>
    <m/>
    <n v="11"/>
    <n v="12"/>
    <m/>
    <n v="12"/>
    <n v="45"/>
    <n v="292"/>
    <n v="37"/>
    <n v="0"/>
    <n v="0"/>
  </r>
  <r>
    <n v="2019"/>
    <n v="9"/>
    <s v="9/01/2019"/>
    <x v="8"/>
    <s v="Male (M)"/>
    <s v="Non-Hispanic White"/>
    <s v="45-54 years"/>
    <n v="4982"/>
    <n v="3656"/>
    <n v="53"/>
    <n v="886"/>
    <n v="178"/>
    <m/>
    <n v="44"/>
    <n v="90"/>
    <n v="47"/>
    <n v="48"/>
    <n v="51"/>
    <n v="1127"/>
    <n v="121"/>
    <n v="0"/>
    <n v="0"/>
  </r>
  <r>
    <n v="2019"/>
    <n v="9"/>
    <s v="9/01/2019"/>
    <x v="8"/>
    <s v="Male (M)"/>
    <s v="Non-Hispanic White"/>
    <s v="5-14 years"/>
    <n v="126"/>
    <n v="73"/>
    <m/>
    <n v="19"/>
    <m/>
    <n v="0"/>
    <n v="0"/>
    <m/>
    <m/>
    <n v="0"/>
    <m/>
    <m/>
    <m/>
    <n v="0"/>
    <n v="0"/>
  </r>
  <r>
    <n v="2019"/>
    <n v="9"/>
    <s v="9/01/2019"/>
    <x v="8"/>
    <s v="Male (M)"/>
    <s v="Non-Hispanic White"/>
    <s v="55-64 years"/>
    <n v="12658"/>
    <n v="11051"/>
    <n v="167"/>
    <n v="3482"/>
    <n v="473"/>
    <n v="35"/>
    <n v="101"/>
    <n v="572"/>
    <n v="148"/>
    <n v="170"/>
    <n v="106"/>
    <n v="3013"/>
    <n v="354"/>
    <n v="0"/>
    <n v="0"/>
  </r>
  <r>
    <n v="2019"/>
    <n v="9"/>
    <s v="9/01/2019"/>
    <x v="8"/>
    <s v="Male (M)"/>
    <s v="Non-Hispanic White"/>
    <s v="65-74 years"/>
    <n v="19073"/>
    <n v="17962"/>
    <n v="273"/>
    <n v="6024"/>
    <n v="689"/>
    <n v="166"/>
    <n v="200"/>
    <n v="1238"/>
    <n v="338"/>
    <n v="262"/>
    <n v="147"/>
    <n v="4514"/>
    <n v="674"/>
    <n v="0"/>
    <n v="0"/>
  </r>
  <r>
    <n v="2019"/>
    <n v="9"/>
    <s v="9/01/2019"/>
    <x v="8"/>
    <s v="Male (M)"/>
    <s v="Non-Hispanic White"/>
    <s v="75-84 years"/>
    <n v="22539"/>
    <n v="21538"/>
    <n v="323"/>
    <n v="5719"/>
    <n v="672"/>
    <n v="852"/>
    <n v="331"/>
    <n v="1540"/>
    <n v="471"/>
    <n v="418"/>
    <n v="178"/>
    <n v="5407"/>
    <n v="1122"/>
    <n v="0"/>
    <n v="0"/>
  </r>
  <r>
    <n v="2019"/>
    <n v="9"/>
    <s v="9/01/2019"/>
    <x v="8"/>
    <s v="Male (M)"/>
    <s v="Non-Hispanic White"/>
    <s v="85 years and over"/>
    <n v="21926"/>
    <n v="21102"/>
    <n v="243"/>
    <n v="3347"/>
    <n v="458"/>
    <n v="1377"/>
    <n v="426"/>
    <n v="1119"/>
    <n v="354"/>
    <n v="443"/>
    <n v="242"/>
    <n v="6630"/>
    <n v="1303"/>
    <n v="0"/>
    <n v="0"/>
  </r>
  <r>
    <n v="2019"/>
    <n v="9"/>
    <s v="9/01/2019"/>
    <x v="8"/>
    <s v="Male (M)"/>
    <s v="Other"/>
    <s v="0-4 years"/>
    <n v="56"/>
    <n v="46"/>
    <m/>
    <m/>
    <n v="0"/>
    <n v="0"/>
    <n v="0"/>
    <n v="0"/>
    <n v="0"/>
    <n v="0"/>
    <m/>
    <m/>
    <n v="0"/>
    <n v="0"/>
    <n v="0"/>
  </r>
  <r>
    <n v="2019"/>
    <n v="9"/>
    <s v="9/01/2019"/>
    <x v="8"/>
    <s v="Male (M)"/>
    <s v="Other"/>
    <s v="15-24 years"/>
    <n v="36"/>
    <m/>
    <n v="0"/>
    <n v="0"/>
    <n v="0"/>
    <n v="0"/>
    <n v="0"/>
    <n v="0"/>
    <n v="0"/>
    <n v="0"/>
    <n v="0"/>
    <m/>
    <n v="0"/>
    <n v="0"/>
    <n v="0"/>
  </r>
  <r>
    <n v="2019"/>
    <n v="9"/>
    <s v="9/01/2019"/>
    <x v="8"/>
    <s v="Male (M)"/>
    <s v="Other"/>
    <s v="25-34 years"/>
    <n v="75"/>
    <n v="18"/>
    <n v="0"/>
    <m/>
    <m/>
    <n v="0"/>
    <n v="0"/>
    <n v="0"/>
    <m/>
    <m/>
    <n v="0"/>
    <m/>
    <m/>
    <n v="0"/>
    <n v="0"/>
  </r>
  <r>
    <n v="2019"/>
    <n v="9"/>
    <s v="9/01/2019"/>
    <x v="8"/>
    <s v="Male (M)"/>
    <s v="Other"/>
    <s v="35-44 years"/>
    <n v="75"/>
    <n v="38"/>
    <n v="0"/>
    <m/>
    <n v="0"/>
    <n v="0"/>
    <n v="0"/>
    <n v="0"/>
    <n v="0"/>
    <n v="0"/>
    <m/>
    <n v="15"/>
    <m/>
    <n v="0"/>
    <n v="0"/>
  </r>
  <r>
    <n v="2019"/>
    <n v="9"/>
    <s v="9/01/2019"/>
    <x v="8"/>
    <s v="Male (M)"/>
    <s v="Other"/>
    <s v="45-54 years"/>
    <n v="111"/>
    <n v="82"/>
    <n v="0"/>
    <n v="16"/>
    <m/>
    <n v="0"/>
    <m/>
    <m/>
    <m/>
    <m/>
    <m/>
    <n v="32"/>
    <m/>
    <n v="0"/>
    <n v="0"/>
  </r>
  <r>
    <n v="2019"/>
    <n v="9"/>
    <s v="9/01/2019"/>
    <x v="8"/>
    <s v="Male (M)"/>
    <s v="Other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9"/>
    <s v="9/01/2019"/>
    <x v="8"/>
    <s v="Male (M)"/>
    <s v="Other"/>
    <s v="55-64 years"/>
    <n v="217"/>
    <n v="183"/>
    <m/>
    <n v="50"/>
    <n v="13"/>
    <n v="0"/>
    <m/>
    <m/>
    <m/>
    <m/>
    <m/>
    <n v="49"/>
    <m/>
    <n v="0"/>
    <n v="0"/>
  </r>
  <r>
    <n v="2019"/>
    <n v="9"/>
    <s v="9/01/2019"/>
    <x v="8"/>
    <s v="Male (M)"/>
    <s v="Other"/>
    <s v="65-74 years"/>
    <n v="236"/>
    <n v="223"/>
    <m/>
    <n v="59"/>
    <n v="13"/>
    <m/>
    <m/>
    <n v="12"/>
    <m/>
    <m/>
    <m/>
    <n v="73"/>
    <m/>
    <n v="0"/>
    <n v="0"/>
  </r>
  <r>
    <n v="2019"/>
    <n v="9"/>
    <s v="9/01/2019"/>
    <x v="8"/>
    <s v="Male (M)"/>
    <s v="Other"/>
    <s v="75-84 years"/>
    <n v="175"/>
    <n v="171"/>
    <m/>
    <n v="41"/>
    <m/>
    <m/>
    <m/>
    <n v="15"/>
    <m/>
    <n v="0"/>
    <m/>
    <n v="57"/>
    <n v="10"/>
    <n v="0"/>
    <n v="0"/>
  </r>
  <r>
    <n v="2019"/>
    <n v="9"/>
    <s v="9/01/2019"/>
    <x v="8"/>
    <s v="Male (M)"/>
    <s v="Other"/>
    <s v="85 years and over"/>
    <n v="94"/>
    <n v="89"/>
    <m/>
    <m/>
    <m/>
    <m/>
    <m/>
    <m/>
    <m/>
    <m/>
    <m/>
    <n v="32"/>
    <m/>
    <n v="0"/>
    <n v="0"/>
  </r>
  <r>
    <n v="2019"/>
    <n v="10"/>
    <s v="10/01/2019"/>
    <x v="9"/>
    <s v="Female (F)"/>
    <s v="Hispanic"/>
    <s v="0-4 years"/>
    <n v="182"/>
    <n v="167"/>
    <m/>
    <m/>
    <n v="0"/>
    <n v="0"/>
    <m/>
    <m/>
    <m/>
    <m/>
    <n v="23"/>
    <m/>
    <m/>
    <n v="0"/>
    <n v="0"/>
  </r>
  <r>
    <n v="2019"/>
    <n v="10"/>
    <s v="10/01/2019"/>
    <x v="9"/>
    <s v="Female (F)"/>
    <s v="Hispanic"/>
    <s v="15-24 years"/>
    <n v="117"/>
    <n v="45"/>
    <m/>
    <n v="11"/>
    <n v="0"/>
    <n v="0"/>
    <m/>
    <m/>
    <n v="0"/>
    <m/>
    <m/>
    <m/>
    <m/>
    <n v="0"/>
    <n v="0"/>
  </r>
  <r>
    <n v="2019"/>
    <n v="10"/>
    <s v="10/01/2019"/>
    <x v="9"/>
    <s v="Female (F)"/>
    <s v="Hispanic"/>
    <s v="25-34 years"/>
    <n v="183"/>
    <n v="98"/>
    <m/>
    <n v="31"/>
    <m/>
    <n v="0"/>
    <m/>
    <m/>
    <m/>
    <m/>
    <m/>
    <m/>
    <m/>
    <n v="0"/>
    <n v="0"/>
  </r>
  <r>
    <n v="2019"/>
    <n v="10"/>
    <s v="10/01/2019"/>
    <x v="9"/>
    <s v="Female (F)"/>
    <s v="Hispanic"/>
    <s v="35-44 years"/>
    <n v="303"/>
    <n v="225"/>
    <m/>
    <n v="72"/>
    <n v="16"/>
    <n v="0"/>
    <m/>
    <m/>
    <m/>
    <m/>
    <n v="0"/>
    <n v="32"/>
    <n v="11"/>
    <n v="0"/>
    <n v="0"/>
  </r>
  <r>
    <n v="2019"/>
    <n v="10"/>
    <s v="10/01/2019"/>
    <x v="9"/>
    <s v="Female (F)"/>
    <s v="Hispanic"/>
    <s v="45-54 years"/>
    <n v="539"/>
    <n v="467"/>
    <m/>
    <n v="208"/>
    <n v="26"/>
    <n v="0"/>
    <m/>
    <m/>
    <n v="11"/>
    <m/>
    <m/>
    <n v="49"/>
    <n v="20"/>
    <n v="0"/>
    <n v="0"/>
  </r>
  <r>
    <n v="2019"/>
    <n v="10"/>
    <s v="10/01/2019"/>
    <x v="9"/>
    <s v="Female (F)"/>
    <s v="Hispanic"/>
    <s v="5-14 years"/>
    <n v="32"/>
    <n v="22"/>
    <n v="0"/>
    <m/>
    <n v="0"/>
    <n v="0"/>
    <m/>
    <m/>
    <n v="0"/>
    <n v="0"/>
    <m/>
    <n v="0"/>
    <m/>
    <n v="0"/>
    <n v="0"/>
  </r>
  <r>
    <n v="2019"/>
    <n v="10"/>
    <s v="10/01/2019"/>
    <x v="9"/>
    <s v="Female (F)"/>
    <s v="Hispanic"/>
    <s v="55-64 years"/>
    <n v="927"/>
    <n v="868"/>
    <n v="12"/>
    <n v="345"/>
    <n v="62"/>
    <m/>
    <n v="10"/>
    <n v="16"/>
    <n v="21"/>
    <n v="21"/>
    <m/>
    <n v="136"/>
    <n v="41"/>
    <n v="0"/>
    <n v="0"/>
  </r>
  <r>
    <n v="2019"/>
    <n v="10"/>
    <s v="10/01/2019"/>
    <x v="9"/>
    <s v="Female (F)"/>
    <s v="Hispanic"/>
    <s v="65-74 years"/>
    <n v="1351"/>
    <n v="1310"/>
    <n v="25"/>
    <n v="439"/>
    <n v="104"/>
    <n v="21"/>
    <n v="21"/>
    <n v="40"/>
    <n v="38"/>
    <n v="39"/>
    <m/>
    <n v="247"/>
    <n v="61"/>
    <n v="0"/>
    <n v="0"/>
  </r>
  <r>
    <n v="2019"/>
    <n v="10"/>
    <s v="10/01/2019"/>
    <x v="9"/>
    <s v="Female (F)"/>
    <s v="Hispanic"/>
    <s v="75-84 years"/>
    <n v="1760"/>
    <n v="1714"/>
    <n v="28"/>
    <n v="363"/>
    <n v="99"/>
    <n v="117"/>
    <n v="19"/>
    <n v="61"/>
    <n v="36"/>
    <n v="53"/>
    <n v="18"/>
    <n v="375"/>
    <n v="157"/>
    <n v="0"/>
    <n v="0"/>
  </r>
  <r>
    <n v="2019"/>
    <n v="10"/>
    <s v="10/01/2019"/>
    <x v="9"/>
    <s v="Female (F)"/>
    <s v="Hispanic"/>
    <s v="85 years and over"/>
    <n v="2418"/>
    <n v="2380"/>
    <n v="24"/>
    <n v="271"/>
    <n v="87"/>
    <n v="318"/>
    <n v="46"/>
    <n v="88"/>
    <n v="35"/>
    <n v="52"/>
    <n v="17"/>
    <n v="604"/>
    <n v="227"/>
    <n v="0"/>
    <n v="0"/>
  </r>
  <r>
    <n v="2019"/>
    <n v="10"/>
    <s v="10/01/2019"/>
    <x v="9"/>
    <s v="Female (F)"/>
    <s v="Non-Hispanic American Indian or Alaska Native"/>
    <s v="0-4 years"/>
    <n v="13"/>
    <m/>
    <n v="0"/>
    <n v="0"/>
    <n v="0"/>
    <n v="0"/>
    <n v="0"/>
    <n v="0"/>
    <m/>
    <n v="0"/>
    <n v="0"/>
    <n v="0"/>
    <n v="0"/>
    <n v="0"/>
    <n v="0"/>
  </r>
  <r>
    <n v="2019"/>
    <n v="10"/>
    <s v="10/01/2019"/>
    <x v="9"/>
    <s v="Female (F)"/>
    <s v="Non-Hispanic American Indian or Alaska Native"/>
    <s v="15-24 years"/>
    <n v="14"/>
    <n v="0"/>
    <n v="0"/>
    <n v="0"/>
    <n v="0"/>
    <n v="0"/>
    <n v="0"/>
    <n v="0"/>
    <n v="0"/>
    <n v="0"/>
    <n v="0"/>
    <n v="0"/>
    <n v="0"/>
    <n v="0"/>
    <n v="0"/>
  </r>
  <r>
    <n v="2019"/>
    <n v="10"/>
    <s v="10/01/2019"/>
    <x v="9"/>
    <s v="Female (F)"/>
    <s v="Non-Hispanic American Indian or Alaska Native"/>
    <s v="25-34 years"/>
    <n v="43"/>
    <n v="21"/>
    <n v="0"/>
    <m/>
    <n v="0"/>
    <n v="0"/>
    <n v="0"/>
    <n v="0"/>
    <n v="0"/>
    <m/>
    <n v="0"/>
    <m/>
    <n v="0"/>
    <n v="0"/>
    <n v="0"/>
  </r>
  <r>
    <n v="2019"/>
    <n v="10"/>
    <s v="10/01/2019"/>
    <x v="9"/>
    <s v="Female (F)"/>
    <s v="Non-Hispanic American Indian or Alaska Native"/>
    <s v="35-44 years"/>
    <n v="57"/>
    <n v="41"/>
    <m/>
    <m/>
    <m/>
    <n v="0"/>
    <m/>
    <n v="0"/>
    <n v="0"/>
    <n v="0"/>
    <m/>
    <m/>
    <n v="0"/>
    <n v="0"/>
    <n v="0"/>
  </r>
  <r>
    <n v="2019"/>
    <n v="10"/>
    <s v="10/01/2019"/>
    <x v="9"/>
    <s v="Female (F)"/>
    <s v="Non-Hispanic American Indian or Alaska Native"/>
    <s v="45-54 years"/>
    <n v="79"/>
    <n v="65"/>
    <m/>
    <m/>
    <m/>
    <n v="0"/>
    <n v="0"/>
    <m/>
    <m/>
    <m/>
    <m/>
    <n v="12"/>
    <m/>
    <n v="0"/>
    <n v="0"/>
  </r>
  <r>
    <n v="2019"/>
    <n v="10"/>
    <s v="10/01/2019"/>
    <x v="9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10"/>
    <s v="10/01/2019"/>
    <x v="9"/>
    <s v="Female (F)"/>
    <s v="Non-Hispanic American Indian or Alaska Native"/>
    <s v="55-64 years"/>
    <n v="107"/>
    <n v="99"/>
    <m/>
    <n v="28"/>
    <m/>
    <n v="0"/>
    <m/>
    <m/>
    <n v="0"/>
    <n v="0"/>
    <n v="0"/>
    <n v="13"/>
    <m/>
    <n v="0"/>
    <n v="0"/>
  </r>
  <r>
    <n v="2019"/>
    <n v="10"/>
    <s v="10/01/2019"/>
    <x v="9"/>
    <s v="Female (F)"/>
    <s v="Non-Hispanic American Indian or Alaska Native"/>
    <s v="65-74 years"/>
    <n v="150"/>
    <n v="147"/>
    <m/>
    <n v="37"/>
    <m/>
    <m/>
    <m/>
    <n v="10"/>
    <m/>
    <m/>
    <m/>
    <n v="28"/>
    <m/>
    <n v="0"/>
    <n v="0"/>
  </r>
  <r>
    <n v="2019"/>
    <n v="10"/>
    <s v="10/01/2019"/>
    <x v="9"/>
    <s v="Female (F)"/>
    <s v="Non-Hispanic American Indian or Alaska Native"/>
    <s v="75-84 years"/>
    <n v="139"/>
    <n v="137"/>
    <m/>
    <n v="39"/>
    <m/>
    <m/>
    <m/>
    <m/>
    <m/>
    <m/>
    <m/>
    <n v="20"/>
    <n v="11"/>
    <n v="0"/>
    <n v="0"/>
  </r>
  <r>
    <n v="2019"/>
    <n v="10"/>
    <s v="10/01/2019"/>
    <x v="9"/>
    <s v="Female (F)"/>
    <s v="Non-Hispanic American Indian or Alaska Native"/>
    <s v="85 years and over"/>
    <n v="126"/>
    <n v="121"/>
    <m/>
    <n v="15"/>
    <m/>
    <n v="10"/>
    <m/>
    <m/>
    <m/>
    <m/>
    <m/>
    <n v="30"/>
    <n v="11"/>
    <n v="0"/>
    <n v="0"/>
  </r>
  <r>
    <n v="2019"/>
    <n v="10"/>
    <s v="10/01/2019"/>
    <x v="9"/>
    <s v="Female (F)"/>
    <s v="Non-Hispanic Asian"/>
    <s v="0-4 years"/>
    <n v="23"/>
    <n v="22"/>
    <n v="0"/>
    <n v="0"/>
    <n v="0"/>
    <n v="0"/>
    <m/>
    <n v="0"/>
    <n v="0"/>
    <n v="0"/>
    <n v="0"/>
    <n v="0"/>
    <n v="0"/>
    <n v="0"/>
    <n v="0"/>
  </r>
  <r>
    <n v="2019"/>
    <n v="10"/>
    <s v="10/01/2019"/>
    <x v="9"/>
    <s v="Female (F)"/>
    <s v="Non-Hispanic Asian"/>
    <s v="15-24 years"/>
    <n v="17"/>
    <m/>
    <n v="0"/>
    <m/>
    <n v="0"/>
    <n v="0"/>
    <n v="0"/>
    <m/>
    <n v="0"/>
    <n v="0"/>
    <m/>
    <n v="0"/>
    <n v="0"/>
    <n v="0"/>
    <n v="0"/>
  </r>
  <r>
    <n v="2019"/>
    <n v="10"/>
    <s v="10/01/2019"/>
    <x v="9"/>
    <s v="Female (F)"/>
    <s v="Non-Hispanic Asian"/>
    <s v="25-34 years"/>
    <n v="33"/>
    <n v="23"/>
    <n v="0"/>
    <m/>
    <m/>
    <n v="0"/>
    <n v="0"/>
    <n v="0"/>
    <m/>
    <n v="0"/>
    <m/>
    <m/>
    <m/>
    <n v="0"/>
    <n v="0"/>
  </r>
  <r>
    <n v="2019"/>
    <n v="10"/>
    <s v="10/01/2019"/>
    <x v="9"/>
    <s v="Female (F)"/>
    <s v="Non-Hispanic Asian"/>
    <s v="35-44 years"/>
    <n v="58"/>
    <n v="44"/>
    <m/>
    <n v="24"/>
    <m/>
    <n v="0"/>
    <m/>
    <n v="0"/>
    <n v="0"/>
    <n v="0"/>
    <n v="0"/>
    <m/>
    <m/>
    <n v="0"/>
    <n v="0"/>
  </r>
  <r>
    <n v="2019"/>
    <n v="10"/>
    <s v="10/01/2019"/>
    <x v="9"/>
    <s v="Female (F)"/>
    <s v="Non-Hispanic Asian"/>
    <s v="45-54 years"/>
    <n v="129"/>
    <n v="115"/>
    <m/>
    <n v="69"/>
    <m/>
    <n v="0"/>
    <m/>
    <n v="0"/>
    <n v="0"/>
    <m/>
    <m/>
    <m/>
    <n v="10"/>
    <n v="0"/>
    <n v="0"/>
  </r>
  <r>
    <n v="2019"/>
    <n v="10"/>
    <s v="10/01/2019"/>
    <x v="9"/>
    <s v="Female (F)"/>
    <s v="Non-Hispanic Asian"/>
    <s v="5-14 years"/>
    <m/>
    <m/>
    <n v="0"/>
    <m/>
    <n v="0"/>
    <n v="0"/>
    <n v="0"/>
    <n v="0"/>
    <n v="0"/>
    <n v="0"/>
    <n v="0"/>
    <n v="0"/>
    <n v="0"/>
    <n v="0"/>
    <n v="0"/>
  </r>
  <r>
    <n v="2019"/>
    <n v="10"/>
    <s v="10/01/2019"/>
    <x v="9"/>
    <s v="Female (F)"/>
    <s v="Non-Hispanic Asian"/>
    <s v="55-64 years"/>
    <n v="261"/>
    <n v="250"/>
    <m/>
    <n v="135"/>
    <n v="12"/>
    <m/>
    <m/>
    <m/>
    <m/>
    <m/>
    <n v="0"/>
    <n v="33"/>
    <n v="21"/>
    <n v="0"/>
    <n v="0"/>
  </r>
  <r>
    <n v="2019"/>
    <n v="10"/>
    <s v="10/01/2019"/>
    <x v="9"/>
    <s v="Female (F)"/>
    <s v="Non-Hispanic Asian"/>
    <s v="65-74 years"/>
    <n v="473"/>
    <n v="454"/>
    <m/>
    <n v="197"/>
    <n v="17"/>
    <m/>
    <m/>
    <m/>
    <m/>
    <n v="15"/>
    <m/>
    <n v="68"/>
    <n v="37"/>
    <n v="0"/>
    <n v="0"/>
  </r>
  <r>
    <n v="2019"/>
    <n v="10"/>
    <s v="10/01/2019"/>
    <x v="9"/>
    <s v="Female (F)"/>
    <s v="Non-Hispanic Asian"/>
    <s v="75-84 years"/>
    <n v="715"/>
    <n v="693"/>
    <n v="11"/>
    <n v="193"/>
    <n v="32"/>
    <n v="30"/>
    <n v="14"/>
    <n v="17"/>
    <n v="11"/>
    <n v="23"/>
    <m/>
    <n v="148"/>
    <n v="56"/>
    <n v="0"/>
    <n v="0"/>
  </r>
  <r>
    <n v="2019"/>
    <n v="10"/>
    <s v="10/01/2019"/>
    <x v="9"/>
    <s v="Female (F)"/>
    <s v="Non-Hispanic Asian"/>
    <s v="85 years and over"/>
    <n v="1188"/>
    <n v="1164"/>
    <n v="10"/>
    <n v="132"/>
    <n v="41"/>
    <n v="139"/>
    <n v="27"/>
    <n v="28"/>
    <m/>
    <n v="32"/>
    <n v="15"/>
    <n v="302"/>
    <n v="114"/>
    <n v="0"/>
    <n v="0"/>
  </r>
  <r>
    <n v="2019"/>
    <n v="10"/>
    <s v="10/01/2019"/>
    <x v="9"/>
    <s v="Female (F)"/>
    <s v="Non-Hispanic Black"/>
    <s v="0-4 years"/>
    <n v="270"/>
    <n v="245"/>
    <m/>
    <m/>
    <n v="0"/>
    <n v="0"/>
    <m/>
    <n v="0"/>
    <m/>
    <m/>
    <n v="28"/>
    <m/>
    <m/>
    <n v="0"/>
    <n v="0"/>
  </r>
  <r>
    <n v="2019"/>
    <n v="10"/>
    <s v="10/01/2019"/>
    <x v="9"/>
    <s v="Female (F)"/>
    <s v="Non-Hispanic Black"/>
    <s v="15-24 years"/>
    <n v="143"/>
    <n v="61"/>
    <n v="0"/>
    <n v="10"/>
    <m/>
    <n v="0"/>
    <m/>
    <m/>
    <m/>
    <n v="0"/>
    <m/>
    <n v="10"/>
    <m/>
    <n v="0"/>
    <n v="0"/>
  </r>
  <r>
    <n v="2019"/>
    <n v="10"/>
    <s v="10/01/2019"/>
    <x v="9"/>
    <s v="Female (F)"/>
    <s v="Non-Hispanic Black"/>
    <s v="25-34 years"/>
    <n v="323"/>
    <n v="194"/>
    <m/>
    <n v="28"/>
    <n v="13"/>
    <n v="0"/>
    <m/>
    <n v="10"/>
    <m/>
    <m/>
    <m/>
    <n v="36"/>
    <m/>
    <n v="0"/>
    <n v="0"/>
  </r>
  <r>
    <n v="2019"/>
    <n v="10"/>
    <s v="10/01/2019"/>
    <x v="9"/>
    <s v="Female (F)"/>
    <s v="Non-Hispanic Black"/>
    <s v="35-44 years"/>
    <n v="526"/>
    <n v="402"/>
    <m/>
    <n v="92"/>
    <n v="20"/>
    <n v="0"/>
    <m/>
    <m/>
    <m/>
    <n v="16"/>
    <n v="11"/>
    <n v="95"/>
    <n v="16"/>
    <n v="0"/>
    <n v="0"/>
  </r>
  <r>
    <n v="2019"/>
    <n v="10"/>
    <s v="10/01/2019"/>
    <x v="9"/>
    <s v="Female (F)"/>
    <s v="Non-Hispanic Black"/>
    <s v="45-54 years"/>
    <n v="1000"/>
    <n v="883"/>
    <n v="21"/>
    <n v="244"/>
    <n v="52"/>
    <n v="0"/>
    <m/>
    <n v="27"/>
    <n v="18"/>
    <n v="31"/>
    <n v="14"/>
    <n v="187"/>
    <n v="58"/>
    <n v="0"/>
    <n v="0"/>
  </r>
  <r>
    <n v="2019"/>
    <n v="10"/>
    <s v="10/01/2019"/>
    <x v="9"/>
    <s v="Female (F)"/>
    <s v="Non-Hispanic Black"/>
    <s v="5-14 years"/>
    <n v="34"/>
    <n v="26"/>
    <n v="0"/>
    <m/>
    <m/>
    <n v="0"/>
    <n v="0"/>
    <m/>
    <n v="0"/>
    <n v="0"/>
    <m/>
    <m/>
    <m/>
    <n v="0"/>
    <n v="0"/>
  </r>
  <r>
    <n v="2019"/>
    <n v="10"/>
    <s v="10/01/2019"/>
    <x v="9"/>
    <s v="Female (F)"/>
    <s v="Non-Hispanic Black"/>
    <s v="55-64 years"/>
    <n v="2247"/>
    <n v="2139"/>
    <n v="49"/>
    <n v="741"/>
    <n v="110"/>
    <m/>
    <n v="25"/>
    <n v="80"/>
    <n v="30"/>
    <n v="60"/>
    <n v="22"/>
    <n v="486"/>
    <n v="124"/>
    <n v="0"/>
    <n v="0"/>
  </r>
  <r>
    <n v="2019"/>
    <n v="10"/>
    <s v="10/01/2019"/>
    <x v="9"/>
    <s v="Female (F)"/>
    <s v="Non-Hispanic Black"/>
    <s v="65-74 years"/>
    <n v="2982"/>
    <n v="2919"/>
    <n v="64"/>
    <n v="938"/>
    <n v="170"/>
    <n v="52"/>
    <n v="43"/>
    <n v="131"/>
    <n v="49"/>
    <n v="97"/>
    <n v="20"/>
    <n v="678"/>
    <n v="160"/>
    <n v="0"/>
    <n v="0"/>
  </r>
  <r>
    <n v="2019"/>
    <n v="10"/>
    <s v="10/01/2019"/>
    <x v="9"/>
    <s v="Female (F)"/>
    <s v="Non-Hispanic Black"/>
    <s v="75-84 years"/>
    <n v="2991"/>
    <n v="2925"/>
    <n v="73"/>
    <n v="640"/>
    <n v="152"/>
    <n v="154"/>
    <n v="37"/>
    <n v="116"/>
    <n v="37"/>
    <n v="117"/>
    <n v="32"/>
    <n v="710"/>
    <n v="248"/>
    <n v="0"/>
    <n v="0"/>
  </r>
  <r>
    <n v="2019"/>
    <n v="10"/>
    <s v="10/01/2019"/>
    <x v="9"/>
    <s v="Female (F)"/>
    <s v="Non-Hispanic Black"/>
    <s v="85 years and over"/>
    <n v="3416"/>
    <n v="3361"/>
    <n v="45"/>
    <n v="395"/>
    <n v="116"/>
    <n v="321"/>
    <n v="64"/>
    <n v="87"/>
    <n v="25"/>
    <n v="95"/>
    <n v="43"/>
    <n v="925"/>
    <n v="321"/>
    <n v="0"/>
    <n v="0"/>
  </r>
  <r>
    <n v="2019"/>
    <n v="10"/>
    <s v="10/01/2019"/>
    <x v="9"/>
    <s v="Female (F)"/>
    <s v="Non-Hispanic White"/>
    <s v="0-4 years"/>
    <n v="353"/>
    <n v="314"/>
    <m/>
    <m/>
    <n v="0"/>
    <n v="0"/>
    <m/>
    <m/>
    <m/>
    <m/>
    <n v="36"/>
    <m/>
    <n v="0"/>
    <n v="0"/>
    <n v="0"/>
  </r>
  <r>
    <n v="2019"/>
    <n v="10"/>
    <s v="10/01/2019"/>
    <x v="9"/>
    <s v="Female (F)"/>
    <s v="Non-Hispanic White"/>
    <s v="15-24 years"/>
    <n v="405"/>
    <n v="116"/>
    <m/>
    <n v="22"/>
    <m/>
    <n v="0"/>
    <n v="0"/>
    <n v="0"/>
    <m/>
    <n v="0"/>
    <n v="12"/>
    <n v="15"/>
    <m/>
    <n v="0"/>
    <n v="0"/>
  </r>
  <r>
    <n v="2019"/>
    <n v="10"/>
    <s v="10/01/2019"/>
    <x v="9"/>
    <s v="Female (F)"/>
    <s v="Non-Hispanic White"/>
    <s v="25-34 years"/>
    <n v="921"/>
    <n v="369"/>
    <m/>
    <n v="78"/>
    <n v="13"/>
    <n v="0"/>
    <m/>
    <n v="11"/>
    <m/>
    <m/>
    <n v="24"/>
    <n v="41"/>
    <n v="11"/>
    <n v="0"/>
    <n v="0"/>
  </r>
  <r>
    <n v="2019"/>
    <n v="10"/>
    <s v="10/01/2019"/>
    <x v="9"/>
    <s v="Female (F)"/>
    <s v="Non-Hispanic White"/>
    <s v="35-44 years"/>
    <n v="1587"/>
    <n v="990"/>
    <n v="13"/>
    <n v="312"/>
    <n v="44"/>
    <n v="0"/>
    <n v="21"/>
    <n v="18"/>
    <n v="11"/>
    <n v="16"/>
    <n v="41"/>
    <n v="175"/>
    <n v="31"/>
    <n v="0"/>
    <n v="0"/>
  </r>
  <r>
    <n v="2019"/>
    <n v="10"/>
    <s v="10/01/2019"/>
    <x v="9"/>
    <s v="Female (F)"/>
    <s v="Non-Hispanic White"/>
    <s v="45-54 years"/>
    <n v="3221"/>
    <n v="2588"/>
    <n v="39"/>
    <n v="938"/>
    <n v="94"/>
    <m/>
    <n v="39"/>
    <n v="114"/>
    <n v="40"/>
    <n v="32"/>
    <n v="48"/>
    <n v="450"/>
    <n v="93"/>
    <n v="0"/>
    <n v="0"/>
  </r>
  <r>
    <n v="2019"/>
    <n v="10"/>
    <s v="10/01/2019"/>
    <x v="9"/>
    <s v="Female (F)"/>
    <s v="Non-Hispanic White"/>
    <s v="5-14 years"/>
    <n v="100"/>
    <n v="51"/>
    <m/>
    <n v="16"/>
    <n v="0"/>
    <n v="0"/>
    <m/>
    <m/>
    <m/>
    <n v="0"/>
    <m/>
    <m/>
    <n v="0"/>
    <n v="0"/>
    <n v="0"/>
  </r>
  <r>
    <n v="2019"/>
    <n v="10"/>
    <s v="10/01/2019"/>
    <x v="9"/>
    <s v="Female (F)"/>
    <s v="Non-Hispanic White"/>
    <s v="55-64 years"/>
    <n v="8446"/>
    <n v="7802"/>
    <n v="148"/>
    <n v="3030"/>
    <n v="281"/>
    <n v="48"/>
    <n v="85"/>
    <n v="619"/>
    <n v="132"/>
    <n v="114"/>
    <n v="80"/>
    <n v="1294"/>
    <n v="283"/>
    <n v="0"/>
    <n v="0"/>
  </r>
  <r>
    <n v="2019"/>
    <n v="10"/>
    <s v="10/01/2019"/>
    <x v="9"/>
    <s v="Female (F)"/>
    <s v="Non-Hispanic White"/>
    <s v="65-74 years"/>
    <n v="14550"/>
    <n v="14026"/>
    <n v="254"/>
    <n v="5006"/>
    <n v="432"/>
    <n v="333"/>
    <n v="187"/>
    <n v="1238"/>
    <n v="267"/>
    <n v="264"/>
    <n v="114"/>
    <n v="2581"/>
    <n v="610"/>
    <n v="0"/>
    <n v="0"/>
  </r>
  <r>
    <n v="2019"/>
    <n v="10"/>
    <s v="10/01/2019"/>
    <x v="9"/>
    <s v="Female (F)"/>
    <s v="Non-Hispanic White"/>
    <s v="75-84 years"/>
    <n v="22026"/>
    <n v="21360"/>
    <n v="322"/>
    <n v="5134"/>
    <n v="494"/>
    <n v="1511"/>
    <n v="280"/>
    <n v="1777"/>
    <n v="426"/>
    <n v="382"/>
    <n v="208"/>
    <n v="4367"/>
    <n v="1407"/>
    <n v="0"/>
    <n v="0"/>
  </r>
  <r>
    <n v="2019"/>
    <n v="10"/>
    <s v="10/01/2019"/>
    <x v="9"/>
    <s v="Female (F)"/>
    <s v="Non-Hispanic White"/>
    <s v="85 years and over"/>
    <n v="37358"/>
    <n v="36195"/>
    <n v="376"/>
    <n v="3885"/>
    <n v="533"/>
    <n v="4063"/>
    <n v="598"/>
    <n v="1770"/>
    <n v="513"/>
    <n v="577"/>
    <n v="567"/>
    <n v="10329"/>
    <n v="3038"/>
    <n v="0"/>
    <n v="0"/>
  </r>
  <r>
    <n v="2019"/>
    <n v="10"/>
    <s v="10/01/2019"/>
    <x v="9"/>
    <s v="Female (F)"/>
    <s v="Other"/>
    <s v="0-4 years"/>
    <n v="38"/>
    <n v="34"/>
    <n v="0"/>
    <n v="0"/>
    <n v="0"/>
    <n v="0"/>
    <n v="0"/>
    <n v="0"/>
    <n v="0"/>
    <n v="0"/>
    <m/>
    <n v="0"/>
    <m/>
    <n v="0"/>
    <n v="0"/>
  </r>
  <r>
    <n v="2019"/>
    <n v="10"/>
    <s v="10/01/2019"/>
    <x v="9"/>
    <s v="Female (F)"/>
    <s v="Other"/>
    <s v="15-24 years"/>
    <n v="14"/>
    <m/>
    <n v="0"/>
    <n v="0"/>
    <n v="0"/>
    <n v="0"/>
    <n v="0"/>
    <n v="0"/>
    <n v="0"/>
    <n v="0"/>
    <n v="0"/>
    <n v="0"/>
    <n v="0"/>
    <n v="0"/>
    <n v="0"/>
  </r>
  <r>
    <n v="2019"/>
    <n v="10"/>
    <s v="10/01/2019"/>
    <x v="9"/>
    <s v="Female (F)"/>
    <s v="Other"/>
    <s v="25-34 years"/>
    <n v="38"/>
    <n v="21"/>
    <n v="0"/>
    <m/>
    <m/>
    <n v="0"/>
    <n v="0"/>
    <m/>
    <n v="0"/>
    <n v="0"/>
    <m/>
    <m/>
    <n v="0"/>
    <n v="0"/>
    <n v="0"/>
  </r>
  <r>
    <n v="2019"/>
    <n v="10"/>
    <s v="10/01/2019"/>
    <x v="9"/>
    <s v="Female (F)"/>
    <s v="Other"/>
    <s v="35-44 years"/>
    <n v="41"/>
    <n v="27"/>
    <m/>
    <n v="10"/>
    <m/>
    <n v="0"/>
    <n v="0"/>
    <m/>
    <m/>
    <m/>
    <m/>
    <m/>
    <m/>
    <n v="0"/>
    <n v="0"/>
  </r>
  <r>
    <n v="2019"/>
    <n v="10"/>
    <s v="10/01/2019"/>
    <x v="9"/>
    <s v="Female (F)"/>
    <s v="Other"/>
    <s v="45-54 years"/>
    <n v="62"/>
    <n v="54"/>
    <m/>
    <n v="14"/>
    <m/>
    <n v="0"/>
    <m/>
    <n v="0"/>
    <n v="0"/>
    <n v="0"/>
    <m/>
    <n v="14"/>
    <m/>
    <n v="0"/>
    <n v="0"/>
  </r>
  <r>
    <n v="2019"/>
    <n v="10"/>
    <s v="10/01/2019"/>
    <x v="9"/>
    <s v="Female (F)"/>
    <s v="Other"/>
    <s v="5-14 years"/>
    <m/>
    <m/>
    <n v="0"/>
    <m/>
    <n v="0"/>
    <n v="0"/>
    <n v="0"/>
    <n v="0"/>
    <n v="0"/>
    <n v="0"/>
    <n v="0"/>
    <n v="0"/>
    <n v="0"/>
    <n v="0"/>
    <n v="0"/>
  </r>
  <r>
    <n v="2019"/>
    <n v="10"/>
    <s v="10/01/2019"/>
    <x v="9"/>
    <s v="Female (F)"/>
    <s v="Other"/>
    <s v="55-64 years"/>
    <n v="118"/>
    <n v="111"/>
    <m/>
    <n v="39"/>
    <m/>
    <n v="0"/>
    <m/>
    <m/>
    <m/>
    <m/>
    <m/>
    <n v="25"/>
    <m/>
    <n v="0"/>
    <n v="0"/>
  </r>
  <r>
    <n v="2019"/>
    <n v="10"/>
    <s v="10/01/2019"/>
    <x v="9"/>
    <s v="Female (F)"/>
    <s v="Other"/>
    <s v="65-74 years"/>
    <n v="173"/>
    <n v="169"/>
    <m/>
    <n v="62"/>
    <m/>
    <m/>
    <m/>
    <n v="13"/>
    <m/>
    <m/>
    <n v="0"/>
    <n v="46"/>
    <m/>
    <n v="0"/>
    <n v="0"/>
  </r>
  <r>
    <n v="2019"/>
    <n v="10"/>
    <s v="10/01/2019"/>
    <x v="9"/>
    <s v="Female (F)"/>
    <s v="Other"/>
    <s v="75-84 years"/>
    <n v="153"/>
    <n v="148"/>
    <m/>
    <n v="28"/>
    <m/>
    <n v="10"/>
    <m/>
    <n v="18"/>
    <m/>
    <m/>
    <n v="0"/>
    <n v="36"/>
    <m/>
    <n v="0"/>
    <n v="0"/>
  </r>
  <r>
    <n v="2019"/>
    <n v="10"/>
    <s v="10/01/2019"/>
    <x v="9"/>
    <s v="Female (F)"/>
    <s v="Other"/>
    <s v="85 years and over"/>
    <n v="180"/>
    <n v="177"/>
    <m/>
    <n v="17"/>
    <m/>
    <n v="24"/>
    <m/>
    <m/>
    <m/>
    <m/>
    <m/>
    <n v="47"/>
    <n v="14"/>
    <n v="0"/>
    <n v="0"/>
  </r>
  <r>
    <n v="2019"/>
    <n v="10"/>
    <s v="10/01/2019"/>
    <x v="9"/>
    <s v="Male (M)"/>
    <s v="Hispanic"/>
    <s v="0-4 years"/>
    <n v="277"/>
    <n v="254"/>
    <m/>
    <m/>
    <n v="0"/>
    <n v="0"/>
    <m/>
    <m/>
    <m/>
    <n v="0"/>
    <n v="22"/>
    <m/>
    <n v="0"/>
    <n v="0"/>
    <n v="0"/>
  </r>
  <r>
    <n v="2019"/>
    <n v="10"/>
    <s v="10/01/2019"/>
    <x v="9"/>
    <s v="Male (M)"/>
    <s v="Hispanic"/>
    <s v="15-24 years"/>
    <n v="418"/>
    <n v="53"/>
    <m/>
    <n v="19"/>
    <m/>
    <n v="0"/>
    <m/>
    <m/>
    <n v="0"/>
    <n v="0"/>
    <m/>
    <m/>
    <n v="0"/>
    <n v="0"/>
    <n v="0"/>
  </r>
  <r>
    <n v="2019"/>
    <n v="10"/>
    <s v="10/01/2019"/>
    <x v="9"/>
    <s v="Male (M)"/>
    <s v="Hispanic"/>
    <s v="25-34 years"/>
    <n v="566"/>
    <n v="147"/>
    <m/>
    <n v="27"/>
    <m/>
    <n v="0"/>
    <m/>
    <m/>
    <m/>
    <m/>
    <n v="13"/>
    <n v="17"/>
    <m/>
    <n v="0"/>
    <n v="0"/>
  </r>
  <r>
    <n v="2019"/>
    <n v="10"/>
    <s v="10/01/2019"/>
    <x v="9"/>
    <s v="Male (M)"/>
    <s v="Hispanic"/>
    <s v="35-44 years"/>
    <n v="680"/>
    <n v="349"/>
    <m/>
    <n v="62"/>
    <n v="21"/>
    <n v="0"/>
    <m/>
    <m/>
    <m/>
    <m/>
    <n v="17"/>
    <n v="78"/>
    <n v="11"/>
    <n v="0"/>
    <n v="0"/>
  </r>
  <r>
    <n v="2019"/>
    <n v="10"/>
    <s v="10/01/2019"/>
    <x v="9"/>
    <s v="Male (M)"/>
    <s v="Hispanic"/>
    <s v="45-54 years"/>
    <n v="1020"/>
    <n v="764"/>
    <n v="19"/>
    <n v="160"/>
    <n v="42"/>
    <m/>
    <n v="10"/>
    <m/>
    <m/>
    <n v="19"/>
    <n v="12"/>
    <n v="184"/>
    <n v="46"/>
    <n v="0"/>
    <n v="0"/>
  </r>
  <r>
    <n v="2019"/>
    <n v="10"/>
    <s v="10/01/2019"/>
    <x v="9"/>
    <s v="Male (M)"/>
    <s v="Hispanic"/>
    <s v="5-14 years"/>
    <n v="45"/>
    <n v="23"/>
    <n v="0"/>
    <m/>
    <n v="0"/>
    <n v="0"/>
    <n v="0"/>
    <m/>
    <m/>
    <n v="0"/>
    <m/>
    <m/>
    <m/>
    <n v="0"/>
    <n v="0"/>
  </r>
  <r>
    <n v="2019"/>
    <n v="10"/>
    <s v="10/01/2019"/>
    <x v="9"/>
    <s v="Male (M)"/>
    <s v="Hispanic"/>
    <s v="55-64 years"/>
    <n v="1699"/>
    <n v="1497"/>
    <n v="33"/>
    <n v="452"/>
    <n v="96"/>
    <m/>
    <n v="18"/>
    <n v="16"/>
    <n v="12"/>
    <n v="38"/>
    <n v="12"/>
    <n v="378"/>
    <n v="79"/>
    <n v="0"/>
    <n v="0"/>
  </r>
  <r>
    <n v="2019"/>
    <n v="10"/>
    <s v="10/01/2019"/>
    <x v="9"/>
    <s v="Male (M)"/>
    <s v="Hispanic"/>
    <s v="65-74 years"/>
    <n v="1828"/>
    <n v="1736"/>
    <n v="28"/>
    <n v="524"/>
    <n v="120"/>
    <n v="24"/>
    <n v="33"/>
    <n v="50"/>
    <n v="37"/>
    <n v="53"/>
    <m/>
    <n v="407"/>
    <n v="98"/>
    <n v="0"/>
    <n v="0"/>
  </r>
  <r>
    <n v="2019"/>
    <n v="10"/>
    <s v="10/01/2019"/>
    <x v="9"/>
    <s v="Male (M)"/>
    <s v="Hispanic"/>
    <s v="75-84 years"/>
    <n v="1788"/>
    <n v="1736"/>
    <n v="18"/>
    <n v="448"/>
    <n v="106"/>
    <n v="65"/>
    <n v="29"/>
    <n v="68"/>
    <n v="44"/>
    <n v="49"/>
    <n v="16"/>
    <n v="409"/>
    <n v="134"/>
    <n v="0"/>
    <n v="0"/>
  </r>
  <r>
    <n v="2019"/>
    <n v="10"/>
    <s v="10/01/2019"/>
    <x v="9"/>
    <s v="Male (M)"/>
    <s v="Hispanic"/>
    <s v="85 years and over"/>
    <n v="1564"/>
    <n v="1513"/>
    <n v="12"/>
    <n v="251"/>
    <n v="52"/>
    <n v="106"/>
    <n v="31"/>
    <n v="61"/>
    <n v="32"/>
    <n v="43"/>
    <n v="14"/>
    <n v="407"/>
    <n v="136"/>
    <n v="0"/>
    <n v="0"/>
  </r>
  <r>
    <n v="2019"/>
    <n v="10"/>
    <s v="10/01/2019"/>
    <x v="9"/>
    <s v="Male (M)"/>
    <s v="Non-Hispanic American Indian or Alaska Native"/>
    <s v="0-4 years"/>
    <m/>
    <m/>
    <m/>
    <n v="0"/>
    <n v="0"/>
    <n v="0"/>
    <m/>
    <n v="0"/>
    <n v="0"/>
    <n v="0"/>
    <m/>
    <n v="0"/>
    <n v="0"/>
    <n v="0"/>
    <n v="0"/>
  </r>
  <r>
    <n v="2019"/>
    <n v="10"/>
    <s v="10/01/2019"/>
    <x v="9"/>
    <s v="Male (M)"/>
    <s v="Non-Hispanic American Indian or Alaska Native"/>
    <s v="15-24 years"/>
    <n v="20"/>
    <m/>
    <n v="0"/>
    <m/>
    <m/>
    <n v="0"/>
    <n v="0"/>
    <n v="0"/>
    <n v="0"/>
    <n v="0"/>
    <m/>
    <n v="0"/>
    <n v="0"/>
    <n v="0"/>
    <n v="0"/>
  </r>
  <r>
    <n v="2019"/>
    <n v="10"/>
    <s v="10/01/2019"/>
    <x v="9"/>
    <s v="Male (M)"/>
    <s v="Non-Hispanic American Indian or Alaska Native"/>
    <s v="25-34 years"/>
    <n v="56"/>
    <n v="20"/>
    <n v="0"/>
    <m/>
    <n v="0"/>
    <n v="0"/>
    <m/>
    <n v="0"/>
    <n v="0"/>
    <m/>
    <m/>
    <n v="0"/>
    <n v="0"/>
    <n v="0"/>
    <n v="0"/>
  </r>
  <r>
    <n v="2019"/>
    <n v="10"/>
    <s v="10/01/2019"/>
    <x v="9"/>
    <s v="Male (M)"/>
    <s v="Non-Hispanic American Indian or Alaska Native"/>
    <s v="35-44 years"/>
    <n v="68"/>
    <n v="38"/>
    <m/>
    <m/>
    <m/>
    <n v="0"/>
    <n v="0"/>
    <n v="0"/>
    <n v="0"/>
    <m/>
    <m/>
    <m/>
    <m/>
    <n v="0"/>
    <n v="0"/>
  </r>
  <r>
    <n v="2019"/>
    <n v="10"/>
    <s v="10/01/2019"/>
    <x v="9"/>
    <s v="Male (M)"/>
    <s v="Non-Hispanic American Indian or Alaska Native"/>
    <s v="45-54 years"/>
    <n v="101"/>
    <n v="77"/>
    <m/>
    <n v="12"/>
    <m/>
    <n v="0"/>
    <m/>
    <m/>
    <n v="0"/>
    <m/>
    <m/>
    <n v="18"/>
    <m/>
    <n v="0"/>
    <n v="0"/>
  </r>
  <r>
    <n v="2019"/>
    <n v="10"/>
    <s v="10/01/2019"/>
    <x v="9"/>
    <s v="Male (M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19"/>
    <n v="10"/>
    <s v="10/01/2019"/>
    <x v="9"/>
    <s v="Male (M)"/>
    <s v="Non-Hispanic American Indian or Alaska Native"/>
    <s v="55-64 years"/>
    <n v="160"/>
    <n v="132"/>
    <m/>
    <n v="26"/>
    <n v="10"/>
    <n v="0"/>
    <n v="0"/>
    <m/>
    <m/>
    <m/>
    <m/>
    <n v="33"/>
    <m/>
    <n v="0"/>
    <n v="0"/>
  </r>
  <r>
    <n v="2019"/>
    <n v="10"/>
    <s v="10/01/2019"/>
    <x v="9"/>
    <s v="Male (M)"/>
    <s v="Non-Hispanic American Indian or Alaska Native"/>
    <s v="65-74 years"/>
    <n v="180"/>
    <n v="173"/>
    <m/>
    <n v="35"/>
    <n v="16"/>
    <m/>
    <m/>
    <m/>
    <m/>
    <m/>
    <m/>
    <n v="49"/>
    <n v="10"/>
    <n v="0"/>
    <n v="0"/>
  </r>
  <r>
    <n v="2019"/>
    <n v="10"/>
    <s v="10/01/2019"/>
    <x v="9"/>
    <s v="Male (M)"/>
    <s v="Non-Hispanic American Indian or Alaska Native"/>
    <s v="75-84 years"/>
    <n v="125"/>
    <n v="122"/>
    <m/>
    <n v="31"/>
    <m/>
    <m/>
    <m/>
    <m/>
    <m/>
    <m/>
    <m/>
    <n v="27"/>
    <m/>
    <n v="0"/>
    <n v="0"/>
  </r>
  <r>
    <n v="2019"/>
    <n v="10"/>
    <s v="10/01/2019"/>
    <x v="9"/>
    <s v="Male (M)"/>
    <s v="Non-Hispanic American Indian or Alaska Native"/>
    <s v="85 years and over"/>
    <n v="71"/>
    <n v="67"/>
    <m/>
    <n v="11"/>
    <n v="0"/>
    <m/>
    <m/>
    <m/>
    <m/>
    <m/>
    <m/>
    <n v="20"/>
    <m/>
    <n v="0"/>
    <n v="0"/>
  </r>
  <r>
    <n v="2019"/>
    <n v="10"/>
    <s v="10/01/2019"/>
    <x v="9"/>
    <s v="Male (M)"/>
    <s v="Non-Hispanic Asian"/>
    <s v="0-4 years"/>
    <n v="33"/>
    <n v="30"/>
    <n v="0"/>
    <m/>
    <n v="0"/>
    <n v="0"/>
    <m/>
    <n v="0"/>
    <m/>
    <m/>
    <m/>
    <m/>
    <m/>
    <n v="0"/>
    <n v="0"/>
  </r>
  <r>
    <n v="2019"/>
    <n v="10"/>
    <s v="10/01/2019"/>
    <x v="9"/>
    <s v="Male (M)"/>
    <s v="Non-Hispanic Asian"/>
    <s v="15-24 years"/>
    <n v="54"/>
    <n v="11"/>
    <n v="0"/>
    <n v="0"/>
    <n v="0"/>
    <n v="0"/>
    <m/>
    <n v="0"/>
    <n v="0"/>
    <m/>
    <m/>
    <n v="0"/>
    <m/>
    <n v="0"/>
    <n v="0"/>
  </r>
  <r>
    <n v="2019"/>
    <n v="10"/>
    <s v="10/01/2019"/>
    <x v="9"/>
    <s v="Male (M)"/>
    <s v="Non-Hispanic Asian"/>
    <s v="25-34 years"/>
    <n v="70"/>
    <n v="23"/>
    <m/>
    <m/>
    <m/>
    <n v="0"/>
    <n v="0"/>
    <n v="0"/>
    <n v="0"/>
    <n v="0"/>
    <m/>
    <m/>
    <m/>
    <n v="0"/>
    <n v="0"/>
  </r>
  <r>
    <n v="2019"/>
    <n v="10"/>
    <s v="10/01/2019"/>
    <x v="9"/>
    <s v="Male (M)"/>
    <s v="Non-Hispanic Asian"/>
    <s v="35-44 years"/>
    <n v="99"/>
    <n v="60"/>
    <m/>
    <n v="16"/>
    <n v="0"/>
    <n v="0"/>
    <n v="0"/>
    <n v="0"/>
    <m/>
    <m/>
    <n v="0"/>
    <n v="16"/>
    <m/>
    <n v="0"/>
    <n v="0"/>
  </r>
  <r>
    <n v="2019"/>
    <n v="10"/>
    <s v="10/01/2019"/>
    <x v="9"/>
    <s v="Male (M)"/>
    <s v="Non-Hispanic Asian"/>
    <s v="45-54 years"/>
    <n v="221"/>
    <n v="178"/>
    <m/>
    <n v="70"/>
    <m/>
    <n v="0"/>
    <m/>
    <m/>
    <m/>
    <m/>
    <m/>
    <n v="40"/>
    <n v="12"/>
    <n v="0"/>
    <n v="0"/>
  </r>
  <r>
    <n v="2019"/>
    <n v="10"/>
    <s v="10/01/2019"/>
    <x v="9"/>
    <s v="Male (M)"/>
    <s v="Non-Hispanic Asian"/>
    <s v="5-14 years"/>
    <m/>
    <m/>
    <n v="0"/>
    <n v="0"/>
    <n v="0"/>
    <n v="0"/>
    <m/>
    <n v="0"/>
    <n v="0"/>
    <n v="0"/>
    <n v="0"/>
    <n v="0"/>
    <n v="0"/>
    <n v="0"/>
    <n v="0"/>
  </r>
  <r>
    <n v="2019"/>
    <n v="10"/>
    <s v="10/01/2019"/>
    <x v="9"/>
    <s v="Male (M)"/>
    <s v="Non-Hispanic Asian"/>
    <s v="55-64 years"/>
    <n v="405"/>
    <n v="370"/>
    <m/>
    <n v="140"/>
    <n v="23"/>
    <m/>
    <m/>
    <m/>
    <m/>
    <m/>
    <m/>
    <n v="94"/>
    <n v="24"/>
    <n v="0"/>
    <n v="0"/>
  </r>
  <r>
    <n v="2019"/>
    <n v="10"/>
    <s v="10/01/2019"/>
    <x v="9"/>
    <s v="Male (M)"/>
    <s v="Non-Hispanic Asian"/>
    <s v="65-74 years"/>
    <n v="562"/>
    <n v="531"/>
    <m/>
    <n v="204"/>
    <n v="33"/>
    <n v="0"/>
    <m/>
    <n v="14"/>
    <n v="13"/>
    <n v="13"/>
    <m/>
    <n v="131"/>
    <n v="33"/>
    <n v="0"/>
    <n v="0"/>
  </r>
  <r>
    <n v="2019"/>
    <n v="10"/>
    <s v="10/01/2019"/>
    <x v="9"/>
    <s v="Male (M)"/>
    <s v="Non-Hispanic Asian"/>
    <s v="75-84 years"/>
    <n v="799"/>
    <n v="760"/>
    <m/>
    <n v="206"/>
    <n v="36"/>
    <n v="28"/>
    <n v="13"/>
    <n v="33"/>
    <n v="15"/>
    <n v="20"/>
    <m/>
    <n v="188"/>
    <n v="61"/>
    <n v="0"/>
    <n v="0"/>
  </r>
  <r>
    <n v="2019"/>
    <n v="10"/>
    <s v="10/01/2019"/>
    <x v="9"/>
    <s v="Male (M)"/>
    <s v="Non-Hispanic Asian"/>
    <s v="85 years and over"/>
    <n v="797"/>
    <n v="766"/>
    <n v="11"/>
    <n v="121"/>
    <n v="27"/>
    <n v="46"/>
    <n v="22"/>
    <n v="37"/>
    <m/>
    <n v="22"/>
    <m/>
    <n v="191"/>
    <n v="75"/>
    <n v="0"/>
    <n v="0"/>
  </r>
  <r>
    <n v="2019"/>
    <n v="10"/>
    <s v="10/01/2019"/>
    <x v="9"/>
    <s v="Male (M)"/>
    <s v="Non-Hispanic Black"/>
    <s v="0-4 years"/>
    <n v="286"/>
    <n v="248"/>
    <m/>
    <m/>
    <n v="0"/>
    <n v="0"/>
    <n v="0"/>
    <m/>
    <m/>
    <m/>
    <n v="40"/>
    <m/>
    <m/>
    <n v="0"/>
    <n v="0"/>
  </r>
  <r>
    <n v="2019"/>
    <n v="10"/>
    <s v="10/01/2019"/>
    <x v="9"/>
    <s v="Male (M)"/>
    <s v="Non-Hispanic Black"/>
    <s v="15-24 years"/>
    <n v="471"/>
    <n v="63"/>
    <n v="0"/>
    <m/>
    <m/>
    <n v="0"/>
    <m/>
    <m/>
    <n v="0"/>
    <m/>
    <m/>
    <n v="15"/>
    <n v="0"/>
    <n v="0"/>
    <n v="0"/>
  </r>
  <r>
    <n v="2019"/>
    <n v="10"/>
    <s v="10/01/2019"/>
    <x v="9"/>
    <s v="Male (M)"/>
    <s v="Non-Hispanic Black"/>
    <s v="25-34 years"/>
    <n v="731"/>
    <n v="212"/>
    <m/>
    <n v="23"/>
    <n v="14"/>
    <n v="0"/>
    <m/>
    <m/>
    <m/>
    <m/>
    <n v="10"/>
    <n v="52"/>
    <m/>
    <n v="0"/>
    <n v="0"/>
  </r>
  <r>
    <n v="2019"/>
    <n v="10"/>
    <s v="10/01/2019"/>
    <x v="9"/>
    <s v="Male (M)"/>
    <s v="Non-Hispanic Black"/>
    <s v="35-44 years"/>
    <n v="928"/>
    <n v="502"/>
    <m/>
    <n v="77"/>
    <n v="26"/>
    <m/>
    <m/>
    <m/>
    <m/>
    <n v="16"/>
    <n v="11"/>
    <n v="167"/>
    <n v="25"/>
    <n v="0"/>
    <n v="0"/>
  </r>
  <r>
    <n v="2019"/>
    <n v="10"/>
    <s v="10/01/2019"/>
    <x v="9"/>
    <s v="Male (M)"/>
    <s v="Non-Hispanic Black"/>
    <s v="45-54 years"/>
    <n v="1426"/>
    <n v="1092"/>
    <n v="21"/>
    <n v="209"/>
    <n v="67"/>
    <n v="0"/>
    <n v="14"/>
    <n v="24"/>
    <n v="14"/>
    <n v="37"/>
    <n v="23"/>
    <n v="375"/>
    <n v="62"/>
    <n v="0"/>
    <n v="0"/>
  </r>
  <r>
    <n v="2019"/>
    <n v="10"/>
    <s v="10/01/2019"/>
    <x v="9"/>
    <s v="Male (M)"/>
    <s v="Non-Hispanic Black"/>
    <s v="5-14 years"/>
    <n v="57"/>
    <n v="36"/>
    <m/>
    <m/>
    <n v="0"/>
    <n v="0"/>
    <n v="0"/>
    <n v="11"/>
    <m/>
    <n v="0"/>
    <m/>
    <m/>
    <n v="0"/>
    <n v="0"/>
    <n v="0"/>
  </r>
  <r>
    <n v="2019"/>
    <n v="10"/>
    <s v="10/01/2019"/>
    <x v="9"/>
    <s v="Male (M)"/>
    <s v="Non-Hispanic Black"/>
    <s v="55-64 years"/>
    <n v="3187"/>
    <n v="2850"/>
    <n v="50"/>
    <n v="803"/>
    <n v="146"/>
    <m/>
    <n v="44"/>
    <n v="77"/>
    <n v="33"/>
    <n v="67"/>
    <n v="37"/>
    <n v="858"/>
    <n v="151"/>
    <n v="0"/>
    <n v="0"/>
  </r>
  <r>
    <n v="2019"/>
    <n v="10"/>
    <s v="10/01/2019"/>
    <x v="9"/>
    <s v="Male (M)"/>
    <s v="Non-Hispanic Black"/>
    <s v="65-74 years"/>
    <n v="3552"/>
    <n v="3384"/>
    <n v="79"/>
    <n v="995"/>
    <n v="185"/>
    <n v="31"/>
    <n v="37"/>
    <n v="126"/>
    <n v="43"/>
    <n v="96"/>
    <n v="26"/>
    <n v="938"/>
    <n v="216"/>
    <n v="0"/>
    <n v="0"/>
  </r>
  <r>
    <n v="2019"/>
    <n v="10"/>
    <s v="10/01/2019"/>
    <x v="9"/>
    <s v="Male (M)"/>
    <s v="Non-Hispanic Black"/>
    <s v="75-84 years"/>
    <n v="2634"/>
    <n v="2573"/>
    <n v="60"/>
    <n v="644"/>
    <n v="129"/>
    <n v="74"/>
    <n v="35"/>
    <n v="108"/>
    <n v="37"/>
    <n v="90"/>
    <n v="15"/>
    <n v="660"/>
    <n v="196"/>
    <n v="0"/>
    <n v="0"/>
  </r>
  <r>
    <n v="2019"/>
    <n v="10"/>
    <s v="10/01/2019"/>
    <x v="9"/>
    <s v="Male (M)"/>
    <s v="Non-Hispanic Black"/>
    <s v="85 years and over"/>
    <n v="1761"/>
    <n v="1728"/>
    <n v="32"/>
    <n v="318"/>
    <n v="69"/>
    <n v="106"/>
    <n v="44"/>
    <n v="62"/>
    <n v="18"/>
    <n v="55"/>
    <n v="16"/>
    <n v="478"/>
    <n v="113"/>
    <n v="0"/>
    <n v="0"/>
  </r>
  <r>
    <n v="2019"/>
    <n v="10"/>
    <s v="10/01/2019"/>
    <x v="9"/>
    <s v="Male (M)"/>
    <s v="Non-Hispanic White"/>
    <s v="0-4 years"/>
    <n v="437"/>
    <n v="375"/>
    <m/>
    <n v="13"/>
    <n v="0"/>
    <n v="0"/>
    <m/>
    <m/>
    <m/>
    <n v="0"/>
    <n v="47"/>
    <m/>
    <m/>
    <n v="0"/>
    <n v="0"/>
  </r>
  <r>
    <n v="2019"/>
    <n v="10"/>
    <s v="10/01/2019"/>
    <x v="9"/>
    <s v="Male (M)"/>
    <s v="Non-Hispanic White"/>
    <s v="15-24 years"/>
    <n v="878"/>
    <n v="162"/>
    <m/>
    <n v="41"/>
    <n v="10"/>
    <n v="0"/>
    <n v="0"/>
    <m/>
    <m/>
    <m/>
    <n v="11"/>
    <n v="22"/>
    <m/>
    <n v="0"/>
    <n v="0"/>
  </r>
  <r>
    <n v="2019"/>
    <n v="10"/>
    <s v="10/01/2019"/>
    <x v="9"/>
    <s v="Male (M)"/>
    <s v="Non-Hispanic White"/>
    <s v="25-34 years"/>
    <n v="2045"/>
    <n v="495"/>
    <m/>
    <n v="78"/>
    <n v="28"/>
    <n v="0"/>
    <m/>
    <m/>
    <m/>
    <m/>
    <n v="39"/>
    <n v="87"/>
    <m/>
    <n v="0"/>
    <n v="0"/>
  </r>
  <r>
    <n v="2019"/>
    <n v="10"/>
    <s v="10/01/2019"/>
    <x v="9"/>
    <s v="Male (M)"/>
    <s v="Non-Hispanic White"/>
    <s v="35-44 years"/>
    <n v="2611"/>
    <n v="1146"/>
    <n v="19"/>
    <n v="226"/>
    <n v="62"/>
    <n v="0"/>
    <n v="14"/>
    <n v="14"/>
    <n v="17"/>
    <n v="12"/>
    <n v="43"/>
    <n v="297"/>
    <n v="41"/>
    <n v="0"/>
    <n v="0"/>
  </r>
  <r>
    <n v="2019"/>
    <n v="10"/>
    <s v="10/01/2019"/>
    <x v="9"/>
    <s v="Male (M)"/>
    <s v="Non-Hispanic White"/>
    <s v="45-54 years"/>
    <n v="5301"/>
    <n v="3811"/>
    <n v="59"/>
    <n v="979"/>
    <n v="155"/>
    <m/>
    <n v="43"/>
    <n v="92"/>
    <n v="51"/>
    <n v="55"/>
    <n v="59"/>
    <n v="1101"/>
    <n v="104"/>
    <n v="0"/>
    <n v="0"/>
  </r>
  <r>
    <n v="2019"/>
    <n v="10"/>
    <s v="10/01/2019"/>
    <x v="9"/>
    <s v="Male (M)"/>
    <s v="Non-Hispanic White"/>
    <s v="5-14 years"/>
    <n v="123"/>
    <n v="54"/>
    <m/>
    <n v="15"/>
    <m/>
    <n v="0"/>
    <n v="0"/>
    <m/>
    <m/>
    <n v="0"/>
    <m/>
    <m/>
    <n v="0"/>
    <n v="0"/>
    <n v="0"/>
  </r>
  <r>
    <n v="2019"/>
    <n v="10"/>
    <s v="10/01/2019"/>
    <x v="9"/>
    <s v="Male (M)"/>
    <s v="Non-Hispanic White"/>
    <s v="55-64 years"/>
    <n v="13175"/>
    <n v="11633"/>
    <n v="175"/>
    <n v="3730"/>
    <n v="488"/>
    <n v="31"/>
    <n v="132"/>
    <n v="580"/>
    <n v="150"/>
    <n v="156"/>
    <n v="120"/>
    <n v="3144"/>
    <n v="354"/>
    <n v="0"/>
    <n v="0"/>
  </r>
  <r>
    <n v="2019"/>
    <n v="10"/>
    <s v="10/01/2019"/>
    <x v="9"/>
    <s v="Male (M)"/>
    <s v="Non-Hispanic White"/>
    <s v="65-74 years"/>
    <n v="20384"/>
    <n v="19260"/>
    <n v="291"/>
    <n v="6308"/>
    <n v="763"/>
    <n v="221"/>
    <n v="237"/>
    <n v="1358"/>
    <n v="328"/>
    <n v="326"/>
    <n v="139"/>
    <n v="4953"/>
    <n v="726"/>
    <n v="0"/>
    <n v="0"/>
  </r>
  <r>
    <n v="2019"/>
    <n v="10"/>
    <s v="10/01/2019"/>
    <x v="9"/>
    <s v="Male (M)"/>
    <s v="Non-Hispanic White"/>
    <s v="75-84 years"/>
    <n v="24180"/>
    <n v="23154"/>
    <n v="348"/>
    <n v="6110"/>
    <n v="720"/>
    <n v="918"/>
    <n v="374"/>
    <n v="1574"/>
    <n v="530"/>
    <n v="477"/>
    <n v="196"/>
    <n v="5839"/>
    <n v="1214"/>
    <n v="0"/>
    <n v="0"/>
  </r>
  <r>
    <n v="2019"/>
    <n v="10"/>
    <s v="10/01/2019"/>
    <x v="9"/>
    <s v="Male (M)"/>
    <s v="Non-Hispanic White"/>
    <s v="85 years and over"/>
    <n v="23964"/>
    <n v="23022"/>
    <n v="253"/>
    <n v="3618"/>
    <n v="473"/>
    <n v="1551"/>
    <n v="492"/>
    <n v="1192"/>
    <n v="408"/>
    <n v="505"/>
    <n v="294"/>
    <n v="7242"/>
    <n v="1428"/>
    <n v="0"/>
    <n v="0"/>
  </r>
  <r>
    <n v="2019"/>
    <n v="10"/>
    <s v="10/01/2019"/>
    <x v="9"/>
    <s v="Male (M)"/>
    <s v="Other"/>
    <s v="0-4 years"/>
    <n v="49"/>
    <n v="39"/>
    <n v="0"/>
    <m/>
    <n v="0"/>
    <n v="0"/>
    <n v="0"/>
    <n v="0"/>
    <m/>
    <n v="0"/>
    <m/>
    <m/>
    <n v="0"/>
    <n v="0"/>
    <n v="0"/>
  </r>
  <r>
    <n v="2019"/>
    <n v="10"/>
    <s v="10/01/2019"/>
    <x v="9"/>
    <s v="Male (M)"/>
    <s v="Other"/>
    <s v="15-24 years"/>
    <n v="44"/>
    <m/>
    <m/>
    <m/>
    <n v="0"/>
    <n v="0"/>
    <n v="0"/>
    <n v="0"/>
    <n v="0"/>
    <n v="0"/>
    <m/>
    <m/>
    <m/>
    <n v="0"/>
    <n v="0"/>
  </r>
  <r>
    <n v="2019"/>
    <n v="10"/>
    <s v="10/01/2019"/>
    <x v="9"/>
    <s v="Male (M)"/>
    <s v="Other"/>
    <s v="25-34 years"/>
    <n v="55"/>
    <n v="13"/>
    <n v="0"/>
    <m/>
    <n v="0"/>
    <n v="0"/>
    <n v="0"/>
    <n v="0"/>
    <n v="0"/>
    <n v="0"/>
    <m/>
    <m/>
    <m/>
    <n v="0"/>
    <n v="0"/>
  </r>
  <r>
    <n v="2019"/>
    <n v="10"/>
    <s v="10/01/2019"/>
    <x v="9"/>
    <s v="Male (M)"/>
    <s v="Other"/>
    <s v="35-44 years"/>
    <n v="59"/>
    <n v="32"/>
    <n v="0"/>
    <m/>
    <n v="0"/>
    <n v="0"/>
    <n v="0"/>
    <m/>
    <n v="0"/>
    <m/>
    <n v="0"/>
    <n v="11"/>
    <m/>
    <n v="0"/>
    <n v="0"/>
  </r>
  <r>
    <n v="2019"/>
    <n v="10"/>
    <s v="10/01/2019"/>
    <x v="9"/>
    <s v="Male (M)"/>
    <s v="Other"/>
    <s v="45-54 years"/>
    <n v="114"/>
    <n v="77"/>
    <m/>
    <n v="15"/>
    <m/>
    <n v="0"/>
    <m/>
    <m/>
    <m/>
    <m/>
    <m/>
    <n v="25"/>
    <m/>
    <n v="0"/>
    <n v="0"/>
  </r>
  <r>
    <n v="2019"/>
    <n v="10"/>
    <s v="10/01/2019"/>
    <x v="9"/>
    <s v="Male (M)"/>
    <s v="Other"/>
    <s v="5-14 years"/>
    <m/>
    <m/>
    <n v="0"/>
    <n v="0"/>
    <n v="0"/>
    <n v="0"/>
    <n v="0"/>
    <n v="0"/>
    <n v="0"/>
    <n v="0"/>
    <m/>
    <n v="0"/>
    <n v="0"/>
    <n v="0"/>
    <n v="0"/>
  </r>
  <r>
    <n v="2019"/>
    <n v="10"/>
    <s v="10/01/2019"/>
    <x v="9"/>
    <s v="Male (M)"/>
    <s v="Other"/>
    <s v="55-64 years"/>
    <n v="238"/>
    <n v="201"/>
    <m/>
    <n v="47"/>
    <n v="11"/>
    <n v="0"/>
    <m/>
    <m/>
    <m/>
    <m/>
    <m/>
    <n v="73"/>
    <m/>
    <n v="0"/>
    <n v="0"/>
  </r>
  <r>
    <n v="2019"/>
    <n v="10"/>
    <s v="10/01/2019"/>
    <x v="9"/>
    <s v="Male (M)"/>
    <s v="Other"/>
    <s v="65-74 years"/>
    <n v="269"/>
    <n v="251"/>
    <m/>
    <n v="62"/>
    <n v="13"/>
    <m/>
    <m/>
    <n v="20"/>
    <m/>
    <m/>
    <m/>
    <n v="73"/>
    <n v="16"/>
    <n v="0"/>
    <n v="0"/>
  </r>
  <r>
    <n v="2019"/>
    <n v="10"/>
    <s v="10/01/2019"/>
    <x v="9"/>
    <s v="Male (M)"/>
    <s v="Other"/>
    <s v="75-84 years"/>
    <n v="187"/>
    <n v="183"/>
    <m/>
    <n v="52"/>
    <m/>
    <m/>
    <m/>
    <n v="16"/>
    <m/>
    <m/>
    <n v="0"/>
    <n v="42"/>
    <n v="10"/>
    <n v="0"/>
    <n v="0"/>
  </r>
  <r>
    <n v="2019"/>
    <n v="10"/>
    <s v="10/01/2019"/>
    <x v="9"/>
    <s v="Male (M)"/>
    <s v="Other"/>
    <s v="85 years and over"/>
    <n v="106"/>
    <n v="103"/>
    <m/>
    <n v="12"/>
    <m/>
    <n v="10"/>
    <m/>
    <m/>
    <m/>
    <m/>
    <m/>
    <n v="28"/>
    <m/>
    <n v="0"/>
    <n v="0"/>
  </r>
  <r>
    <n v="2019"/>
    <n v="11"/>
    <s v="11/01/2019"/>
    <x v="10"/>
    <s v="Female (F)"/>
    <s v="Hispanic"/>
    <s v="0-4 years"/>
    <n v="206"/>
    <n v="191"/>
    <m/>
    <m/>
    <n v="0"/>
    <n v="0"/>
    <m/>
    <m/>
    <m/>
    <n v="0"/>
    <n v="21"/>
    <m/>
    <m/>
    <n v="0"/>
    <n v="0"/>
  </r>
  <r>
    <n v="2019"/>
    <n v="11"/>
    <s v="11/01/2019"/>
    <x v="10"/>
    <s v="Female (F)"/>
    <s v="Hispanic"/>
    <s v="15-24 years"/>
    <n v="114"/>
    <n v="41"/>
    <n v="0"/>
    <n v="11"/>
    <n v="0"/>
    <n v="0"/>
    <m/>
    <m/>
    <m/>
    <m/>
    <m/>
    <m/>
    <m/>
    <n v="0"/>
    <n v="0"/>
  </r>
  <r>
    <n v="2019"/>
    <n v="11"/>
    <s v="11/01/2019"/>
    <x v="10"/>
    <s v="Female (F)"/>
    <s v="Hispanic"/>
    <s v="25-34 years"/>
    <n v="194"/>
    <n v="105"/>
    <m/>
    <n v="32"/>
    <m/>
    <n v="0"/>
    <m/>
    <m/>
    <m/>
    <m/>
    <m/>
    <n v="11"/>
    <m/>
    <n v="0"/>
    <n v="0"/>
  </r>
  <r>
    <n v="2019"/>
    <n v="11"/>
    <s v="11/01/2019"/>
    <x v="10"/>
    <s v="Female (F)"/>
    <s v="Hispanic"/>
    <s v="35-44 years"/>
    <n v="306"/>
    <n v="231"/>
    <m/>
    <n v="87"/>
    <m/>
    <n v="0"/>
    <m/>
    <m/>
    <m/>
    <m/>
    <m/>
    <n v="29"/>
    <n v="10"/>
    <n v="0"/>
    <n v="0"/>
  </r>
  <r>
    <n v="2019"/>
    <n v="11"/>
    <s v="11/01/2019"/>
    <x v="10"/>
    <s v="Female (F)"/>
    <s v="Hispanic"/>
    <s v="45-54 years"/>
    <n v="536"/>
    <n v="475"/>
    <n v="13"/>
    <n v="206"/>
    <n v="21"/>
    <m/>
    <m/>
    <m/>
    <m/>
    <n v="12"/>
    <m/>
    <n v="60"/>
    <n v="19"/>
    <n v="0"/>
    <n v="0"/>
  </r>
  <r>
    <n v="2019"/>
    <n v="11"/>
    <s v="11/01/2019"/>
    <x v="10"/>
    <s v="Female (F)"/>
    <s v="Hispanic"/>
    <s v="5-14 years"/>
    <n v="42"/>
    <n v="23"/>
    <n v="0"/>
    <m/>
    <n v="0"/>
    <n v="0"/>
    <m/>
    <m/>
    <n v="0"/>
    <n v="0"/>
    <n v="0"/>
    <m/>
    <m/>
    <n v="0"/>
    <n v="0"/>
  </r>
  <r>
    <n v="2019"/>
    <n v="11"/>
    <s v="11/01/2019"/>
    <x v="10"/>
    <s v="Female (F)"/>
    <s v="Hispanic"/>
    <s v="55-64 years"/>
    <n v="953"/>
    <n v="900"/>
    <m/>
    <n v="333"/>
    <n v="69"/>
    <m/>
    <n v="15"/>
    <n v="27"/>
    <n v="15"/>
    <n v="21"/>
    <m/>
    <n v="152"/>
    <n v="49"/>
    <n v="0"/>
    <n v="0"/>
  </r>
  <r>
    <n v="2019"/>
    <n v="11"/>
    <s v="11/01/2019"/>
    <x v="10"/>
    <s v="Female (F)"/>
    <s v="Hispanic"/>
    <s v="65-74 years"/>
    <n v="1368"/>
    <n v="1322"/>
    <n v="30"/>
    <n v="416"/>
    <n v="90"/>
    <n v="25"/>
    <n v="24"/>
    <n v="35"/>
    <n v="29"/>
    <n v="48"/>
    <n v="13"/>
    <n v="228"/>
    <n v="87"/>
    <n v="0"/>
    <n v="0"/>
  </r>
  <r>
    <n v="2019"/>
    <n v="11"/>
    <s v="11/01/2019"/>
    <x v="10"/>
    <s v="Female (F)"/>
    <s v="Hispanic"/>
    <s v="75-84 years"/>
    <n v="1798"/>
    <n v="1757"/>
    <n v="18"/>
    <n v="374"/>
    <n v="92"/>
    <n v="131"/>
    <n v="43"/>
    <n v="60"/>
    <n v="39"/>
    <n v="57"/>
    <n v="10"/>
    <n v="365"/>
    <n v="150"/>
    <n v="0"/>
    <n v="0"/>
  </r>
  <r>
    <n v="2019"/>
    <n v="11"/>
    <s v="11/01/2019"/>
    <x v="10"/>
    <s v="Female (F)"/>
    <s v="Hispanic"/>
    <s v="85 years and over"/>
    <n v="2495"/>
    <n v="2435"/>
    <n v="34"/>
    <n v="241"/>
    <n v="80"/>
    <n v="313"/>
    <n v="39"/>
    <n v="108"/>
    <n v="47"/>
    <n v="49"/>
    <n v="17"/>
    <n v="709"/>
    <n v="238"/>
    <n v="0"/>
    <n v="0"/>
  </r>
  <r>
    <n v="2019"/>
    <n v="11"/>
    <s v="11/01/2019"/>
    <x v="10"/>
    <s v="Female (F)"/>
    <s v="Non-Hispanic American Indian or Alaska Native"/>
    <s v="0-4 years"/>
    <n v="11"/>
    <m/>
    <n v="0"/>
    <n v="0"/>
    <n v="0"/>
    <n v="0"/>
    <n v="0"/>
    <n v="0"/>
    <n v="0"/>
    <n v="0"/>
    <m/>
    <n v="0"/>
    <n v="0"/>
    <n v="0"/>
    <n v="0"/>
  </r>
  <r>
    <n v="2019"/>
    <n v="11"/>
    <s v="11/01/2019"/>
    <x v="10"/>
    <s v="Female (F)"/>
    <s v="Non-Hispanic American Indian or Alaska Native"/>
    <s v="15-24 years"/>
    <n v="10"/>
    <m/>
    <n v="0"/>
    <n v="0"/>
    <n v="0"/>
    <n v="0"/>
    <n v="0"/>
    <n v="0"/>
    <m/>
    <n v="0"/>
    <m/>
    <n v="0"/>
    <n v="0"/>
    <n v="0"/>
    <n v="0"/>
  </r>
  <r>
    <n v="2019"/>
    <n v="11"/>
    <s v="11/01/2019"/>
    <x v="10"/>
    <s v="Female (F)"/>
    <s v="Non-Hispanic American Indian or Alaska Native"/>
    <s v="25-34 years"/>
    <n v="30"/>
    <n v="11"/>
    <n v="0"/>
    <m/>
    <m/>
    <n v="0"/>
    <n v="0"/>
    <n v="0"/>
    <n v="0"/>
    <n v="0"/>
    <m/>
    <n v="0"/>
    <n v="0"/>
    <n v="0"/>
    <n v="0"/>
  </r>
  <r>
    <n v="2019"/>
    <n v="11"/>
    <s v="11/01/2019"/>
    <x v="10"/>
    <s v="Female (F)"/>
    <s v="Non-Hispanic American Indian or Alaska Native"/>
    <s v="35-44 years"/>
    <n v="43"/>
    <n v="28"/>
    <n v="0"/>
    <m/>
    <m/>
    <n v="0"/>
    <n v="0"/>
    <n v="0"/>
    <n v="0"/>
    <m/>
    <n v="0"/>
    <m/>
    <n v="0"/>
    <n v="0"/>
    <n v="0"/>
  </r>
  <r>
    <n v="2019"/>
    <n v="11"/>
    <s v="11/01/2019"/>
    <x v="10"/>
    <s v="Female (F)"/>
    <s v="Non-Hispanic American Indian or Alaska Native"/>
    <s v="45-54 years"/>
    <n v="75"/>
    <n v="63"/>
    <m/>
    <n v="10"/>
    <m/>
    <n v="0"/>
    <n v="0"/>
    <m/>
    <n v="0"/>
    <m/>
    <n v="0"/>
    <m/>
    <m/>
    <n v="0"/>
    <n v="0"/>
  </r>
  <r>
    <n v="2019"/>
    <n v="11"/>
    <s v="11/01/2019"/>
    <x v="10"/>
    <s v="Female (F)"/>
    <s v="Non-Hispanic American Indian or Alaska Native"/>
    <s v="5-14 years"/>
    <m/>
    <m/>
    <n v="0"/>
    <n v="0"/>
    <n v="0"/>
    <n v="0"/>
    <n v="0"/>
    <n v="0"/>
    <m/>
    <n v="0"/>
    <n v="0"/>
    <n v="0"/>
    <n v="0"/>
    <n v="0"/>
    <n v="0"/>
  </r>
  <r>
    <n v="2019"/>
    <n v="11"/>
    <s v="11/01/2019"/>
    <x v="10"/>
    <s v="Female (F)"/>
    <s v="Non-Hispanic American Indian or Alaska Native"/>
    <s v="55-64 years"/>
    <n v="121"/>
    <n v="113"/>
    <m/>
    <n v="28"/>
    <m/>
    <n v="0"/>
    <m/>
    <m/>
    <m/>
    <m/>
    <n v="0"/>
    <n v="23"/>
    <m/>
    <n v="0"/>
    <n v="0"/>
  </r>
  <r>
    <n v="2019"/>
    <n v="11"/>
    <s v="11/01/2019"/>
    <x v="10"/>
    <s v="Female (F)"/>
    <s v="Non-Hispanic American Indian or Alaska Native"/>
    <s v="65-74 years"/>
    <n v="141"/>
    <n v="134"/>
    <m/>
    <n v="30"/>
    <n v="11"/>
    <m/>
    <m/>
    <n v="14"/>
    <m/>
    <m/>
    <n v="0"/>
    <n v="27"/>
    <m/>
    <n v="0"/>
    <n v="0"/>
  </r>
  <r>
    <n v="2019"/>
    <n v="11"/>
    <s v="11/01/2019"/>
    <x v="10"/>
    <s v="Female (F)"/>
    <s v="Non-Hispanic American Indian or Alaska Native"/>
    <s v="75-84 years"/>
    <n v="143"/>
    <n v="136"/>
    <m/>
    <n v="21"/>
    <m/>
    <m/>
    <m/>
    <n v="11"/>
    <m/>
    <m/>
    <m/>
    <n v="29"/>
    <n v="17"/>
    <n v="0"/>
    <n v="0"/>
  </r>
  <r>
    <n v="2019"/>
    <n v="11"/>
    <s v="11/01/2019"/>
    <x v="10"/>
    <s v="Female (F)"/>
    <s v="Non-Hispanic American Indian or Alaska Native"/>
    <s v="85 years and over"/>
    <n v="120"/>
    <n v="115"/>
    <m/>
    <n v="10"/>
    <m/>
    <n v="16"/>
    <m/>
    <m/>
    <m/>
    <m/>
    <n v="0"/>
    <n v="23"/>
    <n v="10"/>
    <n v="0"/>
    <n v="0"/>
  </r>
  <r>
    <n v="2019"/>
    <n v="11"/>
    <s v="11/01/2019"/>
    <x v="10"/>
    <s v="Female (F)"/>
    <s v="Non-Hispanic Asian"/>
    <s v="0-4 years"/>
    <n v="24"/>
    <n v="23"/>
    <n v="0"/>
    <m/>
    <n v="0"/>
    <n v="0"/>
    <m/>
    <n v="0"/>
    <n v="0"/>
    <n v="0"/>
    <m/>
    <n v="0"/>
    <n v="0"/>
    <n v="0"/>
    <n v="0"/>
  </r>
  <r>
    <n v="2019"/>
    <n v="11"/>
    <s v="11/01/2019"/>
    <x v="10"/>
    <s v="Female (F)"/>
    <s v="Non-Hispanic Asian"/>
    <s v="15-24 years"/>
    <n v="17"/>
    <m/>
    <n v="0"/>
    <m/>
    <m/>
    <n v="0"/>
    <n v="0"/>
    <n v="0"/>
    <m/>
    <m/>
    <n v="0"/>
    <n v="0"/>
    <n v="0"/>
    <n v="0"/>
    <n v="0"/>
  </r>
  <r>
    <n v="2019"/>
    <n v="11"/>
    <s v="11/01/2019"/>
    <x v="10"/>
    <s v="Female (F)"/>
    <s v="Non-Hispanic Asian"/>
    <s v="25-34 years"/>
    <n v="47"/>
    <n v="29"/>
    <n v="0"/>
    <n v="14"/>
    <n v="0"/>
    <n v="0"/>
    <n v="0"/>
    <n v="0"/>
    <n v="0"/>
    <m/>
    <n v="0"/>
    <m/>
    <m/>
    <n v="0"/>
    <n v="0"/>
  </r>
  <r>
    <n v="2019"/>
    <n v="11"/>
    <s v="11/01/2019"/>
    <x v="10"/>
    <s v="Female (F)"/>
    <s v="Non-Hispanic Asian"/>
    <s v="35-44 years"/>
    <n v="55"/>
    <n v="47"/>
    <m/>
    <n v="21"/>
    <m/>
    <n v="0"/>
    <m/>
    <n v="0"/>
    <n v="0"/>
    <m/>
    <m/>
    <m/>
    <m/>
    <n v="0"/>
    <n v="0"/>
  </r>
  <r>
    <n v="2019"/>
    <n v="11"/>
    <s v="11/01/2019"/>
    <x v="10"/>
    <s v="Female (F)"/>
    <s v="Non-Hispanic Asian"/>
    <s v="45-54 years"/>
    <n v="128"/>
    <n v="110"/>
    <m/>
    <n v="71"/>
    <m/>
    <n v="0"/>
    <m/>
    <m/>
    <n v="0"/>
    <m/>
    <n v="0"/>
    <m/>
    <m/>
    <n v="0"/>
    <n v="0"/>
  </r>
  <r>
    <n v="2019"/>
    <n v="11"/>
    <s v="11/01/2019"/>
    <x v="10"/>
    <s v="Female (F)"/>
    <s v="Non-Hispanic Asian"/>
    <s v="5-14 years"/>
    <m/>
    <m/>
    <n v="0"/>
    <m/>
    <n v="0"/>
    <n v="0"/>
    <n v="0"/>
    <n v="0"/>
    <n v="0"/>
    <n v="0"/>
    <n v="0"/>
    <n v="0"/>
    <m/>
    <n v="0"/>
    <n v="0"/>
  </r>
  <r>
    <n v="2019"/>
    <n v="11"/>
    <s v="11/01/2019"/>
    <x v="10"/>
    <s v="Female (F)"/>
    <s v="Non-Hispanic Asian"/>
    <s v="55-64 years"/>
    <n v="251"/>
    <n v="237"/>
    <m/>
    <n v="125"/>
    <m/>
    <m/>
    <m/>
    <m/>
    <m/>
    <m/>
    <n v="0"/>
    <n v="31"/>
    <n v="22"/>
    <n v="0"/>
    <n v="0"/>
  </r>
  <r>
    <n v="2019"/>
    <n v="11"/>
    <s v="11/01/2019"/>
    <x v="10"/>
    <s v="Female (F)"/>
    <s v="Non-Hispanic Asian"/>
    <s v="65-74 years"/>
    <n v="476"/>
    <n v="461"/>
    <n v="10"/>
    <n v="177"/>
    <n v="32"/>
    <m/>
    <n v="12"/>
    <m/>
    <m/>
    <m/>
    <m/>
    <n v="74"/>
    <n v="40"/>
    <n v="0"/>
    <n v="0"/>
  </r>
  <r>
    <n v="2019"/>
    <n v="11"/>
    <s v="11/01/2019"/>
    <x v="10"/>
    <s v="Female (F)"/>
    <s v="Non-Hispanic Asian"/>
    <s v="75-84 years"/>
    <n v="718"/>
    <n v="692"/>
    <m/>
    <n v="173"/>
    <n v="31"/>
    <n v="30"/>
    <n v="12"/>
    <n v="26"/>
    <n v="18"/>
    <n v="17"/>
    <m/>
    <n v="164"/>
    <n v="69"/>
    <n v="0"/>
    <n v="0"/>
  </r>
  <r>
    <n v="2019"/>
    <n v="11"/>
    <s v="11/01/2019"/>
    <x v="10"/>
    <s v="Female (F)"/>
    <s v="Non-Hispanic Asian"/>
    <s v="85 years and over"/>
    <n v="1275"/>
    <n v="1246"/>
    <n v="16"/>
    <n v="140"/>
    <n v="49"/>
    <n v="145"/>
    <n v="35"/>
    <n v="36"/>
    <n v="21"/>
    <n v="35"/>
    <n v="12"/>
    <n v="314"/>
    <n v="145"/>
    <n v="0"/>
    <n v="0"/>
  </r>
  <r>
    <n v="2019"/>
    <n v="11"/>
    <s v="11/01/2019"/>
    <x v="10"/>
    <s v="Female (F)"/>
    <s v="Non-Hispanic Black"/>
    <s v="0-4 years"/>
    <n v="255"/>
    <n v="226"/>
    <m/>
    <m/>
    <n v="0"/>
    <n v="0"/>
    <n v="0"/>
    <m/>
    <m/>
    <n v="0"/>
    <n v="39"/>
    <m/>
    <m/>
    <n v="0"/>
    <n v="0"/>
  </r>
  <r>
    <n v="2019"/>
    <n v="11"/>
    <s v="11/01/2019"/>
    <x v="10"/>
    <s v="Female (F)"/>
    <s v="Non-Hispanic Black"/>
    <s v="15-24 years"/>
    <n v="175"/>
    <n v="75"/>
    <n v="0"/>
    <n v="14"/>
    <m/>
    <n v="0"/>
    <m/>
    <m/>
    <n v="0"/>
    <n v="0"/>
    <n v="11"/>
    <m/>
    <m/>
    <n v="0"/>
    <n v="0"/>
  </r>
  <r>
    <n v="2019"/>
    <n v="11"/>
    <s v="11/01/2019"/>
    <x v="10"/>
    <s v="Female (F)"/>
    <s v="Non-Hispanic Black"/>
    <s v="25-34 years"/>
    <n v="351"/>
    <n v="226"/>
    <m/>
    <n v="39"/>
    <m/>
    <n v="0"/>
    <m/>
    <m/>
    <m/>
    <m/>
    <n v="12"/>
    <n v="42"/>
    <m/>
    <n v="0"/>
    <n v="0"/>
  </r>
  <r>
    <n v="2019"/>
    <n v="11"/>
    <s v="11/01/2019"/>
    <x v="10"/>
    <s v="Female (F)"/>
    <s v="Non-Hispanic Black"/>
    <s v="35-44 years"/>
    <n v="524"/>
    <n v="425"/>
    <m/>
    <n v="91"/>
    <n v="26"/>
    <n v="0"/>
    <m/>
    <m/>
    <m/>
    <n v="18"/>
    <m/>
    <n v="99"/>
    <n v="12"/>
    <n v="0"/>
    <n v="0"/>
  </r>
  <r>
    <n v="2019"/>
    <n v="11"/>
    <s v="11/01/2019"/>
    <x v="10"/>
    <s v="Female (F)"/>
    <s v="Non-Hispanic Black"/>
    <s v="45-54 years"/>
    <n v="1051"/>
    <n v="938"/>
    <n v="16"/>
    <n v="256"/>
    <n v="54"/>
    <m/>
    <n v="16"/>
    <n v="23"/>
    <n v="12"/>
    <n v="39"/>
    <m/>
    <n v="199"/>
    <n v="63"/>
    <n v="0"/>
    <n v="0"/>
  </r>
  <r>
    <n v="2019"/>
    <n v="11"/>
    <s v="11/01/2019"/>
    <x v="10"/>
    <s v="Female (F)"/>
    <s v="Non-Hispanic Black"/>
    <s v="5-14 years"/>
    <n v="41"/>
    <n v="30"/>
    <m/>
    <m/>
    <m/>
    <n v="0"/>
    <m/>
    <m/>
    <n v="0"/>
    <m/>
    <m/>
    <m/>
    <n v="0"/>
    <n v="0"/>
    <n v="0"/>
  </r>
  <r>
    <n v="2019"/>
    <n v="11"/>
    <s v="11/01/2019"/>
    <x v="10"/>
    <s v="Female (F)"/>
    <s v="Non-Hispanic Black"/>
    <s v="55-64 years"/>
    <n v="2284"/>
    <n v="2151"/>
    <n v="63"/>
    <n v="689"/>
    <n v="137"/>
    <n v="11"/>
    <n v="23"/>
    <n v="81"/>
    <n v="29"/>
    <n v="50"/>
    <n v="12"/>
    <n v="514"/>
    <n v="124"/>
    <n v="0"/>
    <n v="0"/>
  </r>
  <r>
    <n v="2019"/>
    <n v="11"/>
    <s v="11/01/2019"/>
    <x v="10"/>
    <s v="Female (F)"/>
    <s v="Non-Hispanic Black"/>
    <s v="65-74 years"/>
    <n v="2965"/>
    <n v="2891"/>
    <n v="72"/>
    <n v="851"/>
    <n v="165"/>
    <n v="56"/>
    <n v="49"/>
    <n v="111"/>
    <n v="49"/>
    <n v="81"/>
    <n v="31"/>
    <n v="667"/>
    <n v="192"/>
    <n v="0"/>
    <n v="0"/>
  </r>
  <r>
    <n v="2019"/>
    <n v="11"/>
    <s v="11/01/2019"/>
    <x v="10"/>
    <s v="Female (F)"/>
    <s v="Non-Hispanic Black"/>
    <s v="75-84 years"/>
    <n v="3025"/>
    <n v="2958"/>
    <n v="69"/>
    <n v="598"/>
    <n v="152"/>
    <n v="123"/>
    <n v="42"/>
    <n v="111"/>
    <n v="45"/>
    <n v="132"/>
    <n v="25"/>
    <n v="776"/>
    <n v="251"/>
    <n v="0"/>
    <n v="0"/>
  </r>
  <r>
    <n v="2019"/>
    <n v="11"/>
    <s v="11/01/2019"/>
    <x v="10"/>
    <s v="Female (F)"/>
    <s v="Non-Hispanic Black"/>
    <s v="85 years and over"/>
    <n v="3487"/>
    <n v="3436"/>
    <n v="55"/>
    <n v="388"/>
    <n v="97"/>
    <n v="372"/>
    <n v="51"/>
    <n v="87"/>
    <n v="40"/>
    <n v="110"/>
    <n v="41"/>
    <n v="928"/>
    <n v="316"/>
    <n v="0"/>
    <n v="0"/>
  </r>
  <r>
    <n v="2019"/>
    <n v="11"/>
    <s v="11/01/2019"/>
    <x v="10"/>
    <s v="Female (F)"/>
    <s v="Non-Hispanic White"/>
    <s v="0-4 years"/>
    <n v="345"/>
    <n v="317"/>
    <m/>
    <m/>
    <n v="0"/>
    <n v="0"/>
    <m/>
    <n v="0"/>
    <n v="0"/>
    <m/>
    <n v="33"/>
    <m/>
    <m/>
    <n v="0"/>
    <n v="0"/>
  </r>
  <r>
    <n v="2019"/>
    <n v="11"/>
    <s v="11/01/2019"/>
    <x v="10"/>
    <s v="Female (F)"/>
    <s v="Non-Hispanic White"/>
    <s v="15-24 years"/>
    <n v="335"/>
    <n v="108"/>
    <m/>
    <n v="18"/>
    <m/>
    <n v="0"/>
    <m/>
    <m/>
    <m/>
    <m/>
    <m/>
    <n v="18"/>
    <m/>
    <n v="0"/>
    <n v="0"/>
  </r>
  <r>
    <n v="2019"/>
    <n v="11"/>
    <s v="11/01/2019"/>
    <x v="10"/>
    <s v="Female (F)"/>
    <s v="Non-Hispanic White"/>
    <s v="25-34 years"/>
    <n v="915"/>
    <n v="394"/>
    <m/>
    <n v="85"/>
    <n v="15"/>
    <n v="0"/>
    <m/>
    <m/>
    <n v="11"/>
    <m/>
    <n v="16"/>
    <n v="63"/>
    <m/>
    <n v="0"/>
    <n v="0"/>
  </r>
  <r>
    <n v="2019"/>
    <n v="11"/>
    <s v="11/01/2019"/>
    <x v="10"/>
    <s v="Female (F)"/>
    <s v="Non-Hispanic White"/>
    <s v="35-44 years"/>
    <n v="1429"/>
    <n v="889"/>
    <n v="25"/>
    <n v="296"/>
    <n v="32"/>
    <n v="0"/>
    <n v="20"/>
    <n v="18"/>
    <n v="11"/>
    <m/>
    <n v="34"/>
    <n v="115"/>
    <n v="18"/>
    <n v="0"/>
    <n v="0"/>
  </r>
  <r>
    <n v="2019"/>
    <n v="11"/>
    <s v="11/01/2019"/>
    <x v="10"/>
    <s v="Female (F)"/>
    <s v="Non-Hispanic White"/>
    <s v="45-54 years"/>
    <n v="3393"/>
    <n v="2748"/>
    <n v="56"/>
    <n v="1000"/>
    <n v="90"/>
    <m/>
    <n v="30"/>
    <n v="130"/>
    <n v="29"/>
    <n v="37"/>
    <n v="38"/>
    <n v="471"/>
    <n v="112"/>
    <n v="0"/>
    <n v="0"/>
  </r>
  <r>
    <n v="2019"/>
    <n v="11"/>
    <s v="11/01/2019"/>
    <x v="10"/>
    <s v="Female (F)"/>
    <s v="Non-Hispanic White"/>
    <s v="5-14 years"/>
    <n v="85"/>
    <n v="47"/>
    <m/>
    <n v="14"/>
    <n v="0"/>
    <n v="0"/>
    <m/>
    <m/>
    <m/>
    <n v="0"/>
    <m/>
    <m/>
    <n v="0"/>
    <n v="0"/>
    <n v="0"/>
  </r>
  <r>
    <n v="2019"/>
    <n v="11"/>
    <s v="11/01/2019"/>
    <x v="10"/>
    <s v="Female (F)"/>
    <s v="Non-Hispanic White"/>
    <s v="55-64 years"/>
    <n v="8556"/>
    <n v="7922"/>
    <n v="140"/>
    <n v="3056"/>
    <n v="265"/>
    <n v="59"/>
    <n v="98"/>
    <n v="599"/>
    <n v="134"/>
    <n v="111"/>
    <n v="69"/>
    <n v="1392"/>
    <n v="290"/>
    <n v="0"/>
    <n v="0"/>
  </r>
  <r>
    <n v="2019"/>
    <n v="11"/>
    <s v="11/01/2019"/>
    <x v="10"/>
    <s v="Female (F)"/>
    <s v="Non-Hispanic White"/>
    <s v="65-74 years"/>
    <n v="14676"/>
    <n v="14149"/>
    <n v="223"/>
    <n v="4714"/>
    <n v="485"/>
    <n v="312"/>
    <n v="192"/>
    <n v="1298"/>
    <n v="279"/>
    <n v="238"/>
    <n v="121"/>
    <n v="2646"/>
    <n v="653"/>
    <n v="0"/>
    <n v="0"/>
  </r>
  <r>
    <n v="2019"/>
    <n v="11"/>
    <s v="11/01/2019"/>
    <x v="10"/>
    <s v="Female (F)"/>
    <s v="Non-Hispanic White"/>
    <s v="75-84 years"/>
    <n v="22099"/>
    <n v="21442"/>
    <n v="308"/>
    <n v="5074"/>
    <n v="514"/>
    <n v="1486"/>
    <n v="347"/>
    <n v="1832"/>
    <n v="419"/>
    <n v="420"/>
    <n v="222"/>
    <n v="4442"/>
    <n v="1443"/>
    <n v="0"/>
    <n v="0"/>
  </r>
  <r>
    <n v="2019"/>
    <n v="11"/>
    <s v="11/01/2019"/>
    <x v="10"/>
    <s v="Female (F)"/>
    <s v="Non-Hispanic White"/>
    <s v="85 years and over"/>
    <n v="37253"/>
    <n v="36120"/>
    <n v="371"/>
    <n v="3658"/>
    <n v="550"/>
    <n v="4141"/>
    <n v="623"/>
    <n v="1757"/>
    <n v="519"/>
    <n v="599"/>
    <n v="548"/>
    <n v="10225"/>
    <n v="2974"/>
    <n v="0"/>
    <n v="0"/>
  </r>
  <r>
    <n v="2019"/>
    <n v="11"/>
    <s v="11/01/2019"/>
    <x v="10"/>
    <s v="Female (F)"/>
    <s v="Other"/>
    <s v="0-4 years"/>
    <n v="36"/>
    <n v="31"/>
    <n v="0"/>
    <m/>
    <n v="0"/>
    <n v="0"/>
    <n v="0"/>
    <n v="0"/>
    <n v="0"/>
    <n v="0"/>
    <m/>
    <m/>
    <n v="0"/>
    <n v="0"/>
    <n v="0"/>
  </r>
  <r>
    <n v="2019"/>
    <n v="11"/>
    <s v="11/01/2019"/>
    <x v="10"/>
    <s v="Female (F)"/>
    <s v="Other"/>
    <s v="15-24 years"/>
    <n v="23"/>
    <m/>
    <n v="0"/>
    <n v="0"/>
    <m/>
    <n v="0"/>
    <n v="0"/>
    <n v="0"/>
    <n v="0"/>
    <n v="0"/>
    <n v="0"/>
    <m/>
    <m/>
    <n v="0"/>
    <n v="0"/>
  </r>
  <r>
    <n v="2019"/>
    <n v="11"/>
    <s v="11/01/2019"/>
    <x v="10"/>
    <s v="Female (F)"/>
    <s v="Other"/>
    <s v="25-34 years"/>
    <n v="22"/>
    <m/>
    <n v="0"/>
    <n v="0"/>
    <n v="0"/>
    <n v="0"/>
    <n v="0"/>
    <n v="0"/>
    <m/>
    <n v="0"/>
    <n v="0"/>
    <m/>
    <n v="0"/>
    <n v="0"/>
    <n v="0"/>
  </r>
  <r>
    <n v="2019"/>
    <n v="11"/>
    <s v="11/01/2019"/>
    <x v="10"/>
    <s v="Female (F)"/>
    <s v="Other"/>
    <s v="35-44 years"/>
    <n v="42"/>
    <n v="23"/>
    <m/>
    <m/>
    <m/>
    <m/>
    <n v="0"/>
    <n v="0"/>
    <m/>
    <n v="0"/>
    <n v="0"/>
    <m/>
    <m/>
    <n v="0"/>
    <n v="0"/>
  </r>
  <r>
    <n v="2019"/>
    <n v="11"/>
    <s v="11/01/2019"/>
    <x v="10"/>
    <s v="Female (F)"/>
    <s v="Other"/>
    <s v="45-54 years"/>
    <n v="62"/>
    <n v="49"/>
    <n v="0"/>
    <n v="16"/>
    <m/>
    <n v="0"/>
    <n v="0"/>
    <m/>
    <m/>
    <m/>
    <n v="0"/>
    <m/>
    <m/>
    <n v="0"/>
    <n v="0"/>
  </r>
  <r>
    <n v="2019"/>
    <n v="11"/>
    <s v="11/01/2019"/>
    <x v="10"/>
    <s v="Female (F)"/>
    <s v="Other"/>
    <s v="5-14 years"/>
    <m/>
    <m/>
    <n v="0"/>
    <m/>
    <n v="0"/>
    <n v="0"/>
    <m/>
    <n v="0"/>
    <n v="0"/>
    <n v="0"/>
    <n v="0"/>
    <n v="0"/>
    <n v="0"/>
    <n v="0"/>
    <n v="0"/>
  </r>
  <r>
    <n v="2019"/>
    <n v="11"/>
    <s v="11/01/2019"/>
    <x v="10"/>
    <s v="Female (F)"/>
    <s v="Other"/>
    <s v="55-64 years"/>
    <n v="126"/>
    <n v="115"/>
    <n v="0"/>
    <n v="38"/>
    <n v="10"/>
    <n v="0"/>
    <m/>
    <m/>
    <m/>
    <m/>
    <m/>
    <n v="18"/>
    <m/>
    <n v="0"/>
    <n v="0"/>
  </r>
  <r>
    <n v="2019"/>
    <n v="11"/>
    <s v="11/01/2019"/>
    <x v="10"/>
    <s v="Female (F)"/>
    <s v="Other"/>
    <s v="65-74 years"/>
    <n v="169"/>
    <n v="163"/>
    <m/>
    <n v="47"/>
    <m/>
    <m/>
    <m/>
    <n v="13"/>
    <n v="0"/>
    <m/>
    <m/>
    <n v="44"/>
    <n v="11"/>
    <n v="0"/>
    <n v="0"/>
  </r>
  <r>
    <n v="2019"/>
    <n v="11"/>
    <s v="11/01/2019"/>
    <x v="10"/>
    <s v="Female (F)"/>
    <s v="Other"/>
    <s v="75-84 years"/>
    <n v="160"/>
    <n v="159"/>
    <m/>
    <n v="35"/>
    <m/>
    <m/>
    <m/>
    <m/>
    <m/>
    <m/>
    <m/>
    <n v="36"/>
    <n v="11"/>
    <n v="0"/>
    <n v="0"/>
  </r>
  <r>
    <n v="2019"/>
    <n v="11"/>
    <s v="11/01/2019"/>
    <x v="10"/>
    <s v="Female (F)"/>
    <s v="Other"/>
    <s v="85 years and over"/>
    <n v="169"/>
    <n v="165"/>
    <n v="0"/>
    <n v="14"/>
    <m/>
    <n v="16"/>
    <m/>
    <m/>
    <m/>
    <m/>
    <m/>
    <n v="43"/>
    <n v="17"/>
    <n v="0"/>
    <n v="0"/>
  </r>
  <r>
    <n v="2019"/>
    <n v="11"/>
    <s v="11/01/2019"/>
    <x v="10"/>
    <s v="Male (M)"/>
    <s v="Hispanic"/>
    <s v="0-4 years"/>
    <n v="232"/>
    <n v="216"/>
    <m/>
    <m/>
    <n v="0"/>
    <n v="0"/>
    <n v="0"/>
    <n v="0"/>
    <m/>
    <m/>
    <n v="18"/>
    <m/>
    <m/>
    <n v="0"/>
    <n v="0"/>
  </r>
  <r>
    <n v="2019"/>
    <n v="11"/>
    <s v="11/01/2019"/>
    <x v="10"/>
    <s v="Male (M)"/>
    <s v="Hispanic"/>
    <s v="15-24 years"/>
    <n v="437"/>
    <n v="90"/>
    <m/>
    <n v="25"/>
    <m/>
    <n v="0"/>
    <m/>
    <m/>
    <m/>
    <m/>
    <m/>
    <m/>
    <m/>
    <n v="0"/>
    <n v="0"/>
  </r>
  <r>
    <n v="2019"/>
    <n v="11"/>
    <s v="11/01/2019"/>
    <x v="10"/>
    <s v="Male (M)"/>
    <s v="Hispanic"/>
    <s v="25-34 years"/>
    <n v="596"/>
    <n v="173"/>
    <m/>
    <n v="31"/>
    <m/>
    <n v="0"/>
    <m/>
    <m/>
    <m/>
    <n v="0"/>
    <n v="10"/>
    <n v="26"/>
    <m/>
    <n v="0"/>
    <n v="0"/>
  </r>
  <r>
    <n v="2019"/>
    <n v="11"/>
    <s v="11/01/2019"/>
    <x v="10"/>
    <s v="Male (M)"/>
    <s v="Hispanic"/>
    <s v="35-44 years"/>
    <n v="701"/>
    <n v="368"/>
    <m/>
    <n v="58"/>
    <n v="24"/>
    <n v="0"/>
    <m/>
    <m/>
    <m/>
    <m/>
    <n v="10"/>
    <n v="83"/>
    <n v="19"/>
    <n v="0"/>
    <n v="0"/>
  </r>
  <r>
    <n v="2019"/>
    <n v="11"/>
    <s v="11/01/2019"/>
    <x v="10"/>
    <s v="Male (M)"/>
    <s v="Hispanic"/>
    <s v="45-54 years"/>
    <n v="1044"/>
    <n v="776"/>
    <n v="13"/>
    <n v="175"/>
    <n v="58"/>
    <m/>
    <n v="13"/>
    <m/>
    <m/>
    <n v="21"/>
    <m/>
    <n v="196"/>
    <n v="43"/>
    <n v="0"/>
    <n v="0"/>
  </r>
  <r>
    <n v="2019"/>
    <n v="11"/>
    <s v="11/01/2019"/>
    <x v="10"/>
    <s v="Male (M)"/>
    <s v="Hispanic"/>
    <s v="5-14 years"/>
    <n v="67"/>
    <n v="43"/>
    <m/>
    <n v="10"/>
    <n v="0"/>
    <n v="0"/>
    <m/>
    <m/>
    <n v="0"/>
    <m/>
    <m/>
    <n v="0"/>
    <m/>
    <n v="0"/>
    <n v="0"/>
  </r>
  <r>
    <n v="2019"/>
    <n v="11"/>
    <s v="11/01/2019"/>
    <x v="10"/>
    <s v="Male (M)"/>
    <s v="Hispanic"/>
    <s v="55-64 years"/>
    <n v="1651"/>
    <n v="1454"/>
    <n v="28"/>
    <n v="391"/>
    <n v="100"/>
    <m/>
    <n v="13"/>
    <n v="26"/>
    <n v="18"/>
    <n v="52"/>
    <n v="19"/>
    <n v="367"/>
    <n v="74"/>
    <n v="0"/>
    <n v="0"/>
  </r>
  <r>
    <n v="2019"/>
    <n v="11"/>
    <s v="11/01/2019"/>
    <x v="10"/>
    <s v="Male (M)"/>
    <s v="Hispanic"/>
    <s v="65-74 years"/>
    <n v="1815"/>
    <n v="1726"/>
    <n v="21"/>
    <n v="471"/>
    <n v="141"/>
    <n v="20"/>
    <n v="20"/>
    <n v="46"/>
    <n v="33"/>
    <n v="48"/>
    <n v="11"/>
    <n v="443"/>
    <n v="82"/>
    <n v="0"/>
    <n v="0"/>
  </r>
  <r>
    <n v="2019"/>
    <n v="11"/>
    <s v="11/01/2019"/>
    <x v="10"/>
    <s v="Male (M)"/>
    <s v="Hispanic"/>
    <s v="75-84 years"/>
    <n v="1753"/>
    <n v="1691"/>
    <n v="32"/>
    <n v="411"/>
    <n v="98"/>
    <n v="77"/>
    <n v="31"/>
    <n v="57"/>
    <n v="34"/>
    <n v="47"/>
    <m/>
    <n v="425"/>
    <n v="107"/>
    <n v="0"/>
    <n v="0"/>
  </r>
  <r>
    <n v="2019"/>
    <n v="11"/>
    <s v="11/01/2019"/>
    <x v="10"/>
    <s v="Male (M)"/>
    <s v="Hispanic"/>
    <s v="85 years and over"/>
    <n v="1627"/>
    <n v="1584"/>
    <n v="24"/>
    <n v="249"/>
    <n v="55"/>
    <n v="118"/>
    <n v="23"/>
    <n v="70"/>
    <n v="23"/>
    <n v="34"/>
    <n v="16"/>
    <n v="471"/>
    <n v="143"/>
    <n v="0"/>
    <n v="0"/>
  </r>
  <r>
    <n v="2019"/>
    <n v="11"/>
    <s v="11/01/2019"/>
    <x v="10"/>
    <s v="Male (M)"/>
    <s v="Non-Hispanic American Indian or Alaska Native"/>
    <s v="0-4 years"/>
    <m/>
    <m/>
    <m/>
    <n v="0"/>
    <n v="0"/>
    <n v="0"/>
    <m/>
    <n v="0"/>
    <m/>
    <n v="0"/>
    <m/>
    <n v="0"/>
    <n v="0"/>
    <n v="0"/>
    <n v="0"/>
  </r>
  <r>
    <n v="2019"/>
    <n v="11"/>
    <s v="11/01/2019"/>
    <x v="10"/>
    <s v="Male (M)"/>
    <s v="Non-Hispanic American Indian or Alaska Native"/>
    <s v="15-24 years"/>
    <n v="35"/>
    <m/>
    <n v="0"/>
    <n v="0"/>
    <n v="0"/>
    <n v="0"/>
    <n v="0"/>
    <n v="0"/>
    <n v="0"/>
    <n v="0"/>
    <n v="0"/>
    <n v="0"/>
    <n v="0"/>
    <n v="0"/>
    <n v="0"/>
  </r>
  <r>
    <n v="2019"/>
    <n v="11"/>
    <s v="11/01/2019"/>
    <x v="10"/>
    <s v="Male (M)"/>
    <s v="Non-Hispanic American Indian or Alaska Native"/>
    <s v="25-34 years"/>
    <n v="56"/>
    <n v="22"/>
    <n v="0"/>
    <m/>
    <m/>
    <n v="0"/>
    <m/>
    <n v="0"/>
    <n v="0"/>
    <n v="0"/>
    <m/>
    <m/>
    <n v="0"/>
    <n v="0"/>
    <n v="0"/>
  </r>
  <r>
    <n v="2019"/>
    <n v="11"/>
    <s v="11/01/2019"/>
    <x v="10"/>
    <s v="Male (M)"/>
    <s v="Non-Hispanic American Indian or Alaska Native"/>
    <s v="35-44 years"/>
    <n v="71"/>
    <n v="42"/>
    <m/>
    <m/>
    <m/>
    <n v="0"/>
    <n v="0"/>
    <n v="0"/>
    <n v="0"/>
    <m/>
    <m/>
    <n v="10"/>
    <m/>
    <n v="0"/>
    <n v="0"/>
  </r>
  <r>
    <n v="2019"/>
    <n v="11"/>
    <s v="11/01/2019"/>
    <x v="10"/>
    <s v="Male (M)"/>
    <s v="Non-Hispanic American Indian or Alaska Native"/>
    <s v="45-54 years"/>
    <n v="101"/>
    <n v="70"/>
    <m/>
    <m/>
    <m/>
    <n v="0"/>
    <m/>
    <m/>
    <m/>
    <n v="0"/>
    <n v="0"/>
    <n v="20"/>
    <m/>
    <n v="0"/>
    <n v="0"/>
  </r>
  <r>
    <n v="2019"/>
    <n v="11"/>
    <s v="11/01/2019"/>
    <x v="10"/>
    <s v="Male (M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19"/>
    <n v="11"/>
    <s v="11/01/2019"/>
    <x v="10"/>
    <s v="Male (M)"/>
    <s v="Non-Hispanic American Indian or Alaska Native"/>
    <s v="55-64 years"/>
    <n v="167"/>
    <n v="134"/>
    <n v="0"/>
    <n v="39"/>
    <m/>
    <n v="0"/>
    <m/>
    <m/>
    <n v="0"/>
    <n v="0"/>
    <m/>
    <n v="34"/>
    <m/>
    <n v="0"/>
    <n v="0"/>
  </r>
  <r>
    <n v="2019"/>
    <n v="11"/>
    <s v="11/01/2019"/>
    <x v="10"/>
    <s v="Male (M)"/>
    <s v="Non-Hispanic American Indian or Alaska Native"/>
    <s v="65-74 years"/>
    <n v="149"/>
    <n v="140"/>
    <m/>
    <n v="34"/>
    <n v="10"/>
    <n v="0"/>
    <m/>
    <m/>
    <m/>
    <m/>
    <m/>
    <n v="38"/>
    <m/>
    <n v="0"/>
    <n v="0"/>
  </r>
  <r>
    <n v="2019"/>
    <n v="11"/>
    <s v="11/01/2019"/>
    <x v="10"/>
    <s v="Male (M)"/>
    <s v="Non-Hispanic American Indian or Alaska Native"/>
    <s v="75-84 years"/>
    <n v="139"/>
    <n v="127"/>
    <m/>
    <n v="27"/>
    <n v="11"/>
    <m/>
    <m/>
    <n v="10"/>
    <m/>
    <m/>
    <m/>
    <n v="32"/>
    <m/>
    <n v="0"/>
    <n v="0"/>
  </r>
  <r>
    <n v="2019"/>
    <n v="11"/>
    <s v="11/01/2019"/>
    <x v="10"/>
    <s v="Male (M)"/>
    <s v="Non-Hispanic American Indian or Alaska Native"/>
    <s v="85 years and over"/>
    <n v="76"/>
    <n v="73"/>
    <n v="0"/>
    <n v="11"/>
    <m/>
    <m/>
    <m/>
    <m/>
    <m/>
    <m/>
    <n v="0"/>
    <n v="21"/>
    <m/>
    <n v="0"/>
    <n v="0"/>
  </r>
  <r>
    <n v="2019"/>
    <n v="11"/>
    <s v="11/01/2019"/>
    <x v="10"/>
    <s v="Male (M)"/>
    <s v="Non-Hispanic Asian"/>
    <s v="0-4 years"/>
    <n v="34"/>
    <n v="33"/>
    <n v="0"/>
    <n v="0"/>
    <n v="0"/>
    <n v="0"/>
    <n v="0"/>
    <n v="0"/>
    <m/>
    <n v="0"/>
    <m/>
    <n v="0"/>
    <m/>
    <n v="0"/>
    <n v="0"/>
  </r>
  <r>
    <n v="2019"/>
    <n v="11"/>
    <s v="11/01/2019"/>
    <x v="10"/>
    <s v="Male (M)"/>
    <s v="Non-Hispanic Asian"/>
    <s v="15-24 years"/>
    <n v="47"/>
    <n v="11"/>
    <n v="0"/>
    <m/>
    <n v="0"/>
    <n v="0"/>
    <n v="0"/>
    <n v="0"/>
    <n v="0"/>
    <n v="0"/>
    <m/>
    <n v="0"/>
    <n v="0"/>
    <n v="0"/>
    <n v="0"/>
  </r>
  <r>
    <n v="2019"/>
    <n v="11"/>
    <s v="11/01/2019"/>
    <x v="10"/>
    <s v="Male (M)"/>
    <s v="Non-Hispanic Asian"/>
    <s v="25-34 years"/>
    <n v="74"/>
    <n v="30"/>
    <n v="0"/>
    <m/>
    <n v="0"/>
    <n v="0"/>
    <n v="0"/>
    <m/>
    <n v="0"/>
    <m/>
    <m/>
    <m/>
    <m/>
    <n v="0"/>
    <n v="0"/>
  </r>
  <r>
    <n v="2019"/>
    <n v="11"/>
    <s v="11/01/2019"/>
    <x v="10"/>
    <s v="Male (M)"/>
    <s v="Non-Hispanic Asian"/>
    <s v="35-44 years"/>
    <n v="109"/>
    <n v="72"/>
    <n v="0"/>
    <n v="21"/>
    <m/>
    <n v="0"/>
    <n v="0"/>
    <n v="0"/>
    <m/>
    <m/>
    <n v="0"/>
    <n v="19"/>
    <m/>
    <n v="0"/>
    <n v="0"/>
  </r>
  <r>
    <n v="2019"/>
    <n v="11"/>
    <s v="11/01/2019"/>
    <x v="10"/>
    <s v="Male (M)"/>
    <s v="Non-Hispanic Asian"/>
    <s v="45-54 years"/>
    <n v="190"/>
    <n v="164"/>
    <m/>
    <n v="51"/>
    <m/>
    <n v="0"/>
    <m/>
    <m/>
    <m/>
    <m/>
    <m/>
    <n v="38"/>
    <n v="12"/>
    <n v="0"/>
    <n v="0"/>
  </r>
  <r>
    <n v="2019"/>
    <n v="11"/>
    <s v="11/01/2019"/>
    <x v="10"/>
    <s v="Male (M)"/>
    <s v="Non-Hispanic Asian"/>
    <s v="5-14 years"/>
    <m/>
    <m/>
    <n v="0"/>
    <m/>
    <n v="0"/>
    <n v="0"/>
    <n v="0"/>
    <n v="0"/>
    <n v="0"/>
    <n v="0"/>
    <m/>
    <m/>
    <n v="0"/>
    <n v="0"/>
    <n v="0"/>
  </r>
  <r>
    <n v="2019"/>
    <n v="11"/>
    <s v="11/01/2019"/>
    <x v="10"/>
    <s v="Male (M)"/>
    <s v="Non-Hispanic Asian"/>
    <s v="55-64 years"/>
    <n v="370"/>
    <n v="333"/>
    <m/>
    <n v="112"/>
    <n v="21"/>
    <n v="0"/>
    <m/>
    <n v="10"/>
    <m/>
    <n v="14"/>
    <m/>
    <n v="95"/>
    <n v="22"/>
    <n v="0"/>
    <n v="0"/>
  </r>
  <r>
    <n v="2019"/>
    <n v="11"/>
    <s v="11/01/2019"/>
    <x v="10"/>
    <s v="Male (M)"/>
    <s v="Non-Hispanic Asian"/>
    <s v="65-74 years"/>
    <n v="630"/>
    <n v="597"/>
    <m/>
    <n v="222"/>
    <n v="35"/>
    <m/>
    <m/>
    <n v="12"/>
    <n v="14"/>
    <n v="17"/>
    <m/>
    <n v="134"/>
    <n v="50"/>
    <n v="0"/>
    <n v="0"/>
  </r>
  <r>
    <n v="2019"/>
    <n v="11"/>
    <s v="11/01/2019"/>
    <x v="10"/>
    <s v="Male (M)"/>
    <s v="Non-Hispanic Asian"/>
    <s v="75-84 years"/>
    <n v="819"/>
    <n v="789"/>
    <n v="10"/>
    <n v="204"/>
    <n v="28"/>
    <n v="22"/>
    <n v="27"/>
    <n v="32"/>
    <n v="22"/>
    <n v="26"/>
    <m/>
    <n v="189"/>
    <n v="69"/>
    <n v="0"/>
    <n v="0"/>
  </r>
  <r>
    <n v="2019"/>
    <n v="11"/>
    <s v="11/01/2019"/>
    <x v="10"/>
    <s v="Male (M)"/>
    <s v="Non-Hispanic Asian"/>
    <s v="85 years and over"/>
    <n v="755"/>
    <n v="733"/>
    <m/>
    <n v="123"/>
    <n v="26"/>
    <n v="54"/>
    <n v="26"/>
    <n v="23"/>
    <n v="13"/>
    <n v="19"/>
    <m/>
    <n v="189"/>
    <n v="80"/>
    <n v="0"/>
    <n v="0"/>
  </r>
  <r>
    <n v="2019"/>
    <n v="11"/>
    <s v="11/01/2019"/>
    <x v="10"/>
    <s v="Male (M)"/>
    <s v="Non-Hispanic Black"/>
    <s v="0-4 years"/>
    <n v="306"/>
    <n v="281"/>
    <m/>
    <m/>
    <n v="0"/>
    <n v="0"/>
    <m/>
    <n v="0"/>
    <m/>
    <m/>
    <n v="44"/>
    <m/>
    <m/>
    <n v="0"/>
    <n v="0"/>
  </r>
  <r>
    <n v="2019"/>
    <n v="11"/>
    <s v="11/01/2019"/>
    <x v="10"/>
    <s v="Male (M)"/>
    <s v="Non-Hispanic Black"/>
    <s v="15-24 years"/>
    <n v="434"/>
    <n v="80"/>
    <m/>
    <n v="10"/>
    <m/>
    <n v="0"/>
    <n v="0"/>
    <m/>
    <m/>
    <m/>
    <m/>
    <n v="19"/>
    <m/>
    <n v="0"/>
    <n v="0"/>
  </r>
  <r>
    <n v="2019"/>
    <n v="11"/>
    <s v="11/01/2019"/>
    <x v="10"/>
    <s v="Male (M)"/>
    <s v="Non-Hispanic Black"/>
    <s v="25-34 years"/>
    <n v="733"/>
    <n v="226"/>
    <m/>
    <n v="26"/>
    <n v="15"/>
    <n v="0"/>
    <m/>
    <m/>
    <m/>
    <m/>
    <n v="17"/>
    <n v="47"/>
    <m/>
    <n v="0"/>
    <n v="0"/>
  </r>
  <r>
    <n v="2019"/>
    <n v="11"/>
    <s v="11/01/2019"/>
    <x v="10"/>
    <s v="Male (M)"/>
    <s v="Non-Hispanic Black"/>
    <s v="35-44 years"/>
    <n v="896"/>
    <n v="510"/>
    <n v="10"/>
    <n v="63"/>
    <n v="32"/>
    <n v="0"/>
    <m/>
    <n v="10"/>
    <m/>
    <m/>
    <n v="17"/>
    <n v="185"/>
    <n v="19"/>
    <n v="0"/>
    <n v="0"/>
  </r>
  <r>
    <n v="2019"/>
    <n v="11"/>
    <s v="11/01/2019"/>
    <x v="10"/>
    <s v="Male (M)"/>
    <s v="Non-Hispanic Black"/>
    <s v="45-54 years"/>
    <n v="1553"/>
    <n v="1176"/>
    <n v="24"/>
    <n v="197"/>
    <n v="83"/>
    <m/>
    <n v="15"/>
    <n v="23"/>
    <n v="15"/>
    <n v="38"/>
    <n v="19"/>
    <n v="414"/>
    <n v="65"/>
    <n v="0"/>
    <n v="0"/>
  </r>
  <r>
    <n v="2019"/>
    <n v="11"/>
    <s v="11/01/2019"/>
    <x v="10"/>
    <s v="Male (M)"/>
    <s v="Non-Hispanic Black"/>
    <s v="5-14 years"/>
    <n v="60"/>
    <n v="31"/>
    <n v="0"/>
    <m/>
    <n v="0"/>
    <n v="0"/>
    <m/>
    <m/>
    <m/>
    <m/>
    <m/>
    <m/>
    <m/>
    <n v="0"/>
    <n v="0"/>
  </r>
  <r>
    <n v="2019"/>
    <n v="11"/>
    <s v="11/01/2019"/>
    <x v="10"/>
    <s v="Male (M)"/>
    <s v="Non-Hispanic Black"/>
    <s v="55-64 years"/>
    <n v="3270"/>
    <n v="2876"/>
    <n v="49"/>
    <n v="709"/>
    <n v="160"/>
    <m/>
    <n v="50"/>
    <n v="87"/>
    <n v="34"/>
    <n v="82"/>
    <n v="29"/>
    <n v="984"/>
    <n v="135"/>
    <n v="0"/>
    <n v="0"/>
  </r>
  <r>
    <n v="2019"/>
    <n v="11"/>
    <s v="11/01/2019"/>
    <x v="10"/>
    <s v="Male (M)"/>
    <s v="Non-Hispanic Black"/>
    <s v="65-74 years"/>
    <n v="3691"/>
    <n v="3500"/>
    <n v="71"/>
    <n v="936"/>
    <n v="198"/>
    <n v="38"/>
    <n v="57"/>
    <n v="158"/>
    <n v="37"/>
    <n v="111"/>
    <n v="44"/>
    <n v="984"/>
    <n v="206"/>
    <n v="0"/>
    <n v="0"/>
  </r>
  <r>
    <n v="2019"/>
    <n v="11"/>
    <s v="11/01/2019"/>
    <x v="10"/>
    <s v="Male (M)"/>
    <s v="Non-Hispanic Black"/>
    <s v="75-84 years"/>
    <n v="2747"/>
    <n v="2679"/>
    <n v="43"/>
    <n v="649"/>
    <n v="120"/>
    <n v="91"/>
    <n v="53"/>
    <n v="122"/>
    <n v="43"/>
    <n v="91"/>
    <n v="20"/>
    <n v="717"/>
    <n v="197"/>
    <n v="0"/>
    <n v="0"/>
  </r>
  <r>
    <n v="2019"/>
    <n v="11"/>
    <s v="11/01/2019"/>
    <x v="10"/>
    <s v="Male (M)"/>
    <s v="Non-Hispanic Black"/>
    <s v="85 years and over"/>
    <n v="1808"/>
    <n v="1769"/>
    <n v="38"/>
    <n v="300"/>
    <n v="77"/>
    <n v="119"/>
    <n v="35"/>
    <n v="74"/>
    <n v="28"/>
    <n v="63"/>
    <n v="18"/>
    <n v="503"/>
    <n v="124"/>
    <n v="0"/>
    <n v="0"/>
  </r>
  <r>
    <n v="2019"/>
    <n v="11"/>
    <s v="11/01/2019"/>
    <x v="10"/>
    <s v="Male (M)"/>
    <s v="Non-Hispanic White"/>
    <s v="0-4 years"/>
    <n v="452"/>
    <n v="391"/>
    <m/>
    <m/>
    <n v="0"/>
    <n v="0"/>
    <m/>
    <n v="0"/>
    <m/>
    <m/>
    <n v="53"/>
    <m/>
    <m/>
    <n v="0"/>
    <n v="0"/>
  </r>
  <r>
    <n v="2019"/>
    <n v="11"/>
    <s v="11/01/2019"/>
    <x v="10"/>
    <s v="Male (M)"/>
    <s v="Non-Hispanic White"/>
    <s v="15-24 years"/>
    <n v="874"/>
    <n v="144"/>
    <m/>
    <n v="30"/>
    <m/>
    <n v="0"/>
    <m/>
    <m/>
    <m/>
    <m/>
    <n v="17"/>
    <n v="16"/>
    <m/>
    <n v="0"/>
    <n v="0"/>
  </r>
  <r>
    <n v="2019"/>
    <n v="11"/>
    <s v="11/01/2019"/>
    <x v="10"/>
    <s v="Male (M)"/>
    <s v="Non-Hispanic White"/>
    <s v="25-34 years"/>
    <n v="1902"/>
    <n v="495"/>
    <m/>
    <n v="83"/>
    <n v="19"/>
    <n v="0"/>
    <m/>
    <m/>
    <n v="10"/>
    <m/>
    <n v="36"/>
    <n v="85"/>
    <n v="15"/>
    <n v="0"/>
    <n v="0"/>
  </r>
  <r>
    <n v="2019"/>
    <n v="11"/>
    <s v="11/01/2019"/>
    <x v="10"/>
    <s v="Male (M)"/>
    <s v="Non-Hispanic White"/>
    <s v="35-44 years"/>
    <n v="2680"/>
    <n v="1237"/>
    <n v="28"/>
    <n v="221"/>
    <n v="61"/>
    <n v="0"/>
    <n v="22"/>
    <m/>
    <n v="14"/>
    <n v="12"/>
    <n v="43"/>
    <n v="324"/>
    <n v="39"/>
    <n v="0"/>
    <n v="0"/>
  </r>
  <r>
    <n v="2019"/>
    <n v="11"/>
    <s v="11/01/2019"/>
    <x v="10"/>
    <s v="Male (M)"/>
    <s v="Non-Hispanic White"/>
    <s v="45-54 years"/>
    <n v="5098"/>
    <n v="3732"/>
    <n v="53"/>
    <n v="897"/>
    <n v="199"/>
    <m/>
    <n v="40"/>
    <n v="89"/>
    <n v="34"/>
    <n v="44"/>
    <n v="66"/>
    <n v="1110"/>
    <n v="124"/>
    <n v="0"/>
    <n v="0"/>
  </r>
  <r>
    <n v="2019"/>
    <n v="11"/>
    <s v="11/01/2019"/>
    <x v="10"/>
    <s v="Male (M)"/>
    <s v="Non-Hispanic White"/>
    <s v="5-14 years"/>
    <n v="119"/>
    <n v="61"/>
    <m/>
    <n v="13"/>
    <n v="0"/>
    <n v="0"/>
    <m/>
    <m/>
    <m/>
    <n v="0"/>
    <m/>
    <m/>
    <m/>
    <n v="0"/>
    <n v="0"/>
  </r>
  <r>
    <n v="2019"/>
    <n v="11"/>
    <s v="11/01/2019"/>
    <x v="10"/>
    <s v="Male (M)"/>
    <s v="Non-Hispanic White"/>
    <s v="55-64 years"/>
    <n v="13304"/>
    <n v="11700"/>
    <n v="179"/>
    <n v="3635"/>
    <n v="529"/>
    <n v="43"/>
    <n v="126"/>
    <n v="598"/>
    <n v="161"/>
    <n v="158"/>
    <n v="133"/>
    <n v="3170"/>
    <n v="368"/>
    <n v="0"/>
    <n v="0"/>
  </r>
  <r>
    <n v="2019"/>
    <n v="11"/>
    <s v="11/01/2019"/>
    <x v="10"/>
    <s v="Male (M)"/>
    <s v="Non-Hispanic White"/>
    <s v="65-74 years"/>
    <n v="20614"/>
    <n v="19566"/>
    <n v="272"/>
    <n v="6178"/>
    <n v="795"/>
    <n v="261"/>
    <n v="248"/>
    <n v="1336"/>
    <n v="372"/>
    <n v="309"/>
    <n v="196"/>
    <n v="5079"/>
    <n v="781"/>
    <n v="0"/>
    <n v="0"/>
  </r>
  <r>
    <n v="2019"/>
    <n v="11"/>
    <s v="11/01/2019"/>
    <x v="10"/>
    <s v="Male (M)"/>
    <s v="Non-Hispanic White"/>
    <s v="75-84 years"/>
    <n v="24139"/>
    <n v="23130"/>
    <n v="326"/>
    <n v="5836"/>
    <n v="702"/>
    <n v="921"/>
    <n v="397"/>
    <n v="1663"/>
    <n v="525"/>
    <n v="493"/>
    <n v="181"/>
    <n v="5978"/>
    <n v="1270"/>
    <n v="0"/>
    <n v="0"/>
  </r>
  <r>
    <n v="2019"/>
    <n v="11"/>
    <s v="11/01/2019"/>
    <x v="10"/>
    <s v="Male (M)"/>
    <s v="Non-Hispanic White"/>
    <s v="85 years and over"/>
    <n v="24256"/>
    <n v="23370"/>
    <n v="308"/>
    <n v="3538"/>
    <n v="513"/>
    <n v="1555"/>
    <n v="494"/>
    <n v="1184"/>
    <n v="440"/>
    <n v="523"/>
    <n v="309"/>
    <n v="7367"/>
    <n v="1426"/>
    <n v="0"/>
    <n v="0"/>
  </r>
  <r>
    <n v="2019"/>
    <n v="11"/>
    <s v="11/01/2019"/>
    <x v="10"/>
    <s v="Male (M)"/>
    <s v="Other"/>
    <s v="0-4 years"/>
    <n v="49"/>
    <n v="41"/>
    <n v="0"/>
    <m/>
    <n v="0"/>
    <n v="0"/>
    <m/>
    <n v="0"/>
    <m/>
    <n v="0"/>
    <m/>
    <n v="0"/>
    <n v="0"/>
    <n v="0"/>
    <n v="0"/>
  </r>
  <r>
    <n v="2019"/>
    <n v="11"/>
    <s v="11/01/2019"/>
    <x v="10"/>
    <s v="Male (M)"/>
    <s v="Other"/>
    <s v="15-24 years"/>
    <n v="33"/>
    <m/>
    <m/>
    <n v="0"/>
    <n v="0"/>
    <n v="0"/>
    <n v="0"/>
    <n v="0"/>
    <m/>
    <n v="0"/>
    <m/>
    <n v="0"/>
    <n v="0"/>
    <n v="0"/>
    <n v="0"/>
  </r>
  <r>
    <n v="2019"/>
    <n v="11"/>
    <s v="11/01/2019"/>
    <x v="10"/>
    <s v="Male (M)"/>
    <s v="Other"/>
    <s v="25-34 years"/>
    <n v="46"/>
    <n v="11"/>
    <n v="0"/>
    <m/>
    <n v="0"/>
    <n v="0"/>
    <n v="0"/>
    <n v="0"/>
    <n v="0"/>
    <n v="0"/>
    <m/>
    <m/>
    <n v="0"/>
    <n v="0"/>
    <n v="0"/>
  </r>
  <r>
    <n v="2019"/>
    <n v="11"/>
    <s v="11/01/2019"/>
    <x v="10"/>
    <s v="Male (M)"/>
    <s v="Other"/>
    <s v="35-44 years"/>
    <n v="68"/>
    <n v="40"/>
    <n v="0"/>
    <m/>
    <m/>
    <n v="0"/>
    <n v="0"/>
    <m/>
    <n v="0"/>
    <m/>
    <m/>
    <m/>
    <m/>
    <n v="0"/>
    <n v="0"/>
  </r>
  <r>
    <n v="2019"/>
    <n v="11"/>
    <s v="11/01/2019"/>
    <x v="10"/>
    <s v="Male (M)"/>
    <s v="Other"/>
    <s v="45-54 years"/>
    <n v="89"/>
    <n v="70"/>
    <m/>
    <n v="13"/>
    <m/>
    <n v="0"/>
    <m/>
    <m/>
    <m/>
    <m/>
    <m/>
    <n v="20"/>
    <m/>
    <n v="0"/>
    <n v="0"/>
  </r>
  <r>
    <n v="2019"/>
    <n v="11"/>
    <s v="11/01/2019"/>
    <x v="10"/>
    <s v="Male (M)"/>
    <s v="Other"/>
    <s v="5-14 years"/>
    <n v="14"/>
    <m/>
    <n v="0"/>
    <m/>
    <m/>
    <n v="0"/>
    <n v="0"/>
    <n v="0"/>
    <n v="0"/>
    <n v="0"/>
    <n v="0"/>
    <n v="0"/>
    <m/>
    <n v="0"/>
    <n v="0"/>
  </r>
  <r>
    <n v="2019"/>
    <n v="11"/>
    <s v="11/01/2019"/>
    <x v="10"/>
    <s v="Male (M)"/>
    <s v="Other"/>
    <s v="55-64 years"/>
    <n v="221"/>
    <n v="185"/>
    <m/>
    <n v="42"/>
    <m/>
    <m/>
    <m/>
    <m/>
    <m/>
    <m/>
    <m/>
    <n v="63"/>
    <m/>
    <n v="0"/>
    <n v="0"/>
  </r>
  <r>
    <n v="2019"/>
    <n v="11"/>
    <s v="11/01/2019"/>
    <x v="10"/>
    <s v="Male (M)"/>
    <s v="Other"/>
    <s v="65-74 years"/>
    <n v="262"/>
    <n v="243"/>
    <m/>
    <n v="68"/>
    <n v="11"/>
    <m/>
    <m/>
    <n v="16"/>
    <m/>
    <m/>
    <n v="0"/>
    <n v="73"/>
    <n v="12"/>
    <n v="0"/>
    <n v="0"/>
  </r>
  <r>
    <n v="2019"/>
    <n v="11"/>
    <s v="11/01/2019"/>
    <x v="10"/>
    <s v="Male (M)"/>
    <s v="Other"/>
    <s v="75-84 years"/>
    <n v="196"/>
    <n v="192"/>
    <m/>
    <n v="43"/>
    <n v="12"/>
    <m/>
    <m/>
    <n v="16"/>
    <m/>
    <m/>
    <m/>
    <n v="47"/>
    <n v="11"/>
    <n v="0"/>
    <n v="0"/>
  </r>
  <r>
    <n v="2019"/>
    <n v="11"/>
    <s v="11/01/2019"/>
    <x v="10"/>
    <s v="Male (M)"/>
    <s v="Other"/>
    <s v="85 years and over"/>
    <n v="94"/>
    <n v="92"/>
    <m/>
    <n v="14"/>
    <m/>
    <m/>
    <m/>
    <m/>
    <n v="0"/>
    <m/>
    <m/>
    <n v="29"/>
    <m/>
    <n v="0"/>
    <n v="0"/>
  </r>
  <r>
    <n v="2019"/>
    <n v="12"/>
    <s v="12/01/2019"/>
    <x v="11"/>
    <s v="Female (F)"/>
    <s v="Hispanic"/>
    <s v="0-4 years"/>
    <n v="227"/>
    <n v="217"/>
    <n v="0"/>
    <m/>
    <n v="0"/>
    <n v="0"/>
    <m/>
    <n v="0"/>
    <m/>
    <n v="0"/>
    <n v="17"/>
    <m/>
    <m/>
    <n v="0"/>
    <n v="0"/>
  </r>
  <r>
    <n v="2019"/>
    <n v="12"/>
    <s v="12/01/2019"/>
    <x v="11"/>
    <s v="Female (F)"/>
    <s v="Hispanic"/>
    <s v="15-24 years"/>
    <n v="161"/>
    <n v="54"/>
    <m/>
    <n v="11"/>
    <m/>
    <n v="0"/>
    <m/>
    <n v="0"/>
    <m/>
    <n v="0"/>
    <m/>
    <m/>
    <m/>
    <n v="0"/>
    <n v="0"/>
  </r>
  <r>
    <n v="2019"/>
    <n v="12"/>
    <s v="12/01/2019"/>
    <x v="11"/>
    <s v="Female (F)"/>
    <s v="Hispanic"/>
    <s v="25-34 years"/>
    <n v="247"/>
    <n v="134"/>
    <m/>
    <n v="47"/>
    <m/>
    <n v="0"/>
    <m/>
    <m/>
    <n v="0"/>
    <m/>
    <m/>
    <n v="14"/>
    <m/>
    <n v="0"/>
    <n v="0"/>
  </r>
  <r>
    <n v="2019"/>
    <n v="12"/>
    <s v="12/01/2019"/>
    <x v="11"/>
    <s v="Female (F)"/>
    <s v="Hispanic"/>
    <s v="35-44 years"/>
    <n v="363"/>
    <n v="270"/>
    <m/>
    <n v="104"/>
    <m/>
    <n v="0"/>
    <n v="10"/>
    <m/>
    <m/>
    <m/>
    <m/>
    <n v="32"/>
    <n v="15"/>
    <n v="0"/>
    <n v="0"/>
  </r>
  <r>
    <n v="2019"/>
    <n v="12"/>
    <s v="12/01/2019"/>
    <x v="11"/>
    <s v="Female (F)"/>
    <s v="Hispanic"/>
    <s v="45-54 years"/>
    <n v="602"/>
    <n v="525"/>
    <n v="12"/>
    <n v="204"/>
    <n v="40"/>
    <m/>
    <m/>
    <m/>
    <m/>
    <n v="18"/>
    <m/>
    <n v="79"/>
    <n v="19"/>
    <n v="0"/>
    <n v="0"/>
  </r>
  <r>
    <n v="2019"/>
    <n v="12"/>
    <s v="12/01/2019"/>
    <x v="11"/>
    <s v="Female (F)"/>
    <s v="Hispanic"/>
    <s v="5-14 years"/>
    <n v="40"/>
    <n v="30"/>
    <m/>
    <m/>
    <m/>
    <n v="0"/>
    <m/>
    <n v="0"/>
    <m/>
    <m/>
    <m/>
    <m/>
    <m/>
    <n v="0"/>
    <n v="0"/>
  </r>
  <r>
    <n v="2019"/>
    <n v="12"/>
    <s v="12/01/2019"/>
    <x v="11"/>
    <s v="Female (F)"/>
    <s v="Hispanic"/>
    <s v="55-64 years"/>
    <n v="1036"/>
    <n v="972"/>
    <n v="16"/>
    <n v="365"/>
    <n v="59"/>
    <m/>
    <n v="16"/>
    <n v="23"/>
    <n v="16"/>
    <n v="19"/>
    <m/>
    <n v="185"/>
    <n v="54"/>
    <n v="0"/>
    <n v="0"/>
  </r>
  <r>
    <n v="2019"/>
    <n v="12"/>
    <s v="12/01/2019"/>
    <x v="11"/>
    <s v="Female (F)"/>
    <s v="Hispanic"/>
    <s v="65-74 years"/>
    <n v="1467"/>
    <n v="1422"/>
    <n v="31"/>
    <n v="457"/>
    <n v="81"/>
    <n v="34"/>
    <n v="37"/>
    <n v="54"/>
    <n v="44"/>
    <n v="43"/>
    <m/>
    <n v="253"/>
    <n v="91"/>
    <n v="0"/>
    <n v="0"/>
  </r>
  <r>
    <n v="2019"/>
    <n v="12"/>
    <s v="12/01/2019"/>
    <x v="11"/>
    <s v="Female (F)"/>
    <s v="Hispanic"/>
    <s v="75-84 years"/>
    <n v="1861"/>
    <n v="1826"/>
    <n v="23"/>
    <n v="379"/>
    <n v="117"/>
    <n v="134"/>
    <n v="44"/>
    <n v="73"/>
    <n v="45"/>
    <n v="53"/>
    <n v="12"/>
    <n v="392"/>
    <n v="137"/>
    <n v="0"/>
    <n v="0"/>
  </r>
  <r>
    <n v="2019"/>
    <n v="12"/>
    <s v="12/01/2019"/>
    <x v="11"/>
    <s v="Female (F)"/>
    <s v="Hispanic"/>
    <s v="85 years and over"/>
    <n v="2772"/>
    <n v="2718"/>
    <n v="42"/>
    <n v="246"/>
    <n v="97"/>
    <n v="356"/>
    <n v="53"/>
    <n v="105"/>
    <n v="52"/>
    <n v="56"/>
    <n v="30"/>
    <n v="729"/>
    <n v="284"/>
    <n v="0"/>
    <n v="0"/>
  </r>
  <r>
    <n v="2019"/>
    <n v="12"/>
    <s v="12/01/2019"/>
    <x v="11"/>
    <s v="Female (F)"/>
    <s v="Non-Hispanic American Indian or Alaska Native"/>
    <s v="0-4 years"/>
    <n v="12"/>
    <n v="11"/>
    <n v="0"/>
    <n v="0"/>
    <n v="0"/>
    <n v="0"/>
    <m/>
    <m/>
    <n v="0"/>
    <n v="0"/>
    <m/>
    <n v="0"/>
    <n v="0"/>
    <n v="0"/>
    <n v="0"/>
  </r>
  <r>
    <n v="2019"/>
    <n v="12"/>
    <s v="12/01/2019"/>
    <x v="11"/>
    <s v="Female (F)"/>
    <s v="Non-Hispanic American Indian or Alaska Native"/>
    <s v="15-24 years"/>
    <n v="17"/>
    <m/>
    <n v="0"/>
    <n v="0"/>
    <n v="0"/>
    <n v="0"/>
    <n v="0"/>
    <n v="0"/>
    <n v="0"/>
    <n v="0"/>
    <n v="0"/>
    <n v="0"/>
    <n v="0"/>
    <n v="0"/>
    <n v="0"/>
  </r>
  <r>
    <n v="2019"/>
    <n v="12"/>
    <s v="12/01/2019"/>
    <x v="11"/>
    <s v="Female (F)"/>
    <s v="Non-Hispanic American Indian or Alaska Native"/>
    <s v="25-34 years"/>
    <n v="38"/>
    <n v="23"/>
    <n v="0"/>
    <m/>
    <m/>
    <n v="0"/>
    <n v="0"/>
    <n v="0"/>
    <n v="0"/>
    <m/>
    <m/>
    <m/>
    <n v="0"/>
    <n v="0"/>
    <n v="0"/>
  </r>
  <r>
    <n v="2019"/>
    <n v="12"/>
    <s v="12/01/2019"/>
    <x v="11"/>
    <s v="Female (F)"/>
    <s v="Non-Hispanic American Indian or Alaska Native"/>
    <s v="35-44 years"/>
    <n v="41"/>
    <n v="29"/>
    <m/>
    <m/>
    <m/>
    <n v="0"/>
    <n v="0"/>
    <m/>
    <m/>
    <m/>
    <n v="0"/>
    <m/>
    <m/>
    <n v="0"/>
    <n v="0"/>
  </r>
  <r>
    <n v="2019"/>
    <n v="12"/>
    <s v="12/01/2019"/>
    <x v="11"/>
    <s v="Female (F)"/>
    <s v="Non-Hispanic American Indian or Alaska Native"/>
    <s v="45-54 years"/>
    <n v="65"/>
    <n v="57"/>
    <m/>
    <n v="17"/>
    <m/>
    <n v="0"/>
    <m/>
    <n v="0"/>
    <n v="0"/>
    <m/>
    <n v="0"/>
    <m/>
    <n v="0"/>
    <n v="0"/>
    <n v="0"/>
  </r>
  <r>
    <n v="2019"/>
    <n v="12"/>
    <s v="12/01/2019"/>
    <x v="11"/>
    <s v="Female (F)"/>
    <s v="Non-Hispanic American Indian or Alaska Native"/>
    <s v="5-14 years"/>
    <m/>
    <m/>
    <n v="0"/>
    <n v="0"/>
    <n v="0"/>
    <n v="0"/>
    <m/>
    <n v="0"/>
    <n v="0"/>
    <n v="0"/>
    <n v="0"/>
    <n v="0"/>
    <n v="0"/>
    <n v="0"/>
    <n v="0"/>
  </r>
  <r>
    <n v="2019"/>
    <n v="12"/>
    <s v="12/01/2019"/>
    <x v="11"/>
    <s v="Female (F)"/>
    <s v="Non-Hispanic American Indian or Alaska Native"/>
    <s v="55-64 years"/>
    <n v="129"/>
    <n v="115"/>
    <m/>
    <n v="34"/>
    <m/>
    <m/>
    <m/>
    <m/>
    <m/>
    <n v="0"/>
    <n v="0"/>
    <n v="16"/>
    <m/>
    <n v="0"/>
    <n v="0"/>
  </r>
  <r>
    <n v="2019"/>
    <n v="12"/>
    <s v="12/01/2019"/>
    <x v="11"/>
    <s v="Female (F)"/>
    <s v="Non-Hispanic American Indian or Alaska Native"/>
    <s v="65-74 years"/>
    <n v="146"/>
    <n v="137"/>
    <m/>
    <n v="40"/>
    <n v="10"/>
    <n v="0"/>
    <m/>
    <n v="15"/>
    <m/>
    <n v="0"/>
    <m/>
    <n v="18"/>
    <m/>
    <n v="0"/>
    <n v="0"/>
  </r>
  <r>
    <n v="2019"/>
    <n v="12"/>
    <s v="12/01/2019"/>
    <x v="11"/>
    <s v="Female (F)"/>
    <s v="Non-Hispanic American Indian or Alaska Native"/>
    <s v="75-84 years"/>
    <n v="137"/>
    <n v="134"/>
    <m/>
    <n v="18"/>
    <m/>
    <n v="10"/>
    <m/>
    <n v="11"/>
    <m/>
    <m/>
    <m/>
    <n v="24"/>
    <n v="10"/>
    <n v="0"/>
    <n v="0"/>
  </r>
  <r>
    <n v="2019"/>
    <n v="12"/>
    <s v="12/01/2019"/>
    <x v="11"/>
    <s v="Female (F)"/>
    <s v="Non-Hispanic American Indian or Alaska Native"/>
    <s v="85 years and over"/>
    <n v="130"/>
    <n v="129"/>
    <m/>
    <n v="14"/>
    <m/>
    <n v="11"/>
    <m/>
    <m/>
    <m/>
    <m/>
    <m/>
    <n v="33"/>
    <m/>
    <n v="0"/>
    <n v="0"/>
  </r>
  <r>
    <n v="2019"/>
    <n v="12"/>
    <s v="12/01/2019"/>
    <x v="11"/>
    <s v="Female (F)"/>
    <s v="Non-Hispanic Asian"/>
    <s v="0-4 years"/>
    <n v="29"/>
    <n v="28"/>
    <n v="0"/>
    <m/>
    <n v="0"/>
    <n v="0"/>
    <n v="0"/>
    <n v="0"/>
    <n v="0"/>
    <n v="0"/>
    <m/>
    <n v="0"/>
    <n v="0"/>
    <n v="0"/>
    <n v="0"/>
  </r>
  <r>
    <n v="2019"/>
    <n v="12"/>
    <s v="12/01/2019"/>
    <x v="11"/>
    <s v="Female (F)"/>
    <s v="Non-Hispanic Asian"/>
    <s v="15-24 years"/>
    <n v="25"/>
    <m/>
    <n v="0"/>
    <m/>
    <m/>
    <n v="0"/>
    <m/>
    <n v="0"/>
    <n v="0"/>
    <n v="0"/>
    <n v="0"/>
    <m/>
    <m/>
    <n v="0"/>
    <n v="0"/>
  </r>
  <r>
    <n v="2019"/>
    <n v="12"/>
    <s v="12/01/2019"/>
    <x v="11"/>
    <s v="Female (F)"/>
    <s v="Non-Hispanic Asian"/>
    <s v="25-34 years"/>
    <n v="38"/>
    <n v="22"/>
    <n v="0"/>
    <m/>
    <n v="0"/>
    <n v="0"/>
    <n v="0"/>
    <n v="0"/>
    <n v="0"/>
    <m/>
    <m/>
    <m/>
    <m/>
    <n v="0"/>
    <n v="0"/>
  </r>
  <r>
    <n v="2019"/>
    <n v="12"/>
    <s v="12/01/2019"/>
    <x v="11"/>
    <s v="Female (F)"/>
    <s v="Non-Hispanic Asian"/>
    <s v="35-44 years"/>
    <n v="62"/>
    <n v="50"/>
    <n v="0"/>
    <n v="26"/>
    <m/>
    <n v="0"/>
    <n v="0"/>
    <n v="0"/>
    <m/>
    <n v="0"/>
    <m/>
    <m/>
    <m/>
    <n v="0"/>
    <n v="0"/>
  </r>
  <r>
    <n v="2019"/>
    <n v="12"/>
    <s v="12/01/2019"/>
    <x v="11"/>
    <s v="Female (F)"/>
    <s v="Non-Hispanic Asian"/>
    <s v="45-54 years"/>
    <n v="148"/>
    <n v="128"/>
    <m/>
    <n v="73"/>
    <m/>
    <n v="0"/>
    <m/>
    <m/>
    <m/>
    <m/>
    <n v="0"/>
    <n v="15"/>
    <m/>
    <n v="0"/>
    <n v="0"/>
  </r>
  <r>
    <n v="2019"/>
    <n v="12"/>
    <s v="12/01/2019"/>
    <x v="11"/>
    <s v="Female (F)"/>
    <s v="Non-Hispanic Asian"/>
    <s v="5-14 years"/>
    <m/>
    <m/>
    <m/>
    <m/>
    <n v="0"/>
    <n v="0"/>
    <m/>
    <n v="0"/>
    <n v="0"/>
    <n v="0"/>
    <n v="0"/>
    <n v="0"/>
    <n v="0"/>
    <n v="0"/>
    <n v="0"/>
  </r>
  <r>
    <n v="2019"/>
    <n v="12"/>
    <s v="12/01/2019"/>
    <x v="11"/>
    <s v="Female (F)"/>
    <s v="Non-Hispanic Asian"/>
    <s v="55-64 years"/>
    <n v="256"/>
    <n v="243"/>
    <m/>
    <n v="135"/>
    <n v="12"/>
    <n v="0"/>
    <m/>
    <m/>
    <n v="0"/>
    <m/>
    <n v="0"/>
    <n v="31"/>
    <n v="20"/>
    <n v="0"/>
    <n v="0"/>
  </r>
  <r>
    <n v="2019"/>
    <n v="12"/>
    <s v="12/01/2019"/>
    <x v="11"/>
    <s v="Female (F)"/>
    <s v="Non-Hispanic Asian"/>
    <s v="65-74 years"/>
    <n v="543"/>
    <n v="523"/>
    <m/>
    <n v="201"/>
    <n v="24"/>
    <m/>
    <m/>
    <m/>
    <m/>
    <n v="24"/>
    <m/>
    <n v="107"/>
    <n v="36"/>
    <n v="0"/>
    <n v="0"/>
  </r>
  <r>
    <n v="2019"/>
    <n v="12"/>
    <s v="12/01/2019"/>
    <x v="11"/>
    <s v="Female (F)"/>
    <s v="Non-Hispanic Asian"/>
    <s v="75-84 years"/>
    <n v="784"/>
    <n v="751"/>
    <m/>
    <n v="172"/>
    <n v="43"/>
    <n v="31"/>
    <n v="18"/>
    <n v="26"/>
    <n v="19"/>
    <n v="24"/>
    <m/>
    <n v="152"/>
    <n v="86"/>
    <n v="0"/>
    <n v="0"/>
  </r>
  <r>
    <n v="2019"/>
    <n v="12"/>
    <s v="12/01/2019"/>
    <x v="11"/>
    <s v="Female (F)"/>
    <s v="Non-Hispanic Asian"/>
    <s v="85 years and over"/>
    <n v="1429"/>
    <n v="1393"/>
    <m/>
    <n v="173"/>
    <n v="49"/>
    <n v="156"/>
    <n v="50"/>
    <n v="43"/>
    <n v="12"/>
    <n v="29"/>
    <n v="13"/>
    <n v="353"/>
    <n v="168"/>
    <n v="0"/>
    <n v="0"/>
  </r>
  <r>
    <n v="2019"/>
    <n v="12"/>
    <s v="12/01/2019"/>
    <x v="11"/>
    <s v="Female (F)"/>
    <s v="Non-Hispanic Black"/>
    <s v="0-4 years"/>
    <n v="279"/>
    <n v="241"/>
    <m/>
    <m/>
    <m/>
    <n v="0"/>
    <m/>
    <m/>
    <m/>
    <m/>
    <n v="45"/>
    <m/>
    <m/>
    <n v="0"/>
    <n v="0"/>
  </r>
  <r>
    <n v="2019"/>
    <n v="12"/>
    <s v="12/01/2019"/>
    <x v="11"/>
    <s v="Female (F)"/>
    <s v="Non-Hispanic Black"/>
    <s v="15-24 years"/>
    <n v="139"/>
    <n v="50"/>
    <n v="0"/>
    <m/>
    <m/>
    <n v="0"/>
    <m/>
    <m/>
    <m/>
    <n v="0"/>
    <m/>
    <m/>
    <m/>
    <n v="0"/>
    <n v="0"/>
  </r>
  <r>
    <n v="2019"/>
    <n v="12"/>
    <s v="12/01/2019"/>
    <x v="11"/>
    <s v="Female (F)"/>
    <s v="Non-Hispanic Black"/>
    <s v="25-34 years"/>
    <n v="323"/>
    <n v="187"/>
    <m/>
    <n v="21"/>
    <n v="10"/>
    <n v="0"/>
    <m/>
    <m/>
    <m/>
    <m/>
    <m/>
    <n v="32"/>
    <m/>
    <n v="0"/>
    <n v="0"/>
  </r>
  <r>
    <n v="2019"/>
    <n v="12"/>
    <s v="12/01/2019"/>
    <x v="11"/>
    <s v="Female (F)"/>
    <s v="Non-Hispanic Black"/>
    <s v="35-44 years"/>
    <n v="575"/>
    <n v="449"/>
    <m/>
    <n v="89"/>
    <n v="23"/>
    <n v="0"/>
    <n v="13"/>
    <m/>
    <m/>
    <n v="11"/>
    <n v="11"/>
    <n v="103"/>
    <n v="23"/>
    <n v="0"/>
    <n v="0"/>
  </r>
  <r>
    <n v="2019"/>
    <n v="12"/>
    <s v="12/01/2019"/>
    <x v="11"/>
    <s v="Female (F)"/>
    <s v="Non-Hispanic Black"/>
    <s v="45-54 years"/>
    <n v="1127"/>
    <n v="992"/>
    <n v="21"/>
    <n v="255"/>
    <n v="58"/>
    <m/>
    <m/>
    <n v="41"/>
    <n v="16"/>
    <n v="23"/>
    <n v="18"/>
    <n v="254"/>
    <n v="53"/>
    <n v="0"/>
    <n v="0"/>
  </r>
  <r>
    <n v="2019"/>
    <n v="12"/>
    <s v="12/01/2019"/>
    <x v="11"/>
    <s v="Female (F)"/>
    <s v="Non-Hispanic Black"/>
    <s v="5-14 years"/>
    <n v="44"/>
    <n v="29"/>
    <n v="0"/>
    <m/>
    <n v="0"/>
    <n v="0"/>
    <m/>
    <m/>
    <m/>
    <n v="0"/>
    <n v="0"/>
    <n v="0"/>
    <m/>
    <n v="0"/>
    <n v="0"/>
  </r>
  <r>
    <n v="2019"/>
    <n v="12"/>
    <s v="12/01/2019"/>
    <x v="11"/>
    <s v="Female (F)"/>
    <s v="Non-Hispanic Black"/>
    <s v="55-64 years"/>
    <n v="2444"/>
    <n v="2313"/>
    <n v="67"/>
    <n v="710"/>
    <n v="123"/>
    <m/>
    <n v="48"/>
    <n v="112"/>
    <n v="34"/>
    <n v="68"/>
    <n v="27"/>
    <n v="559"/>
    <n v="110"/>
    <n v="0"/>
    <n v="0"/>
  </r>
  <r>
    <n v="2019"/>
    <n v="12"/>
    <s v="12/01/2019"/>
    <x v="11"/>
    <s v="Female (F)"/>
    <s v="Non-Hispanic Black"/>
    <s v="65-74 years"/>
    <n v="3144"/>
    <n v="3054"/>
    <n v="65"/>
    <n v="878"/>
    <n v="202"/>
    <n v="56"/>
    <n v="60"/>
    <n v="135"/>
    <n v="50"/>
    <n v="102"/>
    <n v="20"/>
    <n v="733"/>
    <n v="192"/>
    <n v="0"/>
    <n v="0"/>
  </r>
  <r>
    <n v="2019"/>
    <n v="12"/>
    <s v="12/01/2019"/>
    <x v="11"/>
    <s v="Female (F)"/>
    <s v="Non-Hispanic Black"/>
    <s v="75-84 years"/>
    <n v="3320"/>
    <n v="3265"/>
    <n v="83"/>
    <n v="646"/>
    <n v="168"/>
    <n v="175"/>
    <n v="68"/>
    <n v="130"/>
    <n v="50"/>
    <n v="132"/>
    <n v="24"/>
    <n v="811"/>
    <n v="263"/>
    <n v="0"/>
    <n v="0"/>
  </r>
  <r>
    <n v="2019"/>
    <n v="12"/>
    <s v="12/01/2019"/>
    <x v="11"/>
    <s v="Female (F)"/>
    <s v="Non-Hispanic Black"/>
    <s v="85 years and over"/>
    <n v="3814"/>
    <n v="3760"/>
    <n v="68"/>
    <n v="379"/>
    <n v="132"/>
    <n v="399"/>
    <n v="76"/>
    <n v="106"/>
    <n v="41"/>
    <n v="126"/>
    <n v="48"/>
    <n v="1013"/>
    <n v="357"/>
    <n v="0"/>
    <n v="0"/>
  </r>
  <r>
    <n v="2019"/>
    <n v="12"/>
    <s v="12/01/2019"/>
    <x v="11"/>
    <s v="Female (F)"/>
    <s v="Non-Hispanic White"/>
    <s v="0-4 years"/>
    <n v="330"/>
    <n v="295"/>
    <m/>
    <m/>
    <n v="0"/>
    <n v="0"/>
    <m/>
    <m/>
    <m/>
    <m/>
    <n v="29"/>
    <n v="10"/>
    <m/>
    <n v="0"/>
    <n v="0"/>
  </r>
  <r>
    <n v="2019"/>
    <n v="12"/>
    <s v="12/01/2019"/>
    <x v="11"/>
    <s v="Female (F)"/>
    <s v="Non-Hispanic White"/>
    <s v="15-24 years"/>
    <n v="340"/>
    <n v="129"/>
    <m/>
    <n v="27"/>
    <m/>
    <n v="0"/>
    <m/>
    <m/>
    <m/>
    <m/>
    <m/>
    <n v="11"/>
    <m/>
    <n v="0"/>
    <n v="0"/>
  </r>
  <r>
    <n v="2019"/>
    <n v="12"/>
    <s v="12/01/2019"/>
    <x v="11"/>
    <s v="Female (F)"/>
    <s v="Non-Hispanic White"/>
    <s v="25-34 years"/>
    <n v="926"/>
    <n v="385"/>
    <m/>
    <n v="77"/>
    <n v="10"/>
    <n v="0"/>
    <m/>
    <m/>
    <m/>
    <m/>
    <n v="21"/>
    <n v="56"/>
    <n v="12"/>
    <n v="0"/>
    <n v="0"/>
  </r>
  <r>
    <n v="2019"/>
    <n v="12"/>
    <s v="12/01/2019"/>
    <x v="11"/>
    <s v="Female (F)"/>
    <s v="Non-Hispanic White"/>
    <s v="35-44 years"/>
    <n v="1558"/>
    <n v="990"/>
    <n v="29"/>
    <n v="279"/>
    <n v="38"/>
    <n v="0"/>
    <n v="30"/>
    <n v="21"/>
    <n v="14"/>
    <n v="13"/>
    <n v="36"/>
    <n v="145"/>
    <n v="34"/>
    <n v="0"/>
    <n v="0"/>
  </r>
  <r>
    <n v="2019"/>
    <n v="12"/>
    <s v="12/01/2019"/>
    <x v="11"/>
    <s v="Female (F)"/>
    <s v="Non-Hispanic White"/>
    <s v="45-54 years"/>
    <n v="3365"/>
    <n v="2772"/>
    <n v="64"/>
    <n v="977"/>
    <n v="91"/>
    <m/>
    <n v="55"/>
    <n v="137"/>
    <n v="43"/>
    <n v="32"/>
    <n v="51"/>
    <n v="500"/>
    <n v="94"/>
    <n v="0"/>
    <n v="0"/>
  </r>
  <r>
    <n v="2019"/>
    <n v="12"/>
    <s v="12/01/2019"/>
    <x v="11"/>
    <s v="Female (F)"/>
    <s v="Non-Hispanic White"/>
    <s v="5-14 years"/>
    <n v="100"/>
    <n v="67"/>
    <m/>
    <n v="10"/>
    <n v="0"/>
    <n v="0"/>
    <n v="11"/>
    <m/>
    <m/>
    <m/>
    <m/>
    <m/>
    <m/>
    <n v="0"/>
    <n v="0"/>
  </r>
  <r>
    <n v="2019"/>
    <n v="12"/>
    <s v="12/01/2019"/>
    <x v="11"/>
    <s v="Female (F)"/>
    <s v="Non-Hispanic White"/>
    <s v="55-64 years"/>
    <n v="9215"/>
    <n v="8486"/>
    <n v="135"/>
    <n v="3051"/>
    <n v="326"/>
    <n v="51"/>
    <n v="161"/>
    <n v="743"/>
    <n v="131"/>
    <n v="126"/>
    <n v="82"/>
    <n v="1565"/>
    <n v="314"/>
    <n v="0"/>
    <n v="0"/>
  </r>
  <r>
    <n v="2019"/>
    <n v="12"/>
    <s v="12/01/2019"/>
    <x v="11"/>
    <s v="Female (F)"/>
    <s v="Non-Hispanic White"/>
    <s v="65-74 years"/>
    <n v="15714"/>
    <n v="15171"/>
    <n v="295"/>
    <n v="4904"/>
    <n v="534"/>
    <n v="371"/>
    <n v="262"/>
    <n v="1469"/>
    <n v="304"/>
    <n v="276"/>
    <n v="138"/>
    <n v="2864"/>
    <n v="669"/>
    <n v="0"/>
    <n v="0"/>
  </r>
  <r>
    <n v="2019"/>
    <n v="12"/>
    <s v="12/01/2019"/>
    <x v="11"/>
    <s v="Female (F)"/>
    <s v="Non-Hispanic White"/>
    <s v="75-84 years"/>
    <n v="24132"/>
    <n v="23416"/>
    <n v="385"/>
    <n v="5129"/>
    <n v="571"/>
    <n v="1729"/>
    <n v="410"/>
    <n v="2172"/>
    <n v="481"/>
    <n v="427"/>
    <n v="230"/>
    <n v="4961"/>
    <n v="1501"/>
    <n v="0"/>
    <n v="0"/>
  </r>
  <r>
    <n v="2019"/>
    <n v="12"/>
    <s v="12/01/2019"/>
    <x v="11"/>
    <s v="Female (F)"/>
    <s v="Non-Hispanic White"/>
    <s v="85 years and over"/>
    <n v="40546"/>
    <n v="39313"/>
    <n v="405"/>
    <n v="3795"/>
    <n v="578"/>
    <n v="4438"/>
    <n v="872"/>
    <n v="2084"/>
    <n v="561"/>
    <n v="632"/>
    <n v="646"/>
    <n v="11225"/>
    <n v="3198"/>
    <n v="0"/>
    <n v="0"/>
  </r>
  <r>
    <n v="2019"/>
    <n v="12"/>
    <s v="12/01/2019"/>
    <x v="11"/>
    <s v="Female (F)"/>
    <s v="Other"/>
    <s v="0-4 years"/>
    <n v="42"/>
    <n v="36"/>
    <n v="0"/>
    <n v="0"/>
    <n v="0"/>
    <n v="0"/>
    <n v="0"/>
    <n v="0"/>
    <m/>
    <n v="0"/>
    <m/>
    <n v="0"/>
    <n v="0"/>
    <n v="0"/>
    <n v="0"/>
  </r>
  <r>
    <n v="2019"/>
    <n v="12"/>
    <s v="12/01/2019"/>
    <x v="11"/>
    <s v="Female (F)"/>
    <s v="Other"/>
    <s v="15-24 years"/>
    <n v="20"/>
    <m/>
    <m/>
    <n v="0"/>
    <n v="0"/>
    <n v="0"/>
    <n v="0"/>
    <n v="0"/>
    <n v="0"/>
    <n v="0"/>
    <m/>
    <n v="0"/>
    <n v="0"/>
    <n v="0"/>
    <n v="0"/>
  </r>
  <r>
    <n v="2019"/>
    <n v="12"/>
    <s v="12/01/2019"/>
    <x v="11"/>
    <s v="Female (F)"/>
    <s v="Other"/>
    <s v="25-34 years"/>
    <n v="34"/>
    <n v="12"/>
    <n v="0"/>
    <m/>
    <n v="0"/>
    <n v="0"/>
    <n v="0"/>
    <m/>
    <n v="0"/>
    <n v="0"/>
    <n v="0"/>
    <m/>
    <n v="0"/>
    <n v="0"/>
    <n v="0"/>
  </r>
  <r>
    <n v="2019"/>
    <n v="12"/>
    <s v="12/01/2019"/>
    <x v="11"/>
    <s v="Female (F)"/>
    <s v="Other"/>
    <s v="35-44 years"/>
    <n v="46"/>
    <n v="33"/>
    <n v="0"/>
    <m/>
    <m/>
    <n v="0"/>
    <m/>
    <n v="0"/>
    <m/>
    <n v="0"/>
    <m/>
    <m/>
    <m/>
    <n v="0"/>
    <n v="0"/>
  </r>
  <r>
    <n v="2019"/>
    <n v="12"/>
    <s v="12/01/2019"/>
    <x v="11"/>
    <s v="Female (F)"/>
    <s v="Other"/>
    <s v="45-54 years"/>
    <n v="80"/>
    <n v="65"/>
    <m/>
    <n v="21"/>
    <m/>
    <n v="0"/>
    <m/>
    <m/>
    <m/>
    <n v="0"/>
    <m/>
    <n v="17"/>
    <m/>
    <n v="0"/>
    <n v="0"/>
  </r>
  <r>
    <n v="2019"/>
    <n v="12"/>
    <s v="12/01/2019"/>
    <x v="11"/>
    <s v="Female (F)"/>
    <s v="Other"/>
    <s v="5-14 years"/>
    <m/>
    <m/>
    <n v="0"/>
    <m/>
    <n v="0"/>
    <n v="0"/>
    <n v="0"/>
    <m/>
    <m/>
    <n v="0"/>
    <n v="0"/>
    <n v="0"/>
    <n v="0"/>
    <n v="0"/>
    <n v="0"/>
  </r>
  <r>
    <n v="2019"/>
    <n v="12"/>
    <s v="12/01/2019"/>
    <x v="11"/>
    <s v="Female (F)"/>
    <s v="Other"/>
    <s v="55-64 years"/>
    <n v="130"/>
    <n v="119"/>
    <m/>
    <n v="37"/>
    <m/>
    <n v="0"/>
    <m/>
    <m/>
    <m/>
    <m/>
    <m/>
    <n v="21"/>
    <m/>
    <n v="0"/>
    <n v="0"/>
  </r>
  <r>
    <n v="2019"/>
    <n v="12"/>
    <s v="12/01/2019"/>
    <x v="11"/>
    <s v="Female (F)"/>
    <s v="Other"/>
    <s v="65-74 years"/>
    <n v="188"/>
    <n v="179"/>
    <m/>
    <n v="56"/>
    <m/>
    <m/>
    <m/>
    <n v="16"/>
    <m/>
    <m/>
    <m/>
    <n v="46"/>
    <m/>
    <n v="0"/>
    <n v="0"/>
  </r>
  <r>
    <n v="2019"/>
    <n v="12"/>
    <s v="12/01/2019"/>
    <x v="11"/>
    <s v="Female (F)"/>
    <s v="Other"/>
    <s v="75-84 years"/>
    <n v="176"/>
    <n v="169"/>
    <m/>
    <n v="41"/>
    <m/>
    <m/>
    <m/>
    <n v="11"/>
    <m/>
    <m/>
    <m/>
    <n v="42"/>
    <n v="15"/>
    <n v="0"/>
    <n v="0"/>
  </r>
  <r>
    <n v="2019"/>
    <n v="12"/>
    <s v="12/01/2019"/>
    <x v="11"/>
    <s v="Female (F)"/>
    <s v="Other"/>
    <s v="85 years and over"/>
    <n v="219"/>
    <n v="214"/>
    <n v="0"/>
    <n v="21"/>
    <m/>
    <n v="31"/>
    <m/>
    <m/>
    <m/>
    <m/>
    <m/>
    <n v="74"/>
    <n v="15"/>
    <n v="0"/>
    <n v="0"/>
  </r>
  <r>
    <n v="2019"/>
    <n v="12"/>
    <s v="12/01/2019"/>
    <x v="11"/>
    <s v="Male (M)"/>
    <s v="Hispanic"/>
    <s v="0-4 years"/>
    <n v="278"/>
    <n v="250"/>
    <m/>
    <m/>
    <n v="0"/>
    <n v="0"/>
    <m/>
    <n v="0"/>
    <m/>
    <m/>
    <n v="35"/>
    <m/>
    <m/>
    <n v="0"/>
    <n v="0"/>
  </r>
  <r>
    <n v="2019"/>
    <n v="12"/>
    <s v="12/01/2019"/>
    <x v="11"/>
    <s v="Male (M)"/>
    <s v="Hispanic"/>
    <s v="15-24 years"/>
    <n v="432"/>
    <n v="75"/>
    <m/>
    <n v="22"/>
    <n v="0"/>
    <n v="0"/>
    <m/>
    <m/>
    <n v="0"/>
    <n v="0"/>
    <n v="11"/>
    <m/>
    <n v="0"/>
    <n v="0"/>
    <n v="0"/>
  </r>
  <r>
    <n v="2019"/>
    <n v="12"/>
    <s v="12/01/2019"/>
    <x v="11"/>
    <s v="Male (M)"/>
    <s v="Hispanic"/>
    <s v="25-34 years"/>
    <n v="650"/>
    <n v="211"/>
    <m/>
    <n v="34"/>
    <m/>
    <n v="0"/>
    <n v="10"/>
    <m/>
    <n v="0"/>
    <n v="0"/>
    <n v="21"/>
    <n v="37"/>
    <m/>
    <n v="0"/>
    <n v="0"/>
  </r>
  <r>
    <n v="2019"/>
    <n v="12"/>
    <s v="12/01/2019"/>
    <x v="11"/>
    <s v="Male (M)"/>
    <s v="Hispanic"/>
    <s v="35-44 years"/>
    <n v="752"/>
    <n v="404"/>
    <m/>
    <n v="63"/>
    <n v="29"/>
    <n v="0"/>
    <n v="12"/>
    <m/>
    <m/>
    <n v="10"/>
    <m/>
    <n v="89"/>
    <n v="23"/>
    <n v="0"/>
    <n v="0"/>
  </r>
  <r>
    <n v="2019"/>
    <n v="12"/>
    <s v="12/01/2019"/>
    <x v="11"/>
    <s v="Male (M)"/>
    <s v="Hispanic"/>
    <s v="45-54 years"/>
    <n v="1163"/>
    <n v="908"/>
    <n v="22"/>
    <n v="187"/>
    <n v="74"/>
    <n v="0"/>
    <n v="25"/>
    <m/>
    <m/>
    <n v="15"/>
    <n v="19"/>
    <n v="244"/>
    <n v="45"/>
    <n v="0"/>
    <n v="0"/>
  </r>
  <r>
    <n v="2019"/>
    <n v="12"/>
    <s v="12/01/2019"/>
    <x v="11"/>
    <s v="Male (M)"/>
    <s v="Hispanic"/>
    <s v="5-14 years"/>
    <n v="62"/>
    <n v="40"/>
    <m/>
    <m/>
    <n v="0"/>
    <n v="0"/>
    <n v="0"/>
    <m/>
    <m/>
    <n v="0"/>
    <m/>
    <m/>
    <m/>
    <n v="0"/>
    <n v="0"/>
  </r>
  <r>
    <n v="2019"/>
    <n v="12"/>
    <s v="12/01/2019"/>
    <x v="11"/>
    <s v="Male (M)"/>
    <s v="Hispanic"/>
    <s v="55-64 years"/>
    <n v="1744"/>
    <n v="1526"/>
    <n v="26"/>
    <n v="388"/>
    <n v="104"/>
    <m/>
    <n v="40"/>
    <n v="26"/>
    <n v="21"/>
    <n v="48"/>
    <n v="20"/>
    <n v="391"/>
    <n v="81"/>
    <n v="0"/>
    <n v="0"/>
  </r>
  <r>
    <n v="2019"/>
    <n v="12"/>
    <s v="12/01/2019"/>
    <x v="11"/>
    <s v="Male (M)"/>
    <s v="Hispanic"/>
    <s v="65-74 years"/>
    <n v="2020"/>
    <n v="1921"/>
    <n v="32"/>
    <n v="521"/>
    <n v="152"/>
    <n v="19"/>
    <n v="47"/>
    <n v="60"/>
    <n v="34"/>
    <n v="46"/>
    <n v="13"/>
    <n v="502"/>
    <n v="111"/>
    <n v="0"/>
    <n v="0"/>
  </r>
  <r>
    <n v="2019"/>
    <n v="12"/>
    <s v="12/01/2019"/>
    <x v="11"/>
    <s v="Male (M)"/>
    <s v="Hispanic"/>
    <s v="75-84 years"/>
    <n v="1931"/>
    <n v="1871"/>
    <n v="34"/>
    <n v="438"/>
    <n v="104"/>
    <n v="74"/>
    <n v="51"/>
    <n v="65"/>
    <n v="49"/>
    <n v="37"/>
    <n v="16"/>
    <n v="509"/>
    <n v="107"/>
    <n v="0"/>
    <n v="0"/>
  </r>
  <r>
    <n v="2019"/>
    <n v="12"/>
    <s v="12/01/2019"/>
    <x v="11"/>
    <s v="Male (M)"/>
    <s v="Hispanic"/>
    <s v="85 years and over"/>
    <n v="1768"/>
    <n v="1709"/>
    <n v="16"/>
    <n v="244"/>
    <n v="72"/>
    <n v="135"/>
    <n v="45"/>
    <n v="79"/>
    <n v="37"/>
    <n v="48"/>
    <n v="14"/>
    <n v="468"/>
    <n v="146"/>
    <n v="0"/>
    <n v="0"/>
  </r>
  <r>
    <n v="2019"/>
    <n v="12"/>
    <s v="12/01/2019"/>
    <x v="11"/>
    <s v="Male (M)"/>
    <s v="Non-Hispanic American Indian or Alaska Native"/>
    <s v="0-4 years"/>
    <n v="17"/>
    <n v="11"/>
    <n v="0"/>
    <n v="0"/>
    <n v="0"/>
    <n v="0"/>
    <n v="0"/>
    <n v="0"/>
    <n v="0"/>
    <n v="0"/>
    <m/>
    <m/>
    <n v="0"/>
    <n v="0"/>
    <n v="0"/>
  </r>
  <r>
    <n v="2019"/>
    <n v="12"/>
    <s v="12/01/2019"/>
    <x v="11"/>
    <s v="Male (M)"/>
    <s v="Non-Hispanic American Indian or Alaska Native"/>
    <s v="15-24 years"/>
    <n v="26"/>
    <m/>
    <n v="0"/>
    <n v="0"/>
    <n v="0"/>
    <n v="0"/>
    <n v="0"/>
    <n v="0"/>
    <n v="0"/>
    <n v="0"/>
    <m/>
    <n v="0"/>
    <n v="0"/>
    <n v="0"/>
    <n v="0"/>
  </r>
  <r>
    <n v="2019"/>
    <n v="12"/>
    <s v="12/01/2019"/>
    <x v="11"/>
    <s v="Male (M)"/>
    <s v="Non-Hispanic American Indian or Alaska Native"/>
    <s v="25-34 years"/>
    <n v="73"/>
    <n v="26"/>
    <n v="0"/>
    <n v="0"/>
    <n v="0"/>
    <n v="0"/>
    <m/>
    <n v="0"/>
    <n v="0"/>
    <m/>
    <m/>
    <m/>
    <m/>
    <n v="0"/>
    <n v="0"/>
  </r>
  <r>
    <n v="2019"/>
    <n v="12"/>
    <s v="12/01/2019"/>
    <x v="11"/>
    <s v="Male (M)"/>
    <s v="Non-Hispanic American Indian or Alaska Native"/>
    <s v="35-44 years"/>
    <n v="74"/>
    <n v="47"/>
    <n v="0"/>
    <m/>
    <m/>
    <n v="0"/>
    <n v="0"/>
    <n v="0"/>
    <m/>
    <m/>
    <m/>
    <n v="10"/>
    <n v="0"/>
    <n v="0"/>
    <n v="0"/>
  </r>
  <r>
    <n v="2019"/>
    <n v="12"/>
    <s v="12/01/2019"/>
    <x v="11"/>
    <s v="Male (M)"/>
    <s v="Non-Hispanic American Indian or Alaska Native"/>
    <s v="45-54 years"/>
    <n v="101"/>
    <n v="75"/>
    <n v="0"/>
    <n v="10"/>
    <m/>
    <n v="0"/>
    <m/>
    <n v="0"/>
    <m/>
    <m/>
    <m/>
    <n v="20"/>
    <m/>
    <n v="0"/>
    <n v="0"/>
  </r>
  <r>
    <n v="2019"/>
    <n v="12"/>
    <s v="12/01/2019"/>
    <x v="11"/>
    <s v="Male (M)"/>
    <s v="Non-Hispanic American Indian or Alaska Native"/>
    <s v="5-14 years"/>
    <m/>
    <m/>
    <n v="0"/>
    <n v="0"/>
    <n v="0"/>
    <n v="0"/>
    <n v="0"/>
    <n v="0"/>
    <n v="0"/>
    <n v="0"/>
    <n v="0"/>
    <m/>
    <n v="0"/>
    <n v="0"/>
    <n v="0"/>
  </r>
  <r>
    <n v="2019"/>
    <n v="12"/>
    <s v="12/01/2019"/>
    <x v="11"/>
    <s v="Male (M)"/>
    <s v="Non-Hispanic American Indian or Alaska Native"/>
    <s v="55-64 years"/>
    <n v="194"/>
    <n v="170"/>
    <m/>
    <n v="30"/>
    <m/>
    <m/>
    <m/>
    <m/>
    <m/>
    <m/>
    <m/>
    <n v="37"/>
    <m/>
    <n v="0"/>
    <n v="0"/>
  </r>
  <r>
    <n v="2019"/>
    <n v="12"/>
    <s v="12/01/2019"/>
    <x v="11"/>
    <s v="Male (M)"/>
    <s v="Non-Hispanic American Indian or Alaska Native"/>
    <s v="65-74 years"/>
    <n v="182"/>
    <n v="166"/>
    <m/>
    <n v="50"/>
    <m/>
    <n v="0"/>
    <m/>
    <m/>
    <m/>
    <m/>
    <m/>
    <n v="47"/>
    <m/>
    <n v="0"/>
    <n v="0"/>
  </r>
  <r>
    <n v="2019"/>
    <n v="12"/>
    <s v="12/01/2019"/>
    <x v="11"/>
    <s v="Male (M)"/>
    <s v="Non-Hispanic American Indian or Alaska Native"/>
    <s v="75-84 years"/>
    <n v="143"/>
    <n v="133"/>
    <m/>
    <n v="29"/>
    <m/>
    <m/>
    <m/>
    <m/>
    <m/>
    <m/>
    <n v="0"/>
    <n v="40"/>
    <m/>
    <n v="0"/>
    <n v="0"/>
  </r>
  <r>
    <n v="2019"/>
    <n v="12"/>
    <s v="12/01/2019"/>
    <x v="11"/>
    <s v="Male (M)"/>
    <s v="Non-Hispanic American Indian or Alaska Native"/>
    <s v="85 years and over"/>
    <n v="72"/>
    <n v="67"/>
    <m/>
    <m/>
    <m/>
    <m/>
    <m/>
    <m/>
    <m/>
    <m/>
    <n v="0"/>
    <n v="14"/>
    <m/>
    <n v="0"/>
    <n v="0"/>
  </r>
  <r>
    <n v="2019"/>
    <n v="12"/>
    <s v="12/01/2019"/>
    <x v="11"/>
    <s v="Male (M)"/>
    <s v="Non-Hispanic Asian"/>
    <s v="0-4 years"/>
    <n v="34"/>
    <n v="30"/>
    <n v="0"/>
    <n v="0"/>
    <n v="0"/>
    <n v="0"/>
    <n v="0"/>
    <n v="0"/>
    <n v="0"/>
    <n v="0"/>
    <m/>
    <m/>
    <n v="0"/>
    <n v="0"/>
    <n v="0"/>
  </r>
  <r>
    <n v="2019"/>
    <n v="12"/>
    <s v="12/01/2019"/>
    <x v="11"/>
    <s v="Male (M)"/>
    <s v="Non-Hispanic Asian"/>
    <s v="15-24 years"/>
    <n v="50"/>
    <n v="16"/>
    <n v="0"/>
    <m/>
    <m/>
    <n v="0"/>
    <n v="0"/>
    <n v="0"/>
    <n v="0"/>
    <n v="0"/>
    <m/>
    <n v="0"/>
    <m/>
    <n v="0"/>
    <n v="0"/>
  </r>
  <r>
    <n v="2019"/>
    <n v="12"/>
    <s v="12/01/2019"/>
    <x v="11"/>
    <s v="Male (M)"/>
    <s v="Non-Hispanic Asian"/>
    <s v="25-34 years"/>
    <n v="69"/>
    <n v="23"/>
    <m/>
    <m/>
    <n v="0"/>
    <n v="0"/>
    <n v="0"/>
    <n v="0"/>
    <n v="0"/>
    <n v="0"/>
    <m/>
    <m/>
    <m/>
    <n v="0"/>
    <n v="0"/>
  </r>
  <r>
    <n v="2019"/>
    <n v="12"/>
    <s v="12/01/2019"/>
    <x v="11"/>
    <s v="Male (M)"/>
    <s v="Non-Hispanic Asian"/>
    <s v="35-44 years"/>
    <n v="107"/>
    <n v="68"/>
    <n v="0"/>
    <n v="14"/>
    <m/>
    <n v="0"/>
    <n v="0"/>
    <n v="0"/>
    <n v="0"/>
    <m/>
    <m/>
    <n v="20"/>
    <m/>
    <n v="0"/>
    <n v="0"/>
  </r>
  <r>
    <n v="2019"/>
    <n v="12"/>
    <s v="12/01/2019"/>
    <x v="11"/>
    <s v="Male (M)"/>
    <s v="Non-Hispanic Asian"/>
    <s v="45-54 years"/>
    <n v="232"/>
    <n v="197"/>
    <m/>
    <n v="60"/>
    <n v="10"/>
    <n v="0"/>
    <m/>
    <n v="0"/>
    <m/>
    <m/>
    <m/>
    <n v="65"/>
    <m/>
    <n v="0"/>
    <n v="0"/>
  </r>
  <r>
    <n v="2019"/>
    <n v="12"/>
    <s v="12/01/2019"/>
    <x v="11"/>
    <s v="Male (M)"/>
    <s v="Non-Hispanic Asian"/>
    <s v="5-14 years"/>
    <n v="14"/>
    <m/>
    <n v="0"/>
    <m/>
    <n v="0"/>
    <n v="0"/>
    <n v="0"/>
    <n v="0"/>
    <n v="0"/>
    <n v="0"/>
    <n v="0"/>
    <n v="0"/>
    <m/>
    <n v="0"/>
    <n v="0"/>
  </r>
  <r>
    <n v="2019"/>
    <n v="12"/>
    <s v="12/01/2019"/>
    <x v="11"/>
    <s v="Male (M)"/>
    <s v="Non-Hispanic Asian"/>
    <s v="55-64 years"/>
    <n v="474"/>
    <n v="436"/>
    <m/>
    <n v="153"/>
    <n v="30"/>
    <m/>
    <m/>
    <m/>
    <m/>
    <m/>
    <m/>
    <n v="111"/>
    <n v="28"/>
    <n v="0"/>
    <n v="0"/>
  </r>
  <r>
    <n v="2019"/>
    <n v="12"/>
    <s v="12/01/2019"/>
    <x v="11"/>
    <s v="Male (M)"/>
    <s v="Non-Hispanic Asian"/>
    <s v="65-74 years"/>
    <n v="594"/>
    <n v="568"/>
    <m/>
    <n v="189"/>
    <n v="43"/>
    <m/>
    <n v="16"/>
    <n v="15"/>
    <m/>
    <n v="11"/>
    <m/>
    <n v="132"/>
    <n v="38"/>
    <n v="0"/>
    <n v="0"/>
  </r>
  <r>
    <n v="2019"/>
    <n v="12"/>
    <s v="12/01/2019"/>
    <x v="11"/>
    <s v="Male (M)"/>
    <s v="Non-Hispanic Asian"/>
    <s v="75-84 years"/>
    <n v="809"/>
    <n v="776"/>
    <n v="10"/>
    <n v="195"/>
    <n v="29"/>
    <n v="24"/>
    <n v="18"/>
    <n v="40"/>
    <n v="20"/>
    <n v="17"/>
    <m/>
    <n v="195"/>
    <n v="65"/>
    <n v="0"/>
    <n v="0"/>
  </r>
  <r>
    <n v="2019"/>
    <n v="12"/>
    <s v="12/01/2019"/>
    <x v="11"/>
    <s v="Male (M)"/>
    <s v="Non-Hispanic Asian"/>
    <s v="85 years and over"/>
    <n v="888"/>
    <n v="862"/>
    <m/>
    <n v="139"/>
    <n v="40"/>
    <n v="57"/>
    <n v="41"/>
    <n v="37"/>
    <n v="23"/>
    <n v="12"/>
    <m/>
    <n v="234"/>
    <n v="62"/>
    <n v="0"/>
    <n v="0"/>
  </r>
  <r>
    <n v="2019"/>
    <n v="12"/>
    <s v="12/01/2019"/>
    <x v="11"/>
    <s v="Male (M)"/>
    <s v="Non-Hispanic Black"/>
    <s v="0-4 years"/>
    <n v="308"/>
    <n v="263"/>
    <m/>
    <n v="0"/>
    <n v="0"/>
    <n v="0"/>
    <n v="15"/>
    <n v="0"/>
    <m/>
    <n v="0"/>
    <n v="50"/>
    <m/>
    <m/>
    <n v="0"/>
    <n v="0"/>
  </r>
  <r>
    <n v="2019"/>
    <n v="12"/>
    <s v="12/01/2019"/>
    <x v="11"/>
    <s v="Male (M)"/>
    <s v="Non-Hispanic Black"/>
    <s v="15-24 years"/>
    <n v="480"/>
    <n v="89"/>
    <n v="0"/>
    <n v="13"/>
    <n v="10"/>
    <n v="0"/>
    <m/>
    <m/>
    <m/>
    <n v="0"/>
    <n v="12"/>
    <n v="12"/>
    <m/>
    <n v="0"/>
    <n v="0"/>
  </r>
  <r>
    <n v="2019"/>
    <n v="12"/>
    <s v="12/01/2019"/>
    <x v="11"/>
    <s v="Male (M)"/>
    <s v="Non-Hispanic Black"/>
    <s v="25-34 years"/>
    <n v="840"/>
    <n v="278"/>
    <m/>
    <n v="22"/>
    <n v="14"/>
    <n v="0"/>
    <m/>
    <n v="12"/>
    <m/>
    <m/>
    <n v="23"/>
    <n v="69"/>
    <m/>
    <n v="0"/>
    <n v="0"/>
  </r>
  <r>
    <n v="2019"/>
    <n v="12"/>
    <s v="12/01/2019"/>
    <x v="11"/>
    <s v="Male (M)"/>
    <s v="Non-Hispanic Black"/>
    <s v="35-44 years"/>
    <n v="943"/>
    <n v="542"/>
    <m/>
    <n v="71"/>
    <n v="34"/>
    <n v="0"/>
    <n v="18"/>
    <m/>
    <m/>
    <n v="14"/>
    <n v="21"/>
    <n v="164"/>
    <n v="25"/>
    <n v="0"/>
    <n v="0"/>
  </r>
  <r>
    <n v="2019"/>
    <n v="12"/>
    <s v="12/01/2019"/>
    <x v="11"/>
    <s v="Male (M)"/>
    <s v="Non-Hispanic Black"/>
    <s v="45-54 years"/>
    <n v="1624"/>
    <n v="1259"/>
    <n v="29"/>
    <n v="215"/>
    <n v="93"/>
    <n v="0"/>
    <n v="25"/>
    <n v="32"/>
    <n v="17"/>
    <n v="43"/>
    <n v="27"/>
    <n v="421"/>
    <n v="69"/>
    <n v="0"/>
    <n v="0"/>
  </r>
  <r>
    <n v="2019"/>
    <n v="12"/>
    <s v="12/01/2019"/>
    <x v="11"/>
    <s v="Male (M)"/>
    <s v="Non-Hispanic Black"/>
    <s v="5-14 years"/>
    <n v="65"/>
    <n v="38"/>
    <m/>
    <m/>
    <n v="0"/>
    <n v="0"/>
    <m/>
    <m/>
    <n v="0"/>
    <n v="0"/>
    <m/>
    <m/>
    <m/>
    <n v="0"/>
    <n v="0"/>
  </r>
  <r>
    <n v="2019"/>
    <n v="12"/>
    <s v="12/01/2019"/>
    <x v="11"/>
    <s v="Male (M)"/>
    <s v="Non-Hispanic Black"/>
    <s v="55-64 years"/>
    <n v="3410"/>
    <n v="3028"/>
    <n v="48"/>
    <n v="728"/>
    <n v="155"/>
    <m/>
    <n v="48"/>
    <n v="115"/>
    <n v="38"/>
    <n v="99"/>
    <n v="48"/>
    <n v="953"/>
    <n v="153"/>
    <n v="0"/>
    <n v="0"/>
  </r>
  <r>
    <n v="2019"/>
    <n v="12"/>
    <s v="12/01/2019"/>
    <x v="11"/>
    <s v="Male (M)"/>
    <s v="Non-Hispanic Black"/>
    <s v="65-74 years"/>
    <n v="3789"/>
    <n v="3601"/>
    <n v="67"/>
    <n v="956"/>
    <n v="207"/>
    <n v="40"/>
    <n v="63"/>
    <n v="167"/>
    <n v="47"/>
    <n v="118"/>
    <n v="40"/>
    <n v="1029"/>
    <n v="225"/>
    <n v="0"/>
    <n v="0"/>
  </r>
  <r>
    <n v="2019"/>
    <n v="12"/>
    <s v="12/01/2019"/>
    <x v="11"/>
    <s v="Male (M)"/>
    <s v="Non-Hispanic Black"/>
    <s v="75-84 years"/>
    <n v="2939"/>
    <n v="2856"/>
    <n v="55"/>
    <n v="675"/>
    <n v="144"/>
    <n v="98"/>
    <n v="53"/>
    <n v="143"/>
    <n v="36"/>
    <n v="107"/>
    <n v="26"/>
    <n v="768"/>
    <n v="207"/>
    <n v="0"/>
    <n v="0"/>
  </r>
  <r>
    <n v="2019"/>
    <n v="12"/>
    <s v="12/01/2019"/>
    <x v="11"/>
    <s v="Male (M)"/>
    <s v="Non-Hispanic Black"/>
    <s v="85 years and over"/>
    <n v="1908"/>
    <n v="1859"/>
    <n v="30"/>
    <n v="288"/>
    <n v="65"/>
    <n v="100"/>
    <n v="37"/>
    <n v="76"/>
    <n v="24"/>
    <n v="72"/>
    <n v="15"/>
    <n v="533"/>
    <n v="143"/>
    <n v="0"/>
    <n v="0"/>
  </r>
  <r>
    <n v="2019"/>
    <n v="12"/>
    <s v="12/01/2019"/>
    <x v="11"/>
    <s v="Male (M)"/>
    <s v="Non-Hispanic White"/>
    <s v="0-4 years"/>
    <n v="489"/>
    <n v="422"/>
    <n v="0"/>
    <m/>
    <n v="0"/>
    <n v="0"/>
    <m/>
    <n v="0"/>
    <m/>
    <n v="0"/>
    <n v="63"/>
    <m/>
    <m/>
    <n v="0"/>
    <n v="0"/>
  </r>
  <r>
    <n v="2019"/>
    <n v="12"/>
    <s v="12/01/2019"/>
    <x v="11"/>
    <s v="Male (M)"/>
    <s v="Non-Hispanic White"/>
    <s v="15-24 years"/>
    <n v="872"/>
    <n v="158"/>
    <m/>
    <n v="34"/>
    <m/>
    <n v="0"/>
    <m/>
    <m/>
    <m/>
    <n v="0"/>
    <n v="12"/>
    <n v="19"/>
    <m/>
    <n v="0"/>
    <n v="0"/>
  </r>
  <r>
    <n v="2019"/>
    <n v="12"/>
    <s v="12/01/2019"/>
    <x v="11"/>
    <s v="Male (M)"/>
    <s v="Non-Hispanic White"/>
    <s v="25-34 years"/>
    <n v="1961"/>
    <n v="542"/>
    <n v="10"/>
    <n v="72"/>
    <n v="24"/>
    <n v="0"/>
    <n v="11"/>
    <m/>
    <m/>
    <m/>
    <n v="56"/>
    <n v="104"/>
    <n v="17"/>
    <n v="0"/>
    <n v="0"/>
  </r>
  <r>
    <n v="2019"/>
    <n v="12"/>
    <s v="12/01/2019"/>
    <x v="11"/>
    <s v="Male (M)"/>
    <s v="Non-Hispanic White"/>
    <s v="35-44 years"/>
    <n v="2787"/>
    <n v="1339"/>
    <n v="22"/>
    <n v="217"/>
    <n v="74"/>
    <m/>
    <n v="32"/>
    <n v="18"/>
    <n v="11"/>
    <n v="21"/>
    <n v="73"/>
    <n v="363"/>
    <n v="44"/>
    <n v="0"/>
    <n v="0"/>
  </r>
  <r>
    <n v="2019"/>
    <n v="12"/>
    <s v="12/01/2019"/>
    <x v="11"/>
    <s v="Male (M)"/>
    <s v="Non-Hispanic White"/>
    <s v="45-54 years"/>
    <n v="5368"/>
    <n v="4014"/>
    <n v="61"/>
    <n v="928"/>
    <n v="206"/>
    <m/>
    <n v="63"/>
    <n v="105"/>
    <n v="46"/>
    <n v="49"/>
    <n v="56"/>
    <n v="1222"/>
    <n v="115"/>
    <n v="0"/>
    <n v="0"/>
  </r>
  <r>
    <n v="2019"/>
    <n v="12"/>
    <s v="12/01/2019"/>
    <x v="11"/>
    <s v="Male (M)"/>
    <s v="Non-Hispanic White"/>
    <s v="5-14 years"/>
    <n v="146"/>
    <n v="81"/>
    <m/>
    <n v="21"/>
    <n v="0"/>
    <n v="0"/>
    <m/>
    <m/>
    <m/>
    <n v="0"/>
    <m/>
    <m/>
    <m/>
    <n v="0"/>
    <n v="0"/>
  </r>
  <r>
    <n v="2019"/>
    <n v="12"/>
    <s v="12/01/2019"/>
    <x v="11"/>
    <s v="Male (M)"/>
    <s v="Non-Hispanic White"/>
    <s v="55-64 years"/>
    <n v="14085"/>
    <n v="12558"/>
    <n v="190"/>
    <n v="3695"/>
    <n v="580"/>
    <n v="32"/>
    <n v="212"/>
    <n v="678"/>
    <n v="150"/>
    <n v="180"/>
    <n v="115"/>
    <n v="3488"/>
    <n v="442"/>
    <n v="0"/>
    <n v="0"/>
  </r>
  <r>
    <n v="2019"/>
    <n v="12"/>
    <s v="12/01/2019"/>
    <x v="11"/>
    <s v="Male (M)"/>
    <s v="Non-Hispanic White"/>
    <s v="65-74 years"/>
    <n v="21451"/>
    <n v="20343"/>
    <n v="321"/>
    <n v="6231"/>
    <n v="875"/>
    <n v="246"/>
    <n v="342"/>
    <n v="1599"/>
    <n v="361"/>
    <n v="336"/>
    <n v="168"/>
    <n v="5268"/>
    <n v="741"/>
    <n v="0"/>
    <n v="0"/>
  </r>
  <r>
    <n v="2019"/>
    <n v="12"/>
    <s v="12/01/2019"/>
    <x v="11"/>
    <s v="Male (M)"/>
    <s v="Non-Hispanic White"/>
    <s v="75-84 years"/>
    <n v="25909"/>
    <n v="24901"/>
    <n v="377"/>
    <n v="5913"/>
    <n v="816"/>
    <n v="1016"/>
    <n v="464"/>
    <n v="1910"/>
    <n v="566"/>
    <n v="517"/>
    <n v="199"/>
    <n v="6519"/>
    <n v="1340"/>
    <n v="0"/>
    <n v="0"/>
  </r>
  <r>
    <n v="2019"/>
    <n v="12"/>
    <s v="12/01/2019"/>
    <x v="11"/>
    <s v="Male (M)"/>
    <s v="Non-Hispanic White"/>
    <s v="85 years and over"/>
    <n v="25792"/>
    <n v="24835"/>
    <n v="318"/>
    <n v="3680"/>
    <n v="549"/>
    <n v="1619"/>
    <n v="595"/>
    <n v="1392"/>
    <n v="435"/>
    <n v="501"/>
    <n v="308"/>
    <n v="7883"/>
    <n v="1496"/>
    <n v="0"/>
    <n v="0"/>
  </r>
  <r>
    <n v="2019"/>
    <n v="12"/>
    <s v="12/01/2019"/>
    <x v="11"/>
    <s v="Male (M)"/>
    <s v="Other"/>
    <s v="0-4 years"/>
    <n v="57"/>
    <n v="45"/>
    <m/>
    <n v="0"/>
    <n v="0"/>
    <n v="0"/>
    <m/>
    <n v="0"/>
    <m/>
    <n v="0"/>
    <n v="10"/>
    <n v="0"/>
    <n v="0"/>
    <n v="0"/>
    <n v="0"/>
  </r>
  <r>
    <n v="2019"/>
    <n v="12"/>
    <s v="12/01/2019"/>
    <x v="11"/>
    <s v="Male (M)"/>
    <s v="Other"/>
    <s v="15-24 years"/>
    <n v="52"/>
    <n v="13"/>
    <n v="0"/>
    <m/>
    <n v="0"/>
    <n v="0"/>
    <n v="0"/>
    <n v="0"/>
    <n v="0"/>
    <n v="0"/>
    <m/>
    <m/>
    <n v="0"/>
    <n v="0"/>
    <n v="0"/>
  </r>
  <r>
    <n v="2019"/>
    <n v="12"/>
    <s v="12/01/2019"/>
    <x v="11"/>
    <s v="Male (M)"/>
    <s v="Other"/>
    <s v="25-34 years"/>
    <n v="63"/>
    <n v="25"/>
    <n v="0"/>
    <m/>
    <m/>
    <n v="0"/>
    <n v="0"/>
    <n v="0"/>
    <n v="0"/>
    <n v="0"/>
    <m/>
    <m/>
    <n v="0"/>
    <n v="0"/>
    <n v="0"/>
  </r>
  <r>
    <n v="2019"/>
    <n v="12"/>
    <s v="12/01/2019"/>
    <x v="11"/>
    <s v="Male (M)"/>
    <s v="Other"/>
    <s v="35-44 years"/>
    <n v="70"/>
    <n v="35"/>
    <m/>
    <m/>
    <m/>
    <n v="0"/>
    <m/>
    <m/>
    <n v="0"/>
    <m/>
    <m/>
    <m/>
    <m/>
    <n v="0"/>
    <n v="0"/>
  </r>
  <r>
    <n v="2019"/>
    <n v="12"/>
    <s v="12/01/2019"/>
    <x v="11"/>
    <s v="Male (M)"/>
    <s v="Other"/>
    <s v="45-54 years"/>
    <n v="116"/>
    <n v="90"/>
    <n v="0"/>
    <n v="19"/>
    <m/>
    <n v="0"/>
    <m/>
    <m/>
    <m/>
    <m/>
    <m/>
    <n v="26"/>
    <m/>
    <n v="0"/>
    <n v="0"/>
  </r>
  <r>
    <n v="2019"/>
    <n v="12"/>
    <s v="12/01/2019"/>
    <x v="11"/>
    <s v="Male (M)"/>
    <s v="Other"/>
    <s v="5-14 years"/>
    <m/>
    <m/>
    <n v="0"/>
    <n v="0"/>
    <n v="0"/>
    <n v="0"/>
    <n v="0"/>
    <n v="0"/>
    <n v="0"/>
    <n v="0"/>
    <n v="0"/>
    <m/>
    <n v="0"/>
    <n v="0"/>
    <n v="0"/>
  </r>
  <r>
    <n v="2019"/>
    <n v="12"/>
    <s v="12/01/2019"/>
    <x v="11"/>
    <s v="Male (M)"/>
    <s v="Other"/>
    <s v="55-64 years"/>
    <n v="251"/>
    <n v="218"/>
    <m/>
    <n v="55"/>
    <n v="12"/>
    <n v="0"/>
    <m/>
    <m/>
    <m/>
    <m/>
    <m/>
    <n v="74"/>
    <n v="11"/>
    <n v="0"/>
    <n v="0"/>
  </r>
  <r>
    <n v="2019"/>
    <n v="12"/>
    <s v="12/01/2019"/>
    <x v="11"/>
    <s v="Male (M)"/>
    <s v="Other"/>
    <s v="65-74 years"/>
    <n v="270"/>
    <n v="256"/>
    <m/>
    <n v="53"/>
    <n v="14"/>
    <m/>
    <m/>
    <n v="24"/>
    <m/>
    <m/>
    <m/>
    <n v="76"/>
    <m/>
    <n v="0"/>
    <n v="0"/>
  </r>
  <r>
    <n v="2019"/>
    <n v="12"/>
    <s v="12/01/2019"/>
    <x v="11"/>
    <s v="Male (M)"/>
    <s v="Other"/>
    <s v="75-84 years"/>
    <n v="201"/>
    <n v="194"/>
    <m/>
    <n v="39"/>
    <n v="11"/>
    <m/>
    <m/>
    <n v="13"/>
    <m/>
    <m/>
    <m/>
    <n v="59"/>
    <n v="12"/>
    <n v="0"/>
    <n v="0"/>
  </r>
  <r>
    <n v="2019"/>
    <n v="12"/>
    <s v="12/01/2019"/>
    <x v="11"/>
    <s v="Male (M)"/>
    <s v="Other"/>
    <s v="85 years and over"/>
    <n v="150"/>
    <n v="143"/>
    <m/>
    <n v="30"/>
    <m/>
    <n v="12"/>
    <m/>
    <m/>
    <m/>
    <m/>
    <m/>
    <n v="40"/>
    <m/>
    <n v="0"/>
    <n v="0"/>
  </r>
  <r>
    <n v="2020"/>
    <n v="1"/>
    <s v="1/01/2020"/>
    <x v="12"/>
    <s v="Female (F)"/>
    <s v="Hispanic"/>
    <s v="0-4 years"/>
    <n v="196"/>
    <n v="179"/>
    <m/>
    <m/>
    <n v="0"/>
    <n v="0"/>
    <m/>
    <n v="0"/>
    <m/>
    <m/>
    <n v="14"/>
    <m/>
    <m/>
    <n v="0"/>
    <n v="0"/>
  </r>
  <r>
    <n v="2020"/>
    <n v="1"/>
    <s v="1/01/2020"/>
    <x v="12"/>
    <s v="Female (F)"/>
    <s v="Hispanic"/>
    <s v="15-24 years"/>
    <n v="143"/>
    <n v="57"/>
    <m/>
    <n v="12"/>
    <m/>
    <n v="0"/>
    <m/>
    <m/>
    <n v="0"/>
    <n v="0"/>
    <m/>
    <m/>
    <m/>
    <n v="0"/>
    <n v="0"/>
  </r>
  <r>
    <n v="2020"/>
    <n v="1"/>
    <s v="1/01/2020"/>
    <x v="12"/>
    <s v="Female (F)"/>
    <s v="Hispanic"/>
    <s v="25-34 years"/>
    <n v="209"/>
    <n v="117"/>
    <m/>
    <n v="29"/>
    <m/>
    <n v="0"/>
    <n v="11"/>
    <m/>
    <m/>
    <m/>
    <m/>
    <n v="10"/>
    <m/>
    <n v="0"/>
    <n v="0"/>
  </r>
  <r>
    <n v="2020"/>
    <n v="1"/>
    <s v="1/01/2020"/>
    <x v="12"/>
    <s v="Female (F)"/>
    <s v="Hispanic"/>
    <s v="35-44 years"/>
    <n v="331"/>
    <n v="258"/>
    <m/>
    <n v="90"/>
    <n v="18"/>
    <n v="0"/>
    <n v="18"/>
    <m/>
    <m/>
    <m/>
    <m/>
    <n v="28"/>
    <m/>
    <n v="0"/>
    <n v="0"/>
  </r>
  <r>
    <n v="2020"/>
    <n v="1"/>
    <s v="1/01/2020"/>
    <x v="12"/>
    <s v="Female (F)"/>
    <s v="Hispanic"/>
    <s v="45-54 years"/>
    <n v="631"/>
    <n v="556"/>
    <m/>
    <n v="228"/>
    <n v="33"/>
    <n v="0"/>
    <n v="31"/>
    <n v="12"/>
    <m/>
    <n v="12"/>
    <m/>
    <n v="71"/>
    <n v="24"/>
    <n v="0"/>
    <n v="0"/>
  </r>
  <r>
    <n v="2020"/>
    <n v="1"/>
    <s v="1/01/2020"/>
    <x v="12"/>
    <s v="Female (F)"/>
    <s v="Hispanic"/>
    <s v="5-14 years"/>
    <n v="64"/>
    <n v="39"/>
    <n v="0"/>
    <m/>
    <n v="0"/>
    <n v="0"/>
    <m/>
    <m/>
    <m/>
    <n v="0"/>
    <m/>
    <m/>
    <m/>
    <n v="0"/>
    <n v="0"/>
  </r>
  <r>
    <n v="2020"/>
    <n v="1"/>
    <s v="1/01/2020"/>
    <x v="12"/>
    <s v="Female (F)"/>
    <s v="Hispanic"/>
    <s v="55-64 years"/>
    <n v="1066"/>
    <n v="1007"/>
    <n v="20"/>
    <n v="384"/>
    <n v="60"/>
    <m/>
    <n v="35"/>
    <n v="24"/>
    <n v="19"/>
    <n v="27"/>
    <m/>
    <n v="160"/>
    <n v="41"/>
    <n v="0"/>
    <n v="0"/>
  </r>
  <r>
    <n v="2020"/>
    <n v="1"/>
    <s v="1/01/2020"/>
    <x v="12"/>
    <s v="Female (F)"/>
    <s v="Hispanic"/>
    <s v="65-74 years"/>
    <n v="1493"/>
    <n v="1453"/>
    <n v="26"/>
    <n v="423"/>
    <n v="103"/>
    <n v="30"/>
    <n v="45"/>
    <n v="40"/>
    <n v="39"/>
    <n v="42"/>
    <m/>
    <n v="294"/>
    <n v="87"/>
    <m/>
    <n v="0"/>
  </r>
  <r>
    <n v="2020"/>
    <n v="1"/>
    <s v="1/01/2020"/>
    <x v="12"/>
    <s v="Female (F)"/>
    <s v="Hispanic"/>
    <s v="75-84 years"/>
    <n v="2043"/>
    <n v="1982"/>
    <n v="30"/>
    <n v="421"/>
    <n v="130"/>
    <n v="135"/>
    <n v="54"/>
    <n v="73"/>
    <n v="47"/>
    <n v="32"/>
    <n v="14"/>
    <n v="481"/>
    <n v="126"/>
    <m/>
    <m/>
  </r>
  <r>
    <n v="2020"/>
    <n v="1"/>
    <s v="1/01/2020"/>
    <x v="12"/>
    <s v="Female (F)"/>
    <s v="Hispanic"/>
    <s v="85 years and over"/>
    <n v="2831"/>
    <n v="2765"/>
    <n v="36"/>
    <n v="249"/>
    <n v="99"/>
    <n v="342"/>
    <n v="81"/>
    <n v="117"/>
    <n v="51"/>
    <n v="55"/>
    <n v="25"/>
    <n v="735"/>
    <n v="267"/>
    <n v="0"/>
    <n v="0"/>
  </r>
  <r>
    <n v="2020"/>
    <n v="1"/>
    <s v="1/01/2020"/>
    <x v="12"/>
    <s v="Female (F)"/>
    <s v="Non-Hispanic American Indian or Alaska Native"/>
    <s v="0-4 years"/>
    <m/>
    <m/>
    <n v="0"/>
    <n v="0"/>
    <n v="0"/>
    <n v="0"/>
    <m/>
    <n v="0"/>
    <n v="0"/>
    <n v="0"/>
    <m/>
    <n v="0"/>
    <n v="0"/>
    <n v="0"/>
    <n v="0"/>
  </r>
  <r>
    <n v="2020"/>
    <n v="1"/>
    <s v="1/01/2020"/>
    <x v="12"/>
    <s v="Female (F)"/>
    <s v="Non-Hispanic American Indian or Alaska Native"/>
    <s v="15-24 years"/>
    <n v="17"/>
    <m/>
    <n v="0"/>
    <n v="0"/>
    <n v="0"/>
    <n v="0"/>
    <n v="0"/>
    <n v="0"/>
    <n v="0"/>
    <n v="0"/>
    <n v="0"/>
    <n v="0"/>
    <n v="0"/>
    <n v="0"/>
    <n v="0"/>
  </r>
  <r>
    <n v="2020"/>
    <n v="1"/>
    <s v="1/01/2020"/>
    <x v="12"/>
    <s v="Female (F)"/>
    <s v="Non-Hispanic American Indian or Alaska Native"/>
    <s v="25-34 years"/>
    <n v="34"/>
    <n v="17"/>
    <n v="0"/>
    <n v="0"/>
    <m/>
    <n v="0"/>
    <m/>
    <n v="0"/>
    <n v="0"/>
    <m/>
    <m/>
    <m/>
    <n v="0"/>
    <n v="0"/>
    <n v="0"/>
  </r>
  <r>
    <n v="2020"/>
    <n v="1"/>
    <s v="1/01/2020"/>
    <x v="12"/>
    <s v="Female (F)"/>
    <s v="Non-Hispanic American Indian or Alaska Native"/>
    <s v="35-44 years"/>
    <n v="51"/>
    <n v="38"/>
    <m/>
    <m/>
    <m/>
    <n v="0"/>
    <m/>
    <n v="0"/>
    <m/>
    <n v="0"/>
    <m/>
    <m/>
    <m/>
    <n v="0"/>
    <n v="0"/>
  </r>
  <r>
    <n v="2020"/>
    <n v="1"/>
    <s v="1/01/2020"/>
    <x v="12"/>
    <s v="Female (F)"/>
    <s v="Non-Hispanic American Indian or Alaska Native"/>
    <s v="45-54 years"/>
    <n v="72"/>
    <n v="65"/>
    <m/>
    <n v="14"/>
    <m/>
    <n v="0"/>
    <m/>
    <m/>
    <n v="0"/>
    <m/>
    <m/>
    <n v="14"/>
    <m/>
    <n v="0"/>
    <n v="0"/>
  </r>
  <r>
    <n v="2020"/>
    <n v="1"/>
    <s v="1/01/2020"/>
    <x v="12"/>
    <s v="Female (F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20"/>
    <n v="1"/>
    <s v="1/01/2020"/>
    <x v="12"/>
    <s v="Female (F)"/>
    <s v="Non-Hispanic American Indian or Alaska Native"/>
    <s v="55-64 years"/>
    <n v="143"/>
    <n v="136"/>
    <m/>
    <n v="31"/>
    <m/>
    <n v="0"/>
    <m/>
    <n v="10"/>
    <m/>
    <m/>
    <m/>
    <n v="18"/>
    <m/>
    <n v="0"/>
    <n v="0"/>
  </r>
  <r>
    <n v="2020"/>
    <n v="1"/>
    <s v="1/01/2020"/>
    <x v="12"/>
    <s v="Female (F)"/>
    <s v="Non-Hispanic American Indian or Alaska Native"/>
    <s v="65-74 years"/>
    <n v="149"/>
    <n v="142"/>
    <m/>
    <n v="33"/>
    <n v="10"/>
    <m/>
    <m/>
    <m/>
    <m/>
    <m/>
    <m/>
    <n v="27"/>
    <m/>
    <n v="0"/>
    <n v="0"/>
  </r>
  <r>
    <n v="2020"/>
    <n v="1"/>
    <s v="1/01/2020"/>
    <x v="12"/>
    <s v="Female (F)"/>
    <s v="Non-Hispanic American Indian or Alaska Native"/>
    <s v="75-84 years"/>
    <n v="172"/>
    <n v="167"/>
    <m/>
    <n v="35"/>
    <m/>
    <n v="12"/>
    <m/>
    <n v="13"/>
    <m/>
    <m/>
    <m/>
    <n v="33"/>
    <n v="11"/>
    <n v="0"/>
    <n v="0"/>
  </r>
  <r>
    <n v="2020"/>
    <n v="1"/>
    <s v="1/01/2020"/>
    <x v="12"/>
    <s v="Female (F)"/>
    <s v="Non-Hispanic American Indian or Alaska Native"/>
    <s v="85 years and over"/>
    <n v="148"/>
    <n v="143"/>
    <m/>
    <n v="22"/>
    <m/>
    <m/>
    <m/>
    <m/>
    <m/>
    <m/>
    <m/>
    <n v="33"/>
    <n v="10"/>
    <n v="0"/>
    <n v="0"/>
  </r>
  <r>
    <n v="2020"/>
    <n v="1"/>
    <s v="1/01/2020"/>
    <x v="12"/>
    <s v="Female (F)"/>
    <s v="Non-Hispanic Asian"/>
    <s v="0-4 years"/>
    <n v="26"/>
    <n v="26"/>
    <n v="0"/>
    <n v="0"/>
    <n v="0"/>
    <n v="0"/>
    <n v="0"/>
    <m/>
    <n v="0"/>
    <n v="0"/>
    <m/>
    <n v="0"/>
    <n v="0"/>
    <n v="0"/>
    <n v="0"/>
  </r>
  <r>
    <n v="2020"/>
    <n v="1"/>
    <s v="1/01/2020"/>
    <x v="12"/>
    <s v="Female (F)"/>
    <s v="Non-Hispanic Asian"/>
    <s v="15-24 years"/>
    <n v="26"/>
    <n v="13"/>
    <n v="0"/>
    <m/>
    <n v="0"/>
    <n v="0"/>
    <m/>
    <n v="0"/>
    <n v="0"/>
    <n v="0"/>
    <m/>
    <m/>
    <m/>
    <n v="0"/>
    <n v="0"/>
  </r>
  <r>
    <n v="2020"/>
    <n v="1"/>
    <s v="1/01/2020"/>
    <x v="12"/>
    <s v="Female (F)"/>
    <s v="Non-Hispanic Asian"/>
    <s v="25-34 years"/>
    <n v="36"/>
    <n v="27"/>
    <m/>
    <m/>
    <m/>
    <n v="0"/>
    <n v="0"/>
    <n v="0"/>
    <n v="0"/>
    <n v="0"/>
    <m/>
    <m/>
    <m/>
    <n v="0"/>
    <n v="0"/>
  </r>
  <r>
    <n v="2020"/>
    <n v="1"/>
    <s v="1/01/2020"/>
    <x v="12"/>
    <s v="Female (F)"/>
    <s v="Non-Hispanic Asian"/>
    <s v="35-44 years"/>
    <n v="53"/>
    <n v="36"/>
    <n v="0"/>
    <n v="17"/>
    <m/>
    <n v="0"/>
    <m/>
    <n v="0"/>
    <m/>
    <n v="0"/>
    <n v="0"/>
    <m/>
    <m/>
    <n v="0"/>
    <n v="0"/>
  </r>
  <r>
    <n v="2020"/>
    <n v="1"/>
    <s v="1/01/2020"/>
    <x v="12"/>
    <s v="Female (F)"/>
    <s v="Non-Hispanic Asian"/>
    <s v="45-54 years"/>
    <n v="133"/>
    <n v="123"/>
    <m/>
    <n v="66"/>
    <m/>
    <n v="0"/>
    <m/>
    <m/>
    <m/>
    <n v="0"/>
    <n v="0"/>
    <m/>
    <n v="12"/>
    <n v="0"/>
    <n v="0"/>
  </r>
  <r>
    <n v="2020"/>
    <n v="1"/>
    <s v="1/01/2020"/>
    <x v="12"/>
    <s v="Female (F)"/>
    <s v="Non-Hispanic Asian"/>
    <s v="5-14 years"/>
    <m/>
    <m/>
    <n v="0"/>
    <n v="0"/>
    <n v="0"/>
    <n v="0"/>
    <m/>
    <n v="0"/>
    <n v="0"/>
    <n v="0"/>
    <n v="0"/>
    <n v="0"/>
    <n v="0"/>
    <n v="0"/>
    <n v="0"/>
  </r>
  <r>
    <n v="2020"/>
    <n v="1"/>
    <s v="1/01/2020"/>
    <x v="12"/>
    <s v="Female (F)"/>
    <s v="Non-Hispanic Asian"/>
    <s v="55-64 years"/>
    <n v="261"/>
    <n v="246"/>
    <m/>
    <n v="115"/>
    <n v="11"/>
    <n v="0"/>
    <m/>
    <m/>
    <m/>
    <m/>
    <m/>
    <n v="30"/>
    <n v="18"/>
    <n v="0"/>
    <n v="0"/>
  </r>
  <r>
    <n v="2020"/>
    <n v="1"/>
    <s v="1/01/2020"/>
    <x v="12"/>
    <s v="Female (F)"/>
    <s v="Non-Hispanic Asian"/>
    <s v="65-74 years"/>
    <n v="564"/>
    <n v="550"/>
    <m/>
    <n v="205"/>
    <n v="38"/>
    <m/>
    <n v="12"/>
    <m/>
    <n v="11"/>
    <m/>
    <n v="0"/>
    <n v="97"/>
    <n v="38"/>
    <m/>
    <m/>
  </r>
  <r>
    <n v="2020"/>
    <n v="1"/>
    <s v="1/01/2020"/>
    <x v="12"/>
    <s v="Female (F)"/>
    <s v="Non-Hispanic Asian"/>
    <s v="75-84 years"/>
    <n v="749"/>
    <n v="727"/>
    <n v="10"/>
    <n v="179"/>
    <n v="30"/>
    <n v="30"/>
    <n v="28"/>
    <n v="21"/>
    <m/>
    <n v="22"/>
    <m/>
    <n v="170"/>
    <n v="60"/>
    <n v="0"/>
    <n v="0"/>
  </r>
  <r>
    <n v="2020"/>
    <n v="1"/>
    <s v="1/01/2020"/>
    <x v="12"/>
    <s v="Female (F)"/>
    <s v="Non-Hispanic Asian"/>
    <s v="85 years and over"/>
    <n v="1528"/>
    <n v="1489"/>
    <n v="12"/>
    <n v="155"/>
    <n v="43"/>
    <n v="159"/>
    <n v="65"/>
    <n v="44"/>
    <n v="24"/>
    <n v="33"/>
    <n v="16"/>
    <n v="362"/>
    <n v="164"/>
    <n v="0"/>
    <n v="0"/>
  </r>
  <r>
    <n v="2020"/>
    <n v="1"/>
    <s v="1/01/2020"/>
    <x v="12"/>
    <s v="Female (F)"/>
    <s v="Non-Hispanic Black"/>
    <s v="0-4 years"/>
    <n v="265"/>
    <n v="239"/>
    <m/>
    <m/>
    <n v="0"/>
    <n v="0"/>
    <m/>
    <n v="0"/>
    <m/>
    <n v="0"/>
    <n v="44"/>
    <m/>
    <m/>
    <n v="0"/>
    <n v="0"/>
  </r>
  <r>
    <n v="2020"/>
    <n v="1"/>
    <s v="1/01/2020"/>
    <x v="12"/>
    <s v="Female (F)"/>
    <s v="Non-Hispanic Black"/>
    <s v="15-24 years"/>
    <n v="143"/>
    <n v="59"/>
    <m/>
    <m/>
    <m/>
    <n v="0"/>
    <m/>
    <m/>
    <m/>
    <m/>
    <m/>
    <m/>
    <m/>
    <n v="0"/>
    <n v="0"/>
  </r>
  <r>
    <n v="2020"/>
    <n v="1"/>
    <s v="1/01/2020"/>
    <x v="12"/>
    <s v="Female (F)"/>
    <s v="Non-Hispanic Black"/>
    <s v="25-34 years"/>
    <n v="323"/>
    <n v="200"/>
    <m/>
    <n v="36"/>
    <m/>
    <n v="0"/>
    <m/>
    <m/>
    <m/>
    <m/>
    <n v="16"/>
    <n v="40"/>
    <n v="10"/>
    <n v="0"/>
    <n v="0"/>
  </r>
  <r>
    <n v="2020"/>
    <n v="1"/>
    <s v="1/01/2020"/>
    <x v="12"/>
    <s v="Female (F)"/>
    <s v="Non-Hispanic Black"/>
    <s v="35-44 years"/>
    <n v="576"/>
    <n v="455"/>
    <m/>
    <n v="94"/>
    <n v="30"/>
    <n v="0"/>
    <n v="20"/>
    <n v="10"/>
    <m/>
    <m/>
    <n v="15"/>
    <n v="100"/>
    <n v="24"/>
    <n v="0"/>
    <n v="0"/>
  </r>
  <r>
    <n v="2020"/>
    <n v="1"/>
    <s v="1/01/2020"/>
    <x v="12"/>
    <s v="Female (F)"/>
    <s v="Non-Hispanic Black"/>
    <s v="45-54 years"/>
    <n v="1179"/>
    <n v="1050"/>
    <n v="18"/>
    <n v="299"/>
    <n v="55"/>
    <m/>
    <n v="40"/>
    <n v="16"/>
    <n v="17"/>
    <n v="24"/>
    <n v="14"/>
    <n v="239"/>
    <n v="66"/>
    <n v="0"/>
    <n v="0"/>
  </r>
  <r>
    <n v="2020"/>
    <n v="1"/>
    <s v="1/01/2020"/>
    <x v="12"/>
    <s v="Female (F)"/>
    <s v="Non-Hispanic Black"/>
    <s v="5-14 years"/>
    <n v="33"/>
    <n v="24"/>
    <n v="0"/>
    <m/>
    <m/>
    <n v="0"/>
    <m/>
    <m/>
    <m/>
    <n v="0"/>
    <m/>
    <m/>
    <n v="0"/>
    <n v="0"/>
    <n v="0"/>
  </r>
  <r>
    <n v="2020"/>
    <n v="1"/>
    <s v="1/01/2020"/>
    <x v="12"/>
    <s v="Female (F)"/>
    <s v="Non-Hispanic Black"/>
    <s v="55-64 years"/>
    <n v="2494"/>
    <n v="2334"/>
    <n v="67"/>
    <n v="731"/>
    <n v="133"/>
    <m/>
    <n v="62"/>
    <n v="108"/>
    <n v="36"/>
    <n v="69"/>
    <n v="24"/>
    <n v="550"/>
    <n v="114"/>
    <n v="0"/>
    <n v="0"/>
  </r>
  <r>
    <n v="2020"/>
    <n v="1"/>
    <s v="1/01/2020"/>
    <x v="12"/>
    <s v="Female (F)"/>
    <s v="Non-Hispanic Black"/>
    <s v="65-74 years"/>
    <n v="3194"/>
    <n v="3112"/>
    <n v="71"/>
    <n v="879"/>
    <n v="178"/>
    <n v="45"/>
    <n v="70"/>
    <n v="143"/>
    <n v="54"/>
    <n v="114"/>
    <n v="23"/>
    <n v="744"/>
    <n v="212"/>
    <n v="0"/>
    <n v="0"/>
  </r>
  <r>
    <n v="2020"/>
    <n v="1"/>
    <s v="1/01/2020"/>
    <x v="12"/>
    <s v="Female (F)"/>
    <s v="Non-Hispanic Black"/>
    <s v="75-84 years"/>
    <n v="3264"/>
    <n v="3206"/>
    <n v="63"/>
    <n v="653"/>
    <n v="172"/>
    <n v="163"/>
    <n v="57"/>
    <n v="135"/>
    <n v="38"/>
    <n v="130"/>
    <n v="24"/>
    <n v="788"/>
    <n v="269"/>
    <m/>
    <m/>
  </r>
  <r>
    <n v="2020"/>
    <n v="1"/>
    <s v="1/01/2020"/>
    <x v="12"/>
    <s v="Female (F)"/>
    <s v="Non-Hispanic Black"/>
    <s v="85 years and over"/>
    <n v="3786"/>
    <n v="3728"/>
    <n v="52"/>
    <n v="404"/>
    <n v="109"/>
    <n v="377"/>
    <n v="76"/>
    <n v="136"/>
    <n v="38"/>
    <n v="109"/>
    <n v="53"/>
    <n v="1033"/>
    <n v="358"/>
    <n v="0"/>
    <n v="0"/>
  </r>
  <r>
    <n v="2020"/>
    <n v="1"/>
    <s v="1/01/2020"/>
    <x v="12"/>
    <s v="Female (F)"/>
    <s v="Non-Hispanic White"/>
    <s v="0-4 years"/>
    <n v="416"/>
    <n v="376"/>
    <m/>
    <m/>
    <n v="0"/>
    <n v="0"/>
    <m/>
    <m/>
    <m/>
    <n v="0"/>
    <n v="35"/>
    <n v="12"/>
    <m/>
    <n v="0"/>
    <n v="0"/>
  </r>
  <r>
    <n v="2020"/>
    <n v="1"/>
    <s v="1/01/2020"/>
    <x v="12"/>
    <s v="Female (F)"/>
    <s v="Non-Hispanic White"/>
    <s v="15-24 years"/>
    <n v="360"/>
    <n v="133"/>
    <m/>
    <n v="26"/>
    <m/>
    <n v="0"/>
    <m/>
    <m/>
    <m/>
    <m/>
    <m/>
    <n v="16"/>
    <m/>
    <n v="0"/>
    <n v="0"/>
  </r>
  <r>
    <n v="2020"/>
    <n v="1"/>
    <s v="1/01/2020"/>
    <x v="12"/>
    <s v="Female (F)"/>
    <s v="Non-Hispanic White"/>
    <s v="25-34 years"/>
    <n v="937"/>
    <n v="431"/>
    <m/>
    <n v="104"/>
    <n v="13"/>
    <n v="0"/>
    <n v="33"/>
    <m/>
    <m/>
    <m/>
    <n v="33"/>
    <n v="48"/>
    <n v="10"/>
    <n v="0"/>
    <n v="0"/>
  </r>
  <r>
    <n v="2020"/>
    <n v="1"/>
    <s v="1/01/2020"/>
    <x v="12"/>
    <s v="Female (F)"/>
    <s v="Non-Hispanic White"/>
    <s v="35-44 years"/>
    <n v="1637"/>
    <n v="1034"/>
    <n v="27"/>
    <n v="272"/>
    <n v="46"/>
    <n v="0"/>
    <n v="59"/>
    <n v="24"/>
    <n v="14"/>
    <n v="13"/>
    <n v="33"/>
    <n v="163"/>
    <n v="35"/>
    <n v="0"/>
    <n v="0"/>
  </r>
  <r>
    <n v="2020"/>
    <n v="1"/>
    <s v="1/01/2020"/>
    <x v="12"/>
    <s v="Female (F)"/>
    <s v="Non-Hispanic White"/>
    <s v="45-54 years"/>
    <n v="3460"/>
    <n v="2894"/>
    <n v="55"/>
    <n v="987"/>
    <n v="115"/>
    <m/>
    <n v="89"/>
    <n v="127"/>
    <n v="43"/>
    <n v="30"/>
    <n v="58"/>
    <n v="458"/>
    <n v="104"/>
    <m/>
    <m/>
  </r>
  <r>
    <n v="2020"/>
    <n v="1"/>
    <s v="1/01/2020"/>
    <x v="12"/>
    <s v="Female (F)"/>
    <s v="Non-Hispanic White"/>
    <s v="5-14 years"/>
    <n v="93"/>
    <n v="58"/>
    <n v="0"/>
    <n v="15"/>
    <m/>
    <n v="0"/>
    <m/>
    <n v="0"/>
    <m/>
    <n v="0"/>
    <m/>
    <m/>
    <m/>
    <n v="0"/>
    <n v="0"/>
  </r>
  <r>
    <n v="2020"/>
    <n v="1"/>
    <s v="1/01/2020"/>
    <x v="12"/>
    <s v="Female (F)"/>
    <s v="Non-Hispanic White"/>
    <s v="55-64 years"/>
    <n v="9383"/>
    <n v="8720"/>
    <n v="164"/>
    <n v="3166"/>
    <n v="310"/>
    <n v="59"/>
    <n v="244"/>
    <n v="734"/>
    <n v="141"/>
    <n v="119"/>
    <n v="95"/>
    <n v="1506"/>
    <n v="320"/>
    <n v="0"/>
    <n v="0"/>
  </r>
  <r>
    <n v="2020"/>
    <n v="1"/>
    <s v="1/01/2020"/>
    <x v="12"/>
    <s v="Female (F)"/>
    <s v="Non-Hispanic White"/>
    <s v="65-74 years"/>
    <n v="16881"/>
    <n v="16342"/>
    <n v="296"/>
    <n v="5187"/>
    <n v="551"/>
    <n v="358"/>
    <n v="409"/>
    <n v="1709"/>
    <n v="381"/>
    <n v="308"/>
    <n v="127"/>
    <n v="3000"/>
    <n v="734"/>
    <n v="0"/>
    <n v="0"/>
  </r>
  <r>
    <n v="2020"/>
    <n v="1"/>
    <s v="1/01/2020"/>
    <x v="12"/>
    <s v="Female (F)"/>
    <s v="Non-Hispanic White"/>
    <s v="75-84 years"/>
    <n v="24512"/>
    <n v="23831"/>
    <n v="365"/>
    <n v="5218"/>
    <n v="607"/>
    <n v="1530"/>
    <n v="606"/>
    <n v="2408"/>
    <n v="533"/>
    <n v="488"/>
    <n v="217"/>
    <n v="4887"/>
    <n v="1503"/>
    <n v="0"/>
    <n v="0"/>
  </r>
  <r>
    <n v="2020"/>
    <n v="1"/>
    <s v="1/01/2020"/>
    <x v="12"/>
    <s v="Female (F)"/>
    <s v="Non-Hispanic White"/>
    <s v="85 years and over"/>
    <n v="41564"/>
    <n v="40372"/>
    <n v="450"/>
    <n v="3874"/>
    <n v="623"/>
    <n v="4310"/>
    <n v="1113"/>
    <n v="2252"/>
    <n v="606"/>
    <n v="653"/>
    <n v="616"/>
    <n v="11453"/>
    <n v="3285"/>
    <m/>
    <m/>
  </r>
  <r>
    <n v="2020"/>
    <n v="1"/>
    <s v="1/01/2020"/>
    <x v="12"/>
    <s v="Female (F)"/>
    <s v="Other"/>
    <s v="0-4 years"/>
    <n v="58"/>
    <n v="53"/>
    <n v="0"/>
    <m/>
    <n v="0"/>
    <n v="0"/>
    <m/>
    <n v="0"/>
    <n v="0"/>
    <n v="0"/>
    <m/>
    <m/>
    <n v="0"/>
    <n v="0"/>
    <n v="0"/>
  </r>
  <r>
    <n v="2020"/>
    <n v="1"/>
    <s v="1/01/2020"/>
    <x v="12"/>
    <s v="Female (F)"/>
    <s v="Other"/>
    <s v="15-24 years"/>
    <n v="18"/>
    <m/>
    <n v="0"/>
    <n v="0"/>
    <n v="0"/>
    <n v="0"/>
    <n v="0"/>
    <n v="0"/>
    <n v="0"/>
    <n v="0"/>
    <m/>
    <m/>
    <n v="0"/>
    <n v="0"/>
    <n v="0"/>
  </r>
  <r>
    <n v="2020"/>
    <n v="1"/>
    <s v="1/01/2020"/>
    <x v="12"/>
    <s v="Female (F)"/>
    <s v="Other"/>
    <s v="25-34 years"/>
    <n v="41"/>
    <n v="17"/>
    <n v="0"/>
    <m/>
    <n v="0"/>
    <n v="0"/>
    <m/>
    <m/>
    <n v="0"/>
    <n v="0"/>
    <m/>
    <m/>
    <n v="0"/>
    <n v="0"/>
    <n v="0"/>
  </r>
  <r>
    <n v="2020"/>
    <n v="1"/>
    <s v="1/01/2020"/>
    <x v="12"/>
    <s v="Female (F)"/>
    <s v="Other"/>
    <s v="35-44 years"/>
    <n v="55"/>
    <n v="38"/>
    <n v="0"/>
    <n v="12"/>
    <m/>
    <n v="0"/>
    <m/>
    <m/>
    <n v="0"/>
    <m/>
    <n v="0"/>
    <m/>
    <n v="0"/>
    <n v="0"/>
    <n v="0"/>
  </r>
  <r>
    <n v="2020"/>
    <n v="1"/>
    <s v="1/01/2020"/>
    <x v="12"/>
    <s v="Female (F)"/>
    <s v="Other"/>
    <s v="45-54 years"/>
    <n v="81"/>
    <n v="65"/>
    <m/>
    <n v="16"/>
    <m/>
    <n v="0"/>
    <m/>
    <m/>
    <n v="0"/>
    <n v="0"/>
    <m/>
    <n v="13"/>
    <m/>
    <n v="0"/>
    <n v="0"/>
  </r>
  <r>
    <n v="2020"/>
    <n v="1"/>
    <s v="1/01/2020"/>
    <x v="12"/>
    <s v="Female (F)"/>
    <s v="Other"/>
    <s v="5-14 years"/>
    <m/>
    <m/>
    <n v="0"/>
    <m/>
    <n v="0"/>
    <n v="0"/>
    <m/>
    <n v="0"/>
    <n v="0"/>
    <n v="0"/>
    <n v="0"/>
    <m/>
    <n v="0"/>
    <n v="0"/>
    <n v="0"/>
  </r>
  <r>
    <n v="2020"/>
    <n v="1"/>
    <s v="1/01/2020"/>
    <x v="12"/>
    <s v="Female (F)"/>
    <s v="Other"/>
    <s v="55-64 years"/>
    <n v="161"/>
    <n v="148"/>
    <m/>
    <n v="45"/>
    <m/>
    <n v="0"/>
    <m/>
    <m/>
    <m/>
    <m/>
    <m/>
    <n v="32"/>
    <m/>
    <n v="0"/>
    <n v="0"/>
  </r>
  <r>
    <n v="2020"/>
    <n v="1"/>
    <s v="1/01/2020"/>
    <x v="12"/>
    <s v="Female (F)"/>
    <s v="Other"/>
    <s v="65-74 years"/>
    <n v="195"/>
    <n v="189"/>
    <m/>
    <n v="62"/>
    <n v="13"/>
    <m/>
    <m/>
    <n v="12"/>
    <m/>
    <m/>
    <m/>
    <n v="36"/>
    <m/>
    <n v="0"/>
    <n v="0"/>
  </r>
  <r>
    <n v="2020"/>
    <n v="1"/>
    <s v="1/01/2020"/>
    <x v="12"/>
    <s v="Female (F)"/>
    <s v="Other"/>
    <s v="75-84 years"/>
    <n v="177"/>
    <n v="172"/>
    <m/>
    <n v="33"/>
    <m/>
    <m/>
    <m/>
    <n v="10"/>
    <m/>
    <m/>
    <n v="0"/>
    <n v="43"/>
    <n v="11"/>
    <n v="0"/>
    <n v="0"/>
  </r>
  <r>
    <n v="2020"/>
    <n v="1"/>
    <s v="1/01/2020"/>
    <x v="12"/>
    <s v="Female (F)"/>
    <s v="Other"/>
    <s v="85 years and over"/>
    <n v="197"/>
    <n v="193"/>
    <m/>
    <n v="16"/>
    <n v="12"/>
    <n v="11"/>
    <m/>
    <n v="13"/>
    <m/>
    <m/>
    <m/>
    <n v="48"/>
    <n v="16"/>
    <n v="0"/>
    <n v="0"/>
  </r>
  <r>
    <n v="2020"/>
    <n v="1"/>
    <s v="1/01/2020"/>
    <x v="12"/>
    <s v="Male (M)"/>
    <s v="Hispanic"/>
    <s v="0-4 years"/>
    <n v="248"/>
    <n v="223"/>
    <m/>
    <m/>
    <n v="0"/>
    <n v="0"/>
    <m/>
    <m/>
    <m/>
    <n v="0"/>
    <n v="33"/>
    <m/>
    <m/>
    <n v="0"/>
    <n v="0"/>
  </r>
  <r>
    <n v="2020"/>
    <n v="1"/>
    <s v="1/01/2020"/>
    <x v="12"/>
    <s v="Male (M)"/>
    <s v="Hispanic"/>
    <s v="15-24 years"/>
    <n v="443"/>
    <n v="83"/>
    <m/>
    <n v="18"/>
    <m/>
    <n v="0"/>
    <m/>
    <m/>
    <n v="0"/>
    <n v="0"/>
    <m/>
    <n v="14"/>
    <m/>
    <n v="0"/>
    <n v="0"/>
  </r>
  <r>
    <n v="2020"/>
    <n v="1"/>
    <s v="1/01/2020"/>
    <x v="12"/>
    <s v="Male (M)"/>
    <s v="Hispanic"/>
    <s v="25-34 years"/>
    <n v="627"/>
    <n v="206"/>
    <n v="0"/>
    <n v="31"/>
    <m/>
    <n v="0"/>
    <n v="17"/>
    <m/>
    <m/>
    <m/>
    <n v="11"/>
    <n v="36"/>
    <m/>
    <n v="0"/>
    <n v="0"/>
  </r>
  <r>
    <n v="2020"/>
    <n v="1"/>
    <s v="1/01/2020"/>
    <x v="12"/>
    <s v="Male (M)"/>
    <s v="Hispanic"/>
    <s v="35-44 years"/>
    <n v="754"/>
    <n v="399"/>
    <n v="11"/>
    <n v="67"/>
    <n v="21"/>
    <n v="0"/>
    <n v="22"/>
    <m/>
    <m/>
    <m/>
    <m/>
    <n v="86"/>
    <n v="19"/>
    <n v="0"/>
    <n v="0"/>
  </r>
  <r>
    <n v="2020"/>
    <n v="1"/>
    <s v="1/01/2020"/>
    <x v="12"/>
    <s v="Male (M)"/>
    <s v="Hispanic"/>
    <s v="45-54 years"/>
    <n v="1124"/>
    <n v="864"/>
    <m/>
    <n v="183"/>
    <n v="59"/>
    <n v="0"/>
    <n v="32"/>
    <m/>
    <n v="10"/>
    <n v="25"/>
    <n v="23"/>
    <n v="197"/>
    <n v="47"/>
    <n v="0"/>
    <n v="0"/>
  </r>
  <r>
    <n v="2020"/>
    <n v="1"/>
    <s v="1/01/2020"/>
    <x v="12"/>
    <s v="Male (M)"/>
    <s v="Hispanic"/>
    <s v="5-14 years"/>
    <n v="66"/>
    <n v="45"/>
    <n v="0"/>
    <n v="10"/>
    <n v="0"/>
    <n v="0"/>
    <m/>
    <n v="0"/>
    <m/>
    <m/>
    <m/>
    <m/>
    <n v="0"/>
    <n v="0"/>
    <n v="0"/>
  </r>
  <r>
    <n v="2020"/>
    <n v="1"/>
    <s v="1/01/2020"/>
    <x v="12"/>
    <s v="Male (M)"/>
    <s v="Hispanic"/>
    <s v="55-64 years"/>
    <n v="1889"/>
    <n v="1662"/>
    <n v="23"/>
    <n v="417"/>
    <n v="123"/>
    <m/>
    <n v="58"/>
    <n v="29"/>
    <n v="28"/>
    <n v="53"/>
    <n v="18"/>
    <n v="419"/>
    <n v="73"/>
    <n v="0"/>
    <n v="0"/>
  </r>
  <r>
    <n v="2020"/>
    <n v="1"/>
    <s v="1/01/2020"/>
    <x v="12"/>
    <s v="Male (M)"/>
    <s v="Hispanic"/>
    <s v="65-74 years"/>
    <n v="2110"/>
    <n v="2012"/>
    <n v="26"/>
    <n v="593"/>
    <n v="141"/>
    <n v="22"/>
    <n v="59"/>
    <n v="62"/>
    <n v="42"/>
    <n v="54"/>
    <n v="12"/>
    <n v="492"/>
    <n v="95"/>
    <n v="0"/>
    <n v="0"/>
  </r>
  <r>
    <n v="2020"/>
    <n v="1"/>
    <s v="1/01/2020"/>
    <x v="12"/>
    <s v="Male (M)"/>
    <s v="Hispanic"/>
    <s v="75-84 years"/>
    <n v="2094"/>
    <n v="2015"/>
    <n v="27"/>
    <n v="426"/>
    <n v="106"/>
    <n v="74"/>
    <n v="65"/>
    <n v="89"/>
    <n v="58"/>
    <n v="53"/>
    <m/>
    <n v="561"/>
    <n v="137"/>
    <n v="0"/>
    <n v="0"/>
  </r>
  <r>
    <n v="2020"/>
    <n v="1"/>
    <s v="1/01/2020"/>
    <x v="12"/>
    <s v="Male (M)"/>
    <s v="Hispanic"/>
    <s v="85 years and over"/>
    <n v="1883"/>
    <n v="1825"/>
    <n v="28"/>
    <n v="245"/>
    <n v="75"/>
    <n v="153"/>
    <n v="70"/>
    <n v="96"/>
    <n v="37"/>
    <n v="41"/>
    <n v="15"/>
    <n v="512"/>
    <n v="146"/>
    <n v="0"/>
    <n v="0"/>
  </r>
  <r>
    <n v="2020"/>
    <n v="1"/>
    <s v="1/01/2020"/>
    <x v="12"/>
    <s v="Male (M)"/>
    <s v="Non-Hispanic American Indian or Alaska Native"/>
    <s v="0-4 years"/>
    <n v="16"/>
    <n v="14"/>
    <n v="0"/>
    <n v="0"/>
    <n v="0"/>
    <n v="0"/>
    <m/>
    <n v="0"/>
    <n v="0"/>
    <n v="0"/>
    <m/>
    <m/>
    <n v="0"/>
    <n v="0"/>
    <n v="0"/>
  </r>
  <r>
    <n v="2020"/>
    <n v="1"/>
    <s v="1/01/2020"/>
    <x v="12"/>
    <s v="Male (M)"/>
    <s v="Non-Hispanic American Indian or Alaska Native"/>
    <s v="15-24 years"/>
    <n v="19"/>
    <m/>
    <n v="0"/>
    <m/>
    <n v="0"/>
    <n v="0"/>
    <n v="0"/>
    <n v="0"/>
    <n v="0"/>
    <n v="0"/>
    <n v="0"/>
    <m/>
    <n v="0"/>
    <n v="0"/>
    <n v="0"/>
  </r>
  <r>
    <n v="2020"/>
    <n v="1"/>
    <s v="1/01/2020"/>
    <x v="12"/>
    <s v="Male (M)"/>
    <s v="Non-Hispanic American Indian or Alaska Native"/>
    <s v="25-34 years"/>
    <n v="63"/>
    <n v="32"/>
    <m/>
    <m/>
    <m/>
    <n v="0"/>
    <m/>
    <n v="0"/>
    <n v="0"/>
    <n v="0"/>
    <m/>
    <m/>
    <n v="0"/>
    <n v="0"/>
    <n v="0"/>
  </r>
  <r>
    <n v="2020"/>
    <n v="1"/>
    <s v="1/01/2020"/>
    <x v="12"/>
    <s v="Male (M)"/>
    <s v="Non-Hispanic American Indian or Alaska Native"/>
    <s v="35-44 years"/>
    <n v="86"/>
    <n v="51"/>
    <m/>
    <m/>
    <m/>
    <n v="0"/>
    <m/>
    <m/>
    <m/>
    <m/>
    <m/>
    <m/>
    <n v="0"/>
    <n v="0"/>
    <n v="0"/>
  </r>
  <r>
    <n v="2020"/>
    <n v="1"/>
    <s v="1/01/2020"/>
    <x v="12"/>
    <s v="Male (M)"/>
    <s v="Non-Hispanic American Indian or Alaska Native"/>
    <s v="45-54 years"/>
    <n v="110"/>
    <n v="81"/>
    <m/>
    <n v="10"/>
    <m/>
    <n v="0"/>
    <m/>
    <n v="0"/>
    <n v="0"/>
    <m/>
    <m/>
    <n v="20"/>
    <m/>
    <n v="0"/>
    <n v="0"/>
  </r>
  <r>
    <n v="2020"/>
    <n v="1"/>
    <s v="1/01/2020"/>
    <x v="12"/>
    <s v="Male (M)"/>
    <s v="Non-Hispanic American Indian or Alaska Native"/>
    <s v="5-14 years"/>
    <m/>
    <m/>
    <n v="0"/>
    <n v="0"/>
    <n v="0"/>
    <n v="0"/>
    <m/>
    <m/>
    <n v="0"/>
    <n v="0"/>
    <n v="0"/>
    <n v="0"/>
    <n v="0"/>
    <n v="0"/>
    <n v="0"/>
  </r>
  <r>
    <n v="2020"/>
    <n v="1"/>
    <s v="1/01/2020"/>
    <x v="12"/>
    <s v="Male (M)"/>
    <s v="Non-Hispanic American Indian or Alaska Native"/>
    <s v="55-64 years"/>
    <n v="179"/>
    <n v="154"/>
    <m/>
    <n v="38"/>
    <n v="15"/>
    <n v="0"/>
    <m/>
    <m/>
    <m/>
    <m/>
    <m/>
    <n v="35"/>
    <m/>
    <n v="0"/>
    <n v="0"/>
  </r>
  <r>
    <n v="2020"/>
    <n v="1"/>
    <s v="1/01/2020"/>
    <x v="12"/>
    <s v="Male (M)"/>
    <s v="Non-Hispanic American Indian or Alaska Native"/>
    <s v="65-74 years"/>
    <n v="192"/>
    <n v="185"/>
    <m/>
    <n v="46"/>
    <n v="22"/>
    <m/>
    <m/>
    <n v="16"/>
    <m/>
    <m/>
    <m/>
    <n v="50"/>
    <m/>
    <n v="0"/>
    <n v="0"/>
  </r>
  <r>
    <n v="2020"/>
    <n v="1"/>
    <s v="1/01/2020"/>
    <x v="12"/>
    <s v="Male (M)"/>
    <s v="Non-Hispanic American Indian or Alaska Native"/>
    <s v="75-84 years"/>
    <n v="160"/>
    <n v="155"/>
    <m/>
    <n v="31"/>
    <n v="11"/>
    <m/>
    <m/>
    <n v="10"/>
    <m/>
    <m/>
    <n v="0"/>
    <n v="39"/>
    <m/>
    <n v="0"/>
    <n v="0"/>
  </r>
  <r>
    <n v="2020"/>
    <n v="1"/>
    <s v="1/01/2020"/>
    <x v="12"/>
    <s v="Male (M)"/>
    <s v="Non-Hispanic American Indian or Alaska Native"/>
    <s v="85 years and over"/>
    <n v="86"/>
    <n v="85"/>
    <m/>
    <n v="15"/>
    <m/>
    <m/>
    <m/>
    <m/>
    <m/>
    <m/>
    <n v="0"/>
    <n v="20"/>
    <m/>
    <n v="0"/>
    <n v="0"/>
  </r>
  <r>
    <n v="2020"/>
    <n v="1"/>
    <s v="1/01/2020"/>
    <x v="12"/>
    <s v="Male (M)"/>
    <s v="Non-Hispanic Asian"/>
    <s v="0-4 years"/>
    <n v="32"/>
    <n v="30"/>
    <m/>
    <n v="0"/>
    <n v="0"/>
    <n v="0"/>
    <n v="0"/>
    <n v="0"/>
    <n v="0"/>
    <n v="0"/>
    <m/>
    <m/>
    <n v="0"/>
    <n v="0"/>
    <n v="0"/>
  </r>
  <r>
    <n v="2020"/>
    <n v="1"/>
    <s v="1/01/2020"/>
    <x v="12"/>
    <s v="Male (M)"/>
    <s v="Non-Hispanic Asian"/>
    <s v="15-24 years"/>
    <n v="43"/>
    <n v="14"/>
    <m/>
    <m/>
    <n v="0"/>
    <n v="0"/>
    <m/>
    <n v="0"/>
    <n v="0"/>
    <n v="0"/>
    <m/>
    <m/>
    <m/>
    <n v="0"/>
    <n v="0"/>
  </r>
  <r>
    <n v="2020"/>
    <n v="1"/>
    <s v="1/01/2020"/>
    <x v="12"/>
    <s v="Male (M)"/>
    <s v="Non-Hispanic Asian"/>
    <s v="25-34 years"/>
    <n v="92"/>
    <n v="48"/>
    <n v="0"/>
    <m/>
    <n v="0"/>
    <n v="0"/>
    <m/>
    <n v="0"/>
    <n v="0"/>
    <m/>
    <m/>
    <n v="16"/>
    <m/>
    <n v="0"/>
    <n v="0"/>
  </r>
  <r>
    <n v="2020"/>
    <n v="1"/>
    <s v="1/01/2020"/>
    <x v="12"/>
    <s v="Male (M)"/>
    <s v="Non-Hispanic Asian"/>
    <s v="35-44 years"/>
    <n v="124"/>
    <n v="87"/>
    <m/>
    <n v="23"/>
    <m/>
    <n v="0"/>
    <m/>
    <m/>
    <m/>
    <m/>
    <m/>
    <n v="22"/>
    <m/>
    <n v="0"/>
    <n v="0"/>
  </r>
  <r>
    <n v="2020"/>
    <n v="1"/>
    <s v="1/01/2020"/>
    <x v="12"/>
    <s v="Male (M)"/>
    <s v="Non-Hispanic Asian"/>
    <s v="45-54 years"/>
    <n v="211"/>
    <n v="182"/>
    <m/>
    <n v="44"/>
    <m/>
    <n v="0"/>
    <m/>
    <m/>
    <n v="0"/>
    <m/>
    <m/>
    <n v="60"/>
    <m/>
    <n v="0"/>
    <n v="0"/>
  </r>
  <r>
    <n v="2020"/>
    <n v="1"/>
    <s v="1/01/2020"/>
    <x v="12"/>
    <s v="Male (M)"/>
    <s v="Non-Hispanic Asian"/>
    <s v="5-14 years"/>
    <m/>
    <m/>
    <n v="0"/>
    <n v="0"/>
    <n v="0"/>
    <n v="0"/>
    <n v="0"/>
    <n v="0"/>
    <n v="0"/>
    <n v="0"/>
    <n v="0"/>
    <n v="0"/>
    <n v="0"/>
    <n v="0"/>
    <n v="0"/>
  </r>
  <r>
    <n v="2020"/>
    <n v="1"/>
    <s v="1/01/2020"/>
    <x v="12"/>
    <s v="Male (M)"/>
    <s v="Non-Hispanic Asian"/>
    <s v="55-64 years"/>
    <n v="431"/>
    <n v="405"/>
    <m/>
    <n v="147"/>
    <n v="20"/>
    <m/>
    <n v="12"/>
    <m/>
    <m/>
    <m/>
    <m/>
    <n v="94"/>
    <n v="27"/>
    <n v="0"/>
    <n v="0"/>
  </r>
  <r>
    <n v="2020"/>
    <n v="1"/>
    <s v="1/01/2020"/>
    <x v="12"/>
    <s v="Male (M)"/>
    <s v="Non-Hispanic Asian"/>
    <s v="65-74 years"/>
    <n v="714"/>
    <n v="682"/>
    <m/>
    <n v="229"/>
    <n v="36"/>
    <m/>
    <n v="32"/>
    <n v="15"/>
    <n v="13"/>
    <n v="26"/>
    <m/>
    <n v="162"/>
    <n v="46"/>
    <n v="0"/>
    <n v="0"/>
  </r>
  <r>
    <n v="2020"/>
    <n v="1"/>
    <s v="1/01/2020"/>
    <x v="12"/>
    <s v="Male (M)"/>
    <s v="Non-Hispanic Asian"/>
    <s v="75-84 years"/>
    <n v="850"/>
    <n v="818"/>
    <n v="11"/>
    <n v="216"/>
    <n v="47"/>
    <n v="20"/>
    <n v="32"/>
    <n v="37"/>
    <n v="28"/>
    <n v="17"/>
    <m/>
    <n v="179"/>
    <n v="70"/>
    <n v="0"/>
    <n v="0"/>
  </r>
  <r>
    <n v="2020"/>
    <n v="1"/>
    <s v="1/01/2020"/>
    <x v="12"/>
    <s v="Male (M)"/>
    <s v="Non-Hispanic Asian"/>
    <s v="85 years and over"/>
    <n v="940"/>
    <n v="920"/>
    <n v="13"/>
    <n v="133"/>
    <n v="29"/>
    <n v="63"/>
    <n v="45"/>
    <n v="48"/>
    <n v="23"/>
    <n v="25"/>
    <m/>
    <n v="250"/>
    <n v="65"/>
    <n v="0"/>
    <n v="0"/>
  </r>
  <r>
    <n v="2020"/>
    <n v="1"/>
    <s v="1/01/2020"/>
    <x v="12"/>
    <s v="Male (M)"/>
    <s v="Non-Hispanic Black"/>
    <s v="0-4 years"/>
    <n v="295"/>
    <n v="263"/>
    <m/>
    <m/>
    <n v="0"/>
    <n v="0"/>
    <n v="11"/>
    <n v="0"/>
    <m/>
    <n v="0"/>
    <n v="51"/>
    <m/>
    <n v="0"/>
    <n v="0"/>
    <n v="0"/>
  </r>
  <r>
    <n v="2020"/>
    <n v="1"/>
    <s v="1/01/2020"/>
    <x v="12"/>
    <s v="Male (M)"/>
    <s v="Non-Hispanic Black"/>
    <s v="15-24 years"/>
    <n v="494"/>
    <n v="93"/>
    <n v="0"/>
    <m/>
    <m/>
    <n v="0"/>
    <m/>
    <m/>
    <m/>
    <n v="0"/>
    <m/>
    <n v="15"/>
    <n v="0"/>
    <n v="0"/>
    <n v="0"/>
  </r>
  <r>
    <n v="2020"/>
    <n v="1"/>
    <s v="1/01/2020"/>
    <x v="12"/>
    <s v="Male (M)"/>
    <s v="Non-Hispanic Black"/>
    <s v="25-34 years"/>
    <n v="743"/>
    <n v="234"/>
    <m/>
    <n v="16"/>
    <n v="19"/>
    <n v="0"/>
    <m/>
    <m/>
    <n v="0"/>
    <m/>
    <n v="11"/>
    <n v="54"/>
    <m/>
    <n v="0"/>
    <n v="0"/>
  </r>
  <r>
    <n v="2020"/>
    <n v="1"/>
    <s v="1/01/2020"/>
    <x v="12"/>
    <s v="Male (M)"/>
    <s v="Non-Hispanic Black"/>
    <s v="35-44 years"/>
    <n v="982"/>
    <n v="567"/>
    <n v="11"/>
    <n v="68"/>
    <n v="44"/>
    <n v="0"/>
    <n v="26"/>
    <m/>
    <m/>
    <n v="10"/>
    <n v="14"/>
    <n v="197"/>
    <n v="20"/>
    <n v="0"/>
    <n v="0"/>
  </r>
  <r>
    <n v="2020"/>
    <n v="1"/>
    <s v="1/01/2020"/>
    <x v="12"/>
    <s v="Male (M)"/>
    <s v="Non-Hispanic Black"/>
    <s v="45-54 years"/>
    <n v="1642"/>
    <n v="1273"/>
    <n v="24"/>
    <n v="210"/>
    <n v="96"/>
    <m/>
    <n v="40"/>
    <n v="23"/>
    <m/>
    <n v="45"/>
    <n v="20"/>
    <n v="428"/>
    <n v="69"/>
    <n v="0"/>
    <n v="0"/>
  </r>
  <r>
    <n v="2020"/>
    <n v="1"/>
    <s v="1/01/2020"/>
    <x v="12"/>
    <s v="Male (M)"/>
    <s v="Non-Hispanic Black"/>
    <s v="5-14 years"/>
    <n v="56"/>
    <n v="34"/>
    <n v="0"/>
    <m/>
    <n v="0"/>
    <n v="0"/>
    <m/>
    <m/>
    <m/>
    <n v="0"/>
    <m/>
    <m/>
    <m/>
    <n v="0"/>
    <n v="0"/>
  </r>
  <r>
    <n v="2020"/>
    <n v="1"/>
    <s v="1/01/2020"/>
    <x v="12"/>
    <s v="Male (M)"/>
    <s v="Non-Hispanic Black"/>
    <s v="55-64 years"/>
    <n v="3547"/>
    <n v="3148"/>
    <n v="72"/>
    <n v="743"/>
    <n v="173"/>
    <m/>
    <n v="80"/>
    <n v="112"/>
    <n v="39"/>
    <n v="96"/>
    <n v="51"/>
    <n v="965"/>
    <n v="174"/>
    <n v="0"/>
    <n v="0"/>
  </r>
  <r>
    <n v="2020"/>
    <n v="1"/>
    <s v="1/01/2020"/>
    <x v="12"/>
    <s v="Male (M)"/>
    <s v="Non-Hispanic Black"/>
    <s v="65-74 years"/>
    <n v="4086"/>
    <n v="3891"/>
    <n v="70"/>
    <n v="1005"/>
    <n v="175"/>
    <n v="37"/>
    <n v="72"/>
    <n v="178"/>
    <n v="56"/>
    <n v="112"/>
    <n v="38"/>
    <n v="1164"/>
    <n v="244"/>
    <m/>
    <m/>
  </r>
  <r>
    <n v="2020"/>
    <n v="1"/>
    <s v="1/01/2020"/>
    <x v="12"/>
    <s v="Male (M)"/>
    <s v="Non-Hispanic Black"/>
    <s v="75-84 years"/>
    <n v="3043"/>
    <n v="2982"/>
    <n v="61"/>
    <n v="689"/>
    <n v="147"/>
    <n v="80"/>
    <n v="68"/>
    <n v="139"/>
    <n v="46"/>
    <n v="116"/>
    <n v="21"/>
    <n v="765"/>
    <n v="220"/>
    <n v="0"/>
    <n v="0"/>
  </r>
  <r>
    <n v="2020"/>
    <n v="1"/>
    <s v="1/01/2020"/>
    <x v="12"/>
    <s v="Male (M)"/>
    <s v="Non-Hispanic Black"/>
    <s v="85 years and over"/>
    <n v="1897"/>
    <n v="1849"/>
    <n v="37"/>
    <n v="311"/>
    <n v="72"/>
    <n v="114"/>
    <n v="48"/>
    <n v="76"/>
    <n v="24"/>
    <n v="57"/>
    <n v="18"/>
    <n v="521"/>
    <n v="126"/>
    <n v="0"/>
    <n v="0"/>
  </r>
  <r>
    <n v="2020"/>
    <n v="1"/>
    <s v="1/01/2020"/>
    <x v="12"/>
    <s v="Male (M)"/>
    <s v="Non-Hispanic White"/>
    <s v="0-4 years"/>
    <n v="464"/>
    <n v="408"/>
    <m/>
    <m/>
    <n v="0"/>
    <n v="0"/>
    <n v="15"/>
    <n v="0"/>
    <m/>
    <m/>
    <n v="51"/>
    <n v="10"/>
    <m/>
    <n v="0"/>
    <n v="0"/>
  </r>
  <r>
    <n v="2020"/>
    <n v="1"/>
    <s v="1/01/2020"/>
    <x v="12"/>
    <s v="Male (M)"/>
    <s v="Non-Hispanic White"/>
    <s v="15-24 years"/>
    <n v="841"/>
    <n v="189"/>
    <m/>
    <n v="32"/>
    <n v="13"/>
    <n v="0"/>
    <m/>
    <m/>
    <m/>
    <m/>
    <n v="17"/>
    <n v="23"/>
    <m/>
    <n v="0"/>
    <n v="0"/>
  </r>
  <r>
    <n v="2020"/>
    <n v="1"/>
    <s v="1/01/2020"/>
    <x v="12"/>
    <s v="Male (M)"/>
    <s v="Non-Hispanic White"/>
    <s v="25-34 years"/>
    <n v="2047"/>
    <n v="566"/>
    <m/>
    <n v="84"/>
    <n v="26"/>
    <n v="0"/>
    <n v="29"/>
    <m/>
    <m/>
    <m/>
    <n v="37"/>
    <n v="103"/>
    <n v="17"/>
    <n v="0"/>
    <n v="0"/>
  </r>
  <r>
    <n v="2020"/>
    <n v="1"/>
    <s v="1/01/2020"/>
    <x v="12"/>
    <s v="Male (M)"/>
    <s v="Non-Hispanic White"/>
    <s v="35-44 years"/>
    <n v="2846"/>
    <n v="1378"/>
    <n v="25"/>
    <n v="266"/>
    <n v="81"/>
    <n v="0"/>
    <n v="37"/>
    <n v="13"/>
    <n v="17"/>
    <n v="13"/>
    <n v="49"/>
    <n v="345"/>
    <n v="48"/>
    <n v="0"/>
    <n v="0"/>
  </r>
  <r>
    <n v="2020"/>
    <n v="1"/>
    <s v="1/01/2020"/>
    <x v="12"/>
    <s v="Male (M)"/>
    <s v="Non-Hispanic White"/>
    <s v="45-54 years"/>
    <n v="5665"/>
    <n v="4227"/>
    <n v="83"/>
    <n v="973"/>
    <n v="200"/>
    <n v="0"/>
    <n v="108"/>
    <n v="100"/>
    <n v="50"/>
    <n v="59"/>
    <n v="86"/>
    <n v="1187"/>
    <n v="147"/>
    <n v="0"/>
    <n v="0"/>
  </r>
  <r>
    <n v="2020"/>
    <n v="1"/>
    <s v="1/01/2020"/>
    <x v="12"/>
    <s v="Male (M)"/>
    <s v="Non-Hispanic White"/>
    <s v="5-14 years"/>
    <n v="127"/>
    <n v="55"/>
    <n v="0"/>
    <n v="12"/>
    <m/>
    <n v="0"/>
    <m/>
    <m/>
    <m/>
    <n v="0"/>
    <m/>
    <m/>
    <m/>
    <n v="0"/>
    <n v="0"/>
  </r>
  <r>
    <n v="2020"/>
    <n v="1"/>
    <s v="1/01/2020"/>
    <x v="12"/>
    <s v="Male (M)"/>
    <s v="Non-Hispanic White"/>
    <s v="55-64 years"/>
    <n v="14450"/>
    <n v="12858"/>
    <n v="206"/>
    <n v="3823"/>
    <n v="527"/>
    <n v="35"/>
    <n v="275"/>
    <n v="709"/>
    <n v="196"/>
    <n v="159"/>
    <n v="132"/>
    <n v="3573"/>
    <n v="428"/>
    <n v="0"/>
    <n v="0"/>
  </r>
  <r>
    <n v="2020"/>
    <n v="1"/>
    <s v="1/01/2020"/>
    <x v="12"/>
    <s v="Male (M)"/>
    <s v="Non-Hispanic White"/>
    <s v="65-74 years"/>
    <n v="22652"/>
    <n v="21562"/>
    <n v="315"/>
    <n v="6491"/>
    <n v="907"/>
    <n v="245"/>
    <n v="468"/>
    <n v="1718"/>
    <n v="438"/>
    <n v="376"/>
    <n v="187"/>
    <n v="5524"/>
    <n v="830"/>
    <n v="0"/>
    <n v="0"/>
  </r>
  <r>
    <n v="2020"/>
    <n v="1"/>
    <s v="1/01/2020"/>
    <x v="12"/>
    <s v="Male (M)"/>
    <s v="Non-Hispanic White"/>
    <s v="75-84 years"/>
    <n v="26703"/>
    <n v="25648"/>
    <n v="410"/>
    <n v="6125"/>
    <n v="822"/>
    <n v="966"/>
    <n v="664"/>
    <n v="2143"/>
    <n v="625"/>
    <n v="540"/>
    <n v="219"/>
    <n v="6519"/>
    <n v="1349"/>
    <n v="0"/>
    <n v="0"/>
  </r>
  <r>
    <n v="2020"/>
    <n v="1"/>
    <s v="1/01/2020"/>
    <x v="12"/>
    <s v="Male (M)"/>
    <s v="Non-Hispanic White"/>
    <s v="85 years and over"/>
    <n v="26452"/>
    <n v="25517"/>
    <n v="306"/>
    <n v="3718"/>
    <n v="513"/>
    <n v="1631"/>
    <n v="763"/>
    <n v="1519"/>
    <n v="496"/>
    <n v="589"/>
    <n v="286"/>
    <n v="7987"/>
    <n v="1564"/>
    <m/>
    <n v="0"/>
  </r>
  <r>
    <n v="2020"/>
    <n v="1"/>
    <s v="1/01/2020"/>
    <x v="12"/>
    <s v="Male (M)"/>
    <s v="Other"/>
    <s v="0-4 years"/>
    <n v="52"/>
    <n v="44"/>
    <n v="0"/>
    <n v="0"/>
    <n v="0"/>
    <n v="0"/>
    <n v="0"/>
    <n v="0"/>
    <m/>
    <n v="0"/>
    <m/>
    <m/>
    <n v="0"/>
    <n v="0"/>
    <n v="0"/>
  </r>
  <r>
    <n v="2020"/>
    <n v="1"/>
    <s v="1/01/2020"/>
    <x v="12"/>
    <s v="Male (M)"/>
    <s v="Other"/>
    <s v="15-24 years"/>
    <n v="42"/>
    <m/>
    <n v="0"/>
    <m/>
    <n v="0"/>
    <n v="0"/>
    <n v="0"/>
    <n v="0"/>
    <n v="0"/>
    <n v="0"/>
    <n v="0"/>
    <m/>
    <n v="0"/>
    <n v="0"/>
    <n v="0"/>
  </r>
  <r>
    <n v="2020"/>
    <n v="1"/>
    <s v="1/01/2020"/>
    <x v="12"/>
    <s v="Male (M)"/>
    <s v="Other"/>
    <s v="25-34 years"/>
    <n v="61"/>
    <n v="30"/>
    <n v="0"/>
    <m/>
    <n v="0"/>
    <n v="0"/>
    <m/>
    <n v="0"/>
    <n v="0"/>
    <n v="0"/>
    <m/>
    <m/>
    <m/>
    <n v="0"/>
    <n v="0"/>
  </r>
  <r>
    <n v="2020"/>
    <n v="1"/>
    <s v="1/01/2020"/>
    <x v="12"/>
    <s v="Male (M)"/>
    <s v="Other"/>
    <s v="35-44 years"/>
    <n v="84"/>
    <n v="52"/>
    <m/>
    <n v="11"/>
    <m/>
    <n v="0"/>
    <m/>
    <m/>
    <n v="0"/>
    <m/>
    <m/>
    <n v="12"/>
    <m/>
    <n v="0"/>
    <n v="0"/>
  </r>
  <r>
    <n v="2020"/>
    <n v="1"/>
    <s v="1/01/2020"/>
    <x v="12"/>
    <s v="Male (M)"/>
    <s v="Other"/>
    <s v="45-54 years"/>
    <n v="98"/>
    <n v="73"/>
    <n v="0"/>
    <n v="10"/>
    <m/>
    <n v="0"/>
    <m/>
    <m/>
    <m/>
    <m/>
    <m/>
    <n v="27"/>
    <m/>
    <n v="0"/>
    <n v="0"/>
  </r>
  <r>
    <n v="2020"/>
    <n v="1"/>
    <s v="1/01/2020"/>
    <x v="12"/>
    <s v="Male (M)"/>
    <s v="Other"/>
    <s v="5-14 years"/>
    <n v="10"/>
    <m/>
    <m/>
    <m/>
    <n v="0"/>
    <n v="0"/>
    <m/>
    <n v="0"/>
    <n v="0"/>
    <n v="0"/>
    <n v="0"/>
    <n v="0"/>
    <n v="0"/>
    <n v="0"/>
    <n v="0"/>
  </r>
  <r>
    <n v="2020"/>
    <n v="1"/>
    <s v="1/01/2020"/>
    <x v="12"/>
    <s v="Male (M)"/>
    <s v="Other"/>
    <s v="55-64 years"/>
    <n v="247"/>
    <n v="215"/>
    <m/>
    <n v="46"/>
    <m/>
    <m/>
    <m/>
    <m/>
    <m/>
    <m/>
    <m/>
    <n v="75"/>
    <n v="14"/>
    <n v="0"/>
    <n v="0"/>
  </r>
  <r>
    <n v="2020"/>
    <n v="1"/>
    <s v="1/01/2020"/>
    <x v="12"/>
    <s v="Male (M)"/>
    <s v="Other"/>
    <s v="65-74 years"/>
    <n v="296"/>
    <n v="273"/>
    <m/>
    <n v="60"/>
    <n v="15"/>
    <m/>
    <m/>
    <n v="17"/>
    <m/>
    <m/>
    <m/>
    <n v="87"/>
    <n v="10"/>
    <n v="0"/>
    <n v="0"/>
  </r>
  <r>
    <n v="2020"/>
    <n v="1"/>
    <s v="1/01/2020"/>
    <x v="12"/>
    <s v="Male (M)"/>
    <s v="Other"/>
    <s v="75-84 years"/>
    <n v="219"/>
    <n v="211"/>
    <m/>
    <n v="45"/>
    <m/>
    <m/>
    <n v="11"/>
    <n v="17"/>
    <m/>
    <m/>
    <m/>
    <n v="62"/>
    <n v="14"/>
    <n v="0"/>
    <n v="0"/>
  </r>
  <r>
    <n v="2020"/>
    <n v="1"/>
    <s v="1/01/2020"/>
    <x v="12"/>
    <s v="Male (M)"/>
    <s v="Other"/>
    <s v="85 years and over"/>
    <n v="117"/>
    <n v="113"/>
    <m/>
    <n v="17"/>
    <m/>
    <m/>
    <m/>
    <m/>
    <m/>
    <m/>
    <m/>
    <n v="38"/>
    <m/>
    <n v="0"/>
    <n v="0"/>
  </r>
  <r>
    <n v="2020"/>
    <n v="2"/>
    <s v="2/01/2020"/>
    <x v="13"/>
    <s v="Female (F)"/>
    <s v="Hispanic"/>
    <s v="0-4 years"/>
    <n v="212"/>
    <n v="203"/>
    <m/>
    <m/>
    <n v="0"/>
    <n v="0"/>
    <m/>
    <n v="0"/>
    <m/>
    <n v="0"/>
    <n v="23"/>
    <m/>
    <n v="0"/>
    <n v="0"/>
    <n v="0"/>
  </r>
  <r>
    <n v="2020"/>
    <n v="2"/>
    <s v="2/01/2020"/>
    <x v="13"/>
    <s v="Female (F)"/>
    <s v="Hispanic"/>
    <s v="15-24 years"/>
    <n v="119"/>
    <n v="45"/>
    <n v="0"/>
    <m/>
    <m/>
    <n v="0"/>
    <m/>
    <m/>
    <m/>
    <m/>
    <m/>
    <m/>
    <m/>
    <n v="0"/>
    <n v="0"/>
  </r>
  <r>
    <n v="2020"/>
    <n v="2"/>
    <s v="2/01/2020"/>
    <x v="13"/>
    <s v="Female (F)"/>
    <s v="Hispanic"/>
    <s v="25-34 years"/>
    <n v="209"/>
    <n v="120"/>
    <m/>
    <n v="37"/>
    <m/>
    <n v="0"/>
    <m/>
    <m/>
    <m/>
    <n v="0"/>
    <n v="10"/>
    <n v="15"/>
    <m/>
    <n v="0"/>
    <n v="0"/>
  </r>
  <r>
    <n v="2020"/>
    <n v="2"/>
    <s v="2/01/2020"/>
    <x v="13"/>
    <s v="Female (F)"/>
    <s v="Hispanic"/>
    <s v="35-44 years"/>
    <n v="341"/>
    <n v="247"/>
    <m/>
    <n v="94"/>
    <n v="10"/>
    <n v="0"/>
    <n v="15"/>
    <m/>
    <m/>
    <m/>
    <n v="10"/>
    <n v="34"/>
    <m/>
    <n v="0"/>
    <n v="0"/>
  </r>
  <r>
    <n v="2020"/>
    <n v="2"/>
    <s v="2/01/2020"/>
    <x v="13"/>
    <s v="Female (F)"/>
    <s v="Hispanic"/>
    <s v="45-54 years"/>
    <n v="530"/>
    <n v="467"/>
    <m/>
    <n v="195"/>
    <n v="26"/>
    <m/>
    <n v="18"/>
    <m/>
    <m/>
    <m/>
    <m/>
    <n v="52"/>
    <n v="30"/>
    <n v="0"/>
    <n v="0"/>
  </r>
  <r>
    <n v="2020"/>
    <n v="2"/>
    <s v="2/01/2020"/>
    <x v="13"/>
    <s v="Female (F)"/>
    <s v="Hispanic"/>
    <s v="5-14 years"/>
    <n v="40"/>
    <n v="27"/>
    <n v="0"/>
    <n v="12"/>
    <n v="0"/>
    <n v="0"/>
    <m/>
    <n v="0"/>
    <m/>
    <n v="0"/>
    <n v="0"/>
    <m/>
    <n v="0"/>
    <n v="0"/>
    <n v="0"/>
  </r>
  <r>
    <n v="2020"/>
    <n v="2"/>
    <s v="2/01/2020"/>
    <x v="13"/>
    <s v="Female (F)"/>
    <s v="Hispanic"/>
    <s v="55-64 years"/>
    <n v="994"/>
    <n v="940"/>
    <n v="13"/>
    <n v="311"/>
    <n v="79"/>
    <m/>
    <n v="37"/>
    <n v="25"/>
    <n v="26"/>
    <n v="26"/>
    <m/>
    <n v="147"/>
    <n v="43"/>
    <m/>
    <n v="0"/>
  </r>
  <r>
    <n v="2020"/>
    <n v="2"/>
    <s v="2/01/2020"/>
    <x v="13"/>
    <s v="Female (F)"/>
    <s v="Hispanic"/>
    <s v="65-74 years"/>
    <n v="1379"/>
    <n v="1334"/>
    <n v="18"/>
    <n v="408"/>
    <n v="108"/>
    <n v="21"/>
    <n v="48"/>
    <n v="39"/>
    <n v="24"/>
    <n v="39"/>
    <m/>
    <n v="274"/>
    <n v="65"/>
    <n v="0"/>
    <n v="0"/>
  </r>
  <r>
    <n v="2020"/>
    <n v="2"/>
    <s v="2/01/2020"/>
    <x v="13"/>
    <s v="Female (F)"/>
    <s v="Hispanic"/>
    <s v="75-84 years"/>
    <n v="1945"/>
    <n v="1909"/>
    <n v="25"/>
    <n v="406"/>
    <n v="120"/>
    <n v="139"/>
    <n v="52"/>
    <n v="79"/>
    <n v="49"/>
    <n v="44"/>
    <n v="10"/>
    <n v="431"/>
    <n v="145"/>
    <n v="0"/>
    <n v="0"/>
  </r>
  <r>
    <n v="2020"/>
    <n v="2"/>
    <s v="2/01/2020"/>
    <x v="13"/>
    <s v="Female (F)"/>
    <s v="Hispanic"/>
    <s v="85 years and over"/>
    <n v="2622"/>
    <n v="2570"/>
    <n v="23"/>
    <n v="247"/>
    <n v="90"/>
    <n v="352"/>
    <n v="79"/>
    <n v="112"/>
    <n v="40"/>
    <n v="60"/>
    <n v="23"/>
    <n v="654"/>
    <n v="243"/>
    <n v="0"/>
    <n v="0"/>
  </r>
  <r>
    <n v="2020"/>
    <n v="2"/>
    <s v="2/01/2020"/>
    <x v="13"/>
    <s v="Female (F)"/>
    <s v="Non-Hispanic American Indian or Alaska Native"/>
    <s v="0-4 years"/>
    <m/>
    <m/>
    <n v="0"/>
    <n v="0"/>
    <n v="0"/>
    <n v="0"/>
    <m/>
    <n v="0"/>
    <n v="0"/>
    <n v="0"/>
    <n v="0"/>
    <n v="0"/>
    <n v="0"/>
    <n v="0"/>
    <n v="0"/>
  </r>
  <r>
    <n v="2020"/>
    <n v="2"/>
    <s v="2/01/2020"/>
    <x v="13"/>
    <s v="Female (F)"/>
    <s v="Non-Hispanic American Indian or Alaska Native"/>
    <s v="15-24 years"/>
    <m/>
    <m/>
    <n v="0"/>
    <n v="0"/>
    <n v="0"/>
    <n v="0"/>
    <n v="0"/>
    <n v="0"/>
    <n v="0"/>
    <n v="0"/>
    <n v="0"/>
    <n v="0"/>
    <m/>
    <n v="0"/>
    <n v="0"/>
  </r>
  <r>
    <n v="2020"/>
    <n v="2"/>
    <s v="2/01/2020"/>
    <x v="13"/>
    <s v="Female (F)"/>
    <s v="Non-Hispanic American Indian or Alaska Native"/>
    <s v="25-34 years"/>
    <n v="35"/>
    <n v="15"/>
    <m/>
    <m/>
    <m/>
    <n v="0"/>
    <n v="0"/>
    <n v="0"/>
    <n v="0"/>
    <n v="0"/>
    <n v="0"/>
    <m/>
    <n v="0"/>
    <n v="0"/>
    <n v="0"/>
  </r>
  <r>
    <n v="2020"/>
    <n v="2"/>
    <s v="2/01/2020"/>
    <x v="13"/>
    <s v="Female (F)"/>
    <s v="Non-Hispanic American Indian or Alaska Native"/>
    <s v="35-44 years"/>
    <n v="37"/>
    <n v="23"/>
    <m/>
    <m/>
    <m/>
    <n v="0"/>
    <n v="0"/>
    <n v="0"/>
    <n v="0"/>
    <n v="0"/>
    <m/>
    <m/>
    <m/>
    <n v="0"/>
    <n v="0"/>
  </r>
  <r>
    <n v="2020"/>
    <n v="2"/>
    <s v="2/01/2020"/>
    <x v="13"/>
    <s v="Female (F)"/>
    <s v="Non-Hispanic American Indian or Alaska Native"/>
    <s v="45-54 years"/>
    <n v="65"/>
    <n v="51"/>
    <m/>
    <m/>
    <m/>
    <n v="0"/>
    <m/>
    <m/>
    <n v="0"/>
    <n v="0"/>
    <m/>
    <m/>
    <m/>
    <n v="0"/>
    <n v="0"/>
  </r>
  <r>
    <n v="2020"/>
    <n v="2"/>
    <s v="2/01/2020"/>
    <x v="13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20"/>
    <n v="2"/>
    <s v="2/01/2020"/>
    <x v="13"/>
    <s v="Female (F)"/>
    <s v="Non-Hispanic American Indian or Alaska Native"/>
    <s v="55-64 years"/>
    <n v="125"/>
    <n v="118"/>
    <m/>
    <n v="28"/>
    <m/>
    <n v="0"/>
    <m/>
    <m/>
    <m/>
    <m/>
    <m/>
    <n v="16"/>
    <m/>
    <n v="0"/>
    <n v="0"/>
  </r>
  <r>
    <n v="2020"/>
    <n v="2"/>
    <s v="2/01/2020"/>
    <x v="13"/>
    <s v="Female (F)"/>
    <s v="Non-Hispanic American Indian or Alaska Native"/>
    <s v="65-74 years"/>
    <n v="125"/>
    <n v="121"/>
    <m/>
    <n v="30"/>
    <n v="12"/>
    <m/>
    <m/>
    <m/>
    <m/>
    <m/>
    <m/>
    <n v="17"/>
    <m/>
    <n v="0"/>
    <n v="0"/>
  </r>
  <r>
    <n v="2020"/>
    <n v="2"/>
    <s v="2/01/2020"/>
    <x v="13"/>
    <s v="Female (F)"/>
    <s v="Non-Hispanic American Indian or Alaska Native"/>
    <s v="75-84 years"/>
    <n v="143"/>
    <n v="139"/>
    <m/>
    <n v="27"/>
    <n v="11"/>
    <m/>
    <m/>
    <n v="13"/>
    <m/>
    <m/>
    <m/>
    <n v="22"/>
    <m/>
    <n v="0"/>
    <n v="0"/>
  </r>
  <r>
    <n v="2020"/>
    <n v="2"/>
    <s v="2/01/2020"/>
    <x v="13"/>
    <s v="Female (F)"/>
    <s v="Non-Hispanic American Indian or Alaska Native"/>
    <s v="85 years and over"/>
    <n v="123"/>
    <n v="119"/>
    <m/>
    <n v="14"/>
    <m/>
    <n v="11"/>
    <m/>
    <m/>
    <m/>
    <m/>
    <m/>
    <n v="26"/>
    <m/>
    <n v="0"/>
    <n v="0"/>
  </r>
  <r>
    <n v="2020"/>
    <n v="2"/>
    <s v="2/01/2020"/>
    <x v="13"/>
    <s v="Female (F)"/>
    <s v="Non-Hispanic Asian"/>
    <s v="0-4 years"/>
    <n v="32"/>
    <n v="31"/>
    <n v="0"/>
    <n v="0"/>
    <n v="0"/>
    <n v="0"/>
    <m/>
    <n v="0"/>
    <m/>
    <m/>
    <m/>
    <m/>
    <m/>
    <n v="0"/>
    <n v="0"/>
  </r>
  <r>
    <n v="2020"/>
    <n v="2"/>
    <s v="2/01/2020"/>
    <x v="13"/>
    <s v="Female (F)"/>
    <s v="Non-Hispanic Asian"/>
    <s v="15-24 years"/>
    <n v="30"/>
    <n v="14"/>
    <m/>
    <m/>
    <m/>
    <n v="0"/>
    <m/>
    <n v="0"/>
    <n v="0"/>
    <n v="0"/>
    <n v="0"/>
    <m/>
    <n v="0"/>
    <n v="0"/>
    <n v="0"/>
  </r>
  <r>
    <n v="2020"/>
    <n v="2"/>
    <s v="2/01/2020"/>
    <x v="13"/>
    <s v="Female (F)"/>
    <s v="Non-Hispanic Asian"/>
    <s v="25-34 years"/>
    <n v="38"/>
    <n v="22"/>
    <n v="0"/>
    <m/>
    <n v="0"/>
    <n v="0"/>
    <n v="0"/>
    <n v="0"/>
    <n v="0"/>
    <m/>
    <m/>
    <m/>
    <n v="0"/>
    <n v="0"/>
    <n v="0"/>
  </r>
  <r>
    <n v="2020"/>
    <n v="2"/>
    <s v="2/01/2020"/>
    <x v="13"/>
    <s v="Female (F)"/>
    <s v="Non-Hispanic Asian"/>
    <s v="35-44 years"/>
    <n v="68"/>
    <n v="58"/>
    <m/>
    <n v="30"/>
    <m/>
    <n v="0"/>
    <m/>
    <n v="0"/>
    <n v="0"/>
    <n v="0"/>
    <m/>
    <m/>
    <m/>
    <n v="0"/>
    <n v="0"/>
  </r>
  <r>
    <n v="2020"/>
    <n v="2"/>
    <s v="2/01/2020"/>
    <x v="13"/>
    <s v="Female (F)"/>
    <s v="Non-Hispanic Asian"/>
    <s v="45-54 years"/>
    <n v="132"/>
    <n v="123"/>
    <m/>
    <n v="72"/>
    <m/>
    <m/>
    <m/>
    <n v="0"/>
    <n v="0"/>
    <m/>
    <m/>
    <m/>
    <n v="10"/>
    <n v="0"/>
    <n v="0"/>
  </r>
  <r>
    <n v="2020"/>
    <n v="2"/>
    <s v="2/01/2020"/>
    <x v="13"/>
    <s v="Female (F)"/>
    <s v="Non-Hispanic Asian"/>
    <s v="5-14 years"/>
    <m/>
    <m/>
    <n v="0"/>
    <m/>
    <n v="0"/>
    <n v="0"/>
    <m/>
    <n v="0"/>
    <n v="0"/>
    <n v="0"/>
    <n v="0"/>
    <m/>
    <n v="0"/>
    <n v="0"/>
    <n v="0"/>
  </r>
  <r>
    <n v="2020"/>
    <n v="2"/>
    <s v="2/01/2020"/>
    <x v="13"/>
    <s v="Female (F)"/>
    <s v="Non-Hispanic Asian"/>
    <s v="55-64 years"/>
    <n v="279"/>
    <n v="269"/>
    <m/>
    <n v="139"/>
    <n v="12"/>
    <n v="0"/>
    <m/>
    <m/>
    <m/>
    <m/>
    <m/>
    <n v="35"/>
    <n v="17"/>
    <n v="0"/>
    <n v="0"/>
  </r>
  <r>
    <n v="2020"/>
    <n v="2"/>
    <s v="2/01/2020"/>
    <x v="13"/>
    <s v="Female (F)"/>
    <s v="Non-Hispanic Asian"/>
    <s v="65-74 years"/>
    <n v="478"/>
    <n v="457"/>
    <m/>
    <n v="190"/>
    <n v="24"/>
    <m/>
    <n v="13"/>
    <m/>
    <m/>
    <n v="13"/>
    <m/>
    <n v="63"/>
    <n v="44"/>
    <n v="0"/>
    <n v="0"/>
  </r>
  <r>
    <n v="2020"/>
    <n v="2"/>
    <s v="2/01/2020"/>
    <x v="13"/>
    <s v="Female (F)"/>
    <s v="Non-Hispanic Asian"/>
    <s v="75-84 years"/>
    <n v="718"/>
    <n v="692"/>
    <n v="13"/>
    <n v="145"/>
    <n v="32"/>
    <n v="27"/>
    <n v="23"/>
    <n v="21"/>
    <n v="12"/>
    <n v="19"/>
    <m/>
    <n v="158"/>
    <n v="80"/>
    <n v="0"/>
    <n v="0"/>
  </r>
  <r>
    <n v="2020"/>
    <n v="2"/>
    <s v="2/01/2020"/>
    <x v="13"/>
    <s v="Female (F)"/>
    <s v="Non-Hispanic Asian"/>
    <s v="85 years and over"/>
    <n v="1350"/>
    <n v="1313"/>
    <n v="10"/>
    <n v="128"/>
    <n v="35"/>
    <n v="132"/>
    <n v="42"/>
    <n v="44"/>
    <n v="13"/>
    <n v="33"/>
    <n v="13"/>
    <n v="363"/>
    <n v="130"/>
    <n v="0"/>
    <n v="0"/>
  </r>
  <r>
    <n v="2020"/>
    <n v="2"/>
    <s v="2/01/2020"/>
    <x v="13"/>
    <s v="Female (F)"/>
    <s v="Non-Hispanic Black"/>
    <s v="0-4 years"/>
    <n v="241"/>
    <n v="216"/>
    <m/>
    <m/>
    <n v="0"/>
    <n v="0"/>
    <m/>
    <m/>
    <m/>
    <n v="0"/>
    <n v="38"/>
    <m/>
    <m/>
    <n v="0"/>
    <n v="0"/>
  </r>
  <r>
    <n v="2020"/>
    <n v="2"/>
    <s v="2/01/2020"/>
    <x v="13"/>
    <s v="Female (F)"/>
    <s v="Non-Hispanic Black"/>
    <s v="15-24 years"/>
    <n v="132"/>
    <n v="59"/>
    <m/>
    <m/>
    <m/>
    <n v="0"/>
    <m/>
    <m/>
    <m/>
    <m/>
    <m/>
    <m/>
    <m/>
    <n v="0"/>
    <n v="0"/>
  </r>
  <r>
    <n v="2020"/>
    <n v="2"/>
    <s v="2/01/2020"/>
    <x v="13"/>
    <s v="Female (F)"/>
    <s v="Non-Hispanic Black"/>
    <s v="25-34 years"/>
    <n v="342"/>
    <n v="214"/>
    <m/>
    <n v="43"/>
    <n v="10"/>
    <n v="0"/>
    <m/>
    <m/>
    <m/>
    <m/>
    <n v="10"/>
    <n v="37"/>
    <m/>
    <n v="0"/>
    <n v="0"/>
  </r>
  <r>
    <n v="2020"/>
    <n v="2"/>
    <s v="2/01/2020"/>
    <x v="13"/>
    <s v="Female (F)"/>
    <s v="Non-Hispanic Black"/>
    <s v="35-44 years"/>
    <n v="501"/>
    <n v="410"/>
    <m/>
    <n v="97"/>
    <n v="16"/>
    <n v="0"/>
    <n v="20"/>
    <m/>
    <m/>
    <m/>
    <n v="14"/>
    <n v="74"/>
    <n v="27"/>
    <n v="0"/>
    <n v="0"/>
  </r>
  <r>
    <n v="2020"/>
    <n v="2"/>
    <s v="2/01/2020"/>
    <x v="13"/>
    <s v="Female (F)"/>
    <s v="Non-Hispanic Black"/>
    <s v="45-54 years"/>
    <n v="1040"/>
    <n v="933"/>
    <n v="27"/>
    <n v="269"/>
    <n v="48"/>
    <m/>
    <n v="29"/>
    <n v="29"/>
    <n v="21"/>
    <n v="32"/>
    <n v="14"/>
    <n v="207"/>
    <n v="43"/>
    <n v="0"/>
    <n v="0"/>
  </r>
  <r>
    <n v="2020"/>
    <n v="2"/>
    <s v="2/01/2020"/>
    <x v="13"/>
    <s v="Female (F)"/>
    <s v="Non-Hispanic Black"/>
    <s v="5-14 years"/>
    <n v="37"/>
    <n v="25"/>
    <n v="0"/>
    <m/>
    <m/>
    <n v="0"/>
    <m/>
    <m/>
    <m/>
    <n v="0"/>
    <m/>
    <m/>
    <m/>
    <n v="0"/>
    <n v="0"/>
  </r>
  <r>
    <n v="2020"/>
    <n v="2"/>
    <s v="2/01/2020"/>
    <x v="13"/>
    <s v="Female (F)"/>
    <s v="Non-Hispanic Black"/>
    <s v="55-64 years"/>
    <n v="2301"/>
    <n v="2175"/>
    <n v="68"/>
    <n v="654"/>
    <n v="142"/>
    <m/>
    <n v="62"/>
    <n v="72"/>
    <n v="43"/>
    <n v="69"/>
    <n v="22"/>
    <n v="477"/>
    <n v="115"/>
    <n v="0"/>
    <n v="0"/>
  </r>
  <r>
    <n v="2020"/>
    <n v="2"/>
    <s v="2/01/2020"/>
    <x v="13"/>
    <s v="Female (F)"/>
    <s v="Non-Hispanic Black"/>
    <s v="65-74 years"/>
    <n v="3020"/>
    <n v="2944"/>
    <n v="65"/>
    <n v="801"/>
    <n v="180"/>
    <n v="42"/>
    <n v="70"/>
    <n v="143"/>
    <n v="52"/>
    <n v="113"/>
    <n v="29"/>
    <n v="726"/>
    <n v="192"/>
    <n v="0"/>
    <n v="0"/>
  </r>
  <r>
    <n v="2020"/>
    <n v="2"/>
    <s v="2/01/2020"/>
    <x v="13"/>
    <s v="Female (F)"/>
    <s v="Non-Hispanic Black"/>
    <s v="75-84 years"/>
    <n v="3095"/>
    <n v="3039"/>
    <n v="65"/>
    <n v="598"/>
    <n v="165"/>
    <n v="166"/>
    <n v="77"/>
    <n v="122"/>
    <n v="39"/>
    <n v="119"/>
    <n v="30"/>
    <n v="775"/>
    <n v="235"/>
    <n v="0"/>
    <n v="0"/>
  </r>
  <r>
    <n v="2020"/>
    <n v="2"/>
    <s v="2/01/2020"/>
    <x v="13"/>
    <s v="Female (F)"/>
    <s v="Non-Hispanic Black"/>
    <s v="85 years and over"/>
    <n v="3459"/>
    <n v="3412"/>
    <n v="54"/>
    <n v="317"/>
    <n v="122"/>
    <n v="368"/>
    <n v="93"/>
    <n v="114"/>
    <n v="34"/>
    <n v="87"/>
    <n v="36"/>
    <n v="952"/>
    <n v="335"/>
    <n v="0"/>
    <n v="0"/>
  </r>
  <r>
    <n v="2020"/>
    <n v="2"/>
    <s v="2/01/2020"/>
    <x v="13"/>
    <s v="Female (F)"/>
    <s v="Non-Hispanic White"/>
    <s v="0-4 years"/>
    <n v="360"/>
    <n v="320"/>
    <m/>
    <m/>
    <n v="0"/>
    <n v="0"/>
    <m/>
    <m/>
    <m/>
    <n v="0"/>
    <n v="44"/>
    <n v="10"/>
    <m/>
    <n v="0"/>
    <n v="0"/>
  </r>
  <r>
    <n v="2020"/>
    <n v="2"/>
    <s v="2/01/2020"/>
    <x v="13"/>
    <s v="Female (F)"/>
    <s v="Non-Hispanic White"/>
    <s v="15-24 years"/>
    <n v="353"/>
    <n v="115"/>
    <m/>
    <n v="29"/>
    <m/>
    <n v="0"/>
    <n v="10"/>
    <m/>
    <m/>
    <m/>
    <n v="11"/>
    <m/>
    <m/>
    <n v="0"/>
    <n v="0"/>
  </r>
  <r>
    <n v="2020"/>
    <n v="2"/>
    <s v="2/01/2020"/>
    <x v="13"/>
    <s v="Female (F)"/>
    <s v="Non-Hispanic White"/>
    <s v="25-34 years"/>
    <n v="891"/>
    <n v="390"/>
    <n v="14"/>
    <n v="91"/>
    <n v="15"/>
    <n v="0"/>
    <n v="24"/>
    <m/>
    <m/>
    <m/>
    <n v="18"/>
    <n v="41"/>
    <m/>
    <n v="0"/>
    <n v="0"/>
  </r>
  <r>
    <n v="2020"/>
    <n v="2"/>
    <s v="2/01/2020"/>
    <x v="13"/>
    <s v="Female (F)"/>
    <s v="Non-Hispanic White"/>
    <s v="35-44 years"/>
    <n v="1470"/>
    <n v="928"/>
    <n v="17"/>
    <n v="285"/>
    <n v="30"/>
    <n v="0"/>
    <n v="38"/>
    <n v="18"/>
    <n v="13"/>
    <n v="17"/>
    <n v="39"/>
    <n v="151"/>
    <n v="19"/>
    <m/>
    <m/>
  </r>
  <r>
    <n v="2020"/>
    <n v="2"/>
    <s v="2/01/2020"/>
    <x v="13"/>
    <s v="Female (F)"/>
    <s v="Non-Hispanic White"/>
    <s v="45-54 years"/>
    <n v="3379"/>
    <n v="2761"/>
    <n v="52"/>
    <n v="997"/>
    <n v="107"/>
    <m/>
    <n v="104"/>
    <n v="118"/>
    <n v="43"/>
    <n v="29"/>
    <n v="41"/>
    <n v="479"/>
    <n v="99"/>
    <n v="0"/>
    <n v="0"/>
  </r>
  <r>
    <n v="2020"/>
    <n v="2"/>
    <s v="2/01/2020"/>
    <x v="13"/>
    <s v="Female (F)"/>
    <s v="Non-Hispanic White"/>
    <s v="5-14 years"/>
    <n v="99"/>
    <n v="65"/>
    <m/>
    <n v="14"/>
    <m/>
    <n v="0"/>
    <n v="10"/>
    <m/>
    <m/>
    <n v="0"/>
    <m/>
    <m/>
    <m/>
    <n v="0"/>
    <n v="0"/>
  </r>
  <r>
    <n v="2020"/>
    <n v="2"/>
    <s v="2/01/2020"/>
    <x v="13"/>
    <s v="Female (F)"/>
    <s v="Non-Hispanic White"/>
    <s v="55-64 years"/>
    <n v="8689"/>
    <n v="8095"/>
    <n v="166"/>
    <n v="2897"/>
    <n v="276"/>
    <n v="59"/>
    <n v="244"/>
    <n v="759"/>
    <n v="126"/>
    <n v="121"/>
    <n v="84"/>
    <n v="1408"/>
    <n v="272"/>
    <m/>
    <m/>
  </r>
  <r>
    <n v="2020"/>
    <n v="2"/>
    <s v="2/01/2020"/>
    <x v="13"/>
    <s v="Female (F)"/>
    <s v="Non-Hispanic White"/>
    <s v="65-74 years"/>
    <n v="15397"/>
    <n v="14863"/>
    <n v="278"/>
    <n v="4748"/>
    <n v="514"/>
    <n v="339"/>
    <n v="379"/>
    <n v="1498"/>
    <n v="306"/>
    <n v="262"/>
    <n v="125"/>
    <n v="2785"/>
    <n v="643"/>
    <m/>
    <m/>
  </r>
  <r>
    <n v="2020"/>
    <n v="2"/>
    <s v="2/01/2020"/>
    <x v="13"/>
    <s v="Female (F)"/>
    <s v="Non-Hispanic White"/>
    <s v="75-84 years"/>
    <n v="22925"/>
    <n v="22299"/>
    <n v="339"/>
    <n v="5007"/>
    <n v="527"/>
    <n v="1459"/>
    <n v="559"/>
    <n v="2251"/>
    <n v="484"/>
    <n v="398"/>
    <n v="229"/>
    <n v="4633"/>
    <n v="1364"/>
    <m/>
    <n v="0"/>
  </r>
  <r>
    <n v="2020"/>
    <n v="2"/>
    <s v="2/01/2020"/>
    <x v="13"/>
    <s v="Female (F)"/>
    <s v="Non-Hispanic White"/>
    <s v="85 years and over"/>
    <n v="37885"/>
    <n v="36749"/>
    <n v="422"/>
    <n v="3563"/>
    <n v="558"/>
    <n v="4078"/>
    <n v="929"/>
    <n v="2044"/>
    <n v="576"/>
    <n v="598"/>
    <n v="568"/>
    <n v="10532"/>
    <n v="2952"/>
    <m/>
    <m/>
  </r>
  <r>
    <n v="2020"/>
    <n v="2"/>
    <s v="2/01/2020"/>
    <x v="13"/>
    <s v="Female (F)"/>
    <s v="Other"/>
    <s v="0-4 years"/>
    <n v="45"/>
    <n v="42"/>
    <m/>
    <m/>
    <n v="0"/>
    <n v="0"/>
    <n v="0"/>
    <n v="0"/>
    <n v="0"/>
    <n v="0"/>
    <m/>
    <n v="0"/>
    <m/>
    <n v="0"/>
    <n v="0"/>
  </r>
  <r>
    <n v="2020"/>
    <n v="2"/>
    <s v="2/01/2020"/>
    <x v="13"/>
    <s v="Female (F)"/>
    <s v="Other"/>
    <s v="15-24 years"/>
    <n v="26"/>
    <n v="10"/>
    <n v="0"/>
    <m/>
    <m/>
    <n v="0"/>
    <n v="0"/>
    <n v="0"/>
    <n v="0"/>
    <n v="0"/>
    <m/>
    <m/>
    <m/>
    <n v="0"/>
    <n v="0"/>
  </r>
  <r>
    <n v="2020"/>
    <n v="2"/>
    <s v="2/01/2020"/>
    <x v="13"/>
    <s v="Female (F)"/>
    <s v="Other"/>
    <s v="25-34 years"/>
    <n v="26"/>
    <n v="13"/>
    <n v="0"/>
    <m/>
    <m/>
    <n v="0"/>
    <n v="0"/>
    <m/>
    <n v="0"/>
    <m/>
    <n v="0"/>
    <m/>
    <m/>
    <n v="0"/>
    <n v="0"/>
  </r>
  <r>
    <n v="2020"/>
    <n v="2"/>
    <s v="2/01/2020"/>
    <x v="13"/>
    <s v="Female (F)"/>
    <s v="Other"/>
    <s v="35-44 years"/>
    <n v="46"/>
    <n v="36"/>
    <n v="0"/>
    <n v="15"/>
    <n v="0"/>
    <n v="0"/>
    <m/>
    <m/>
    <n v="0"/>
    <n v="0"/>
    <m/>
    <m/>
    <m/>
    <n v="0"/>
    <n v="0"/>
  </r>
  <r>
    <n v="2020"/>
    <n v="2"/>
    <s v="2/01/2020"/>
    <x v="13"/>
    <s v="Female (F)"/>
    <s v="Other"/>
    <s v="45-54 years"/>
    <n v="49"/>
    <n v="37"/>
    <n v="0"/>
    <n v="12"/>
    <m/>
    <n v="0"/>
    <m/>
    <m/>
    <n v="0"/>
    <m/>
    <m/>
    <m/>
    <m/>
    <n v="0"/>
    <n v="0"/>
  </r>
  <r>
    <n v="2020"/>
    <n v="2"/>
    <s v="2/01/2020"/>
    <x v="13"/>
    <s v="Female (F)"/>
    <s v="Other"/>
    <s v="5-14 years"/>
    <m/>
    <m/>
    <n v="0"/>
    <m/>
    <n v="0"/>
    <n v="0"/>
    <n v="0"/>
    <n v="0"/>
    <n v="0"/>
    <n v="0"/>
    <n v="0"/>
    <n v="0"/>
    <n v="0"/>
    <n v="0"/>
    <n v="0"/>
  </r>
  <r>
    <n v="2020"/>
    <n v="2"/>
    <s v="2/01/2020"/>
    <x v="13"/>
    <s v="Female (F)"/>
    <s v="Other"/>
    <s v="55-64 years"/>
    <n v="147"/>
    <n v="136"/>
    <m/>
    <n v="40"/>
    <m/>
    <n v="0"/>
    <m/>
    <n v="16"/>
    <m/>
    <m/>
    <m/>
    <n v="28"/>
    <m/>
    <n v="0"/>
    <n v="0"/>
  </r>
  <r>
    <n v="2020"/>
    <n v="2"/>
    <s v="2/01/2020"/>
    <x v="13"/>
    <s v="Female (F)"/>
    <s v="Other"/>
    <s v="65-74 years"/>
    <n v="173"/>
    <n v="168"/>
    <m/>
    <n v="49"/>
    <m/>
    <m/>
    <m/>
    <n v="15"/>
    <m/>
    <m/>
    <m/>
    <n v="43"/>
    <m/>
    <n v="0"/>
    <n v="0"/>
  </r>
  <r>
    <n v="2020"/>
    <n v="2"/>
    <s v="2/01/2020"/>
    <x v="13"/>
    <s v="Female (F)"/>
    <s v="Other"/>
    <s v="75-84 years"/>
    <n v="168"/>
    <n v="161"/>
    <m/>
    <n v="29"/>
    <m/>
    <m/>
    <m/>
    <n v="10"/>
    <n v="0"/>
    <m/>
    <m/>
    <n v="49"/>
    <n v="10"/>
    <n v="0"/>
    <n v="0"/>
  </r>
  <r>
    <n v="2020"/>
    <n v="2"/>
    <s v="2/01/2020"/>
    <x v="13"/>
    <s v="Female (F)"/>
    <s v="Other"/>
    <s v="85 years and over"/>
    <n v="196"/>
    <n v="191"/>
    <m/>
    <n v="16"/>
    <m/>
    <n v="30"/>
    <m/>
    <n v="10"/>
    <n v="0"/>
    <m/>
    <m/>
    <n v="57"/>
    <n v="14"/>
    <n v="0"/>
    <n v="0"/>
  </r>
  <r>
    <n v="2020"/>
    <n v="2"/>
    <s v="2/01/2020"/>
    <x v="13"/>
    <s v="Male (M)"/>
    <s v="Hispanic"/>
    <s v="0-4 years"/>
    <n v="241"/>
    <n v="208"/>
    <m/>
    <m/>
    <n v="0"/>
    <n v="0"/>
    <m/>
    <n v="0"/>
    <m/>
    <m/>
    <n v="30"/>
    <m/>
    <m/>
    <n v="0"/>
    <n v="0"/>
  </r>
  <r>
    <n v="2020"/>
    <n v="2"/>
    <s v="2/01/2020"/>
    <x v="13"/>
    <s v="Male (M)"/>
    <s v="Hispanic"/>
    <s v="15-24 years"/>
    <n v="391"/>
    <n v="74"/>
    <n v="0"/>
    <n v="15"/>
    <m/>
    <n v="0"/>
    <m/>
    <m/>
    <m/>
    <n v="0"/>
    <m/>
    <m/>
    <m/>
    <n v="0"/>
    <n v="0"/>
  </r>
  <r>
    <n v="2020"/>
    <n v="2"/>
    <s v="2/01/2020"/>
    <x v="13"/>
    <s v="Male (M)"/>
    <s v="Hispanic"/>
    <s v="25-34 years"/>
    <n v="608"/>
    <n v="185"/>
    <m/>
    <n v="27"/>
    <n v="10"/>
    <n v="0"/>
    <m/>
    <m/>
    <m/>
    <m/>
    <n v="21"/>
    <n v="27"/>
    <m/>
    <n v="0"/>
    <n v="0"/>
  </r>
  <r>
    <n v="2020"/>
    <n v="2"/>
    <s v="2/01/2020"/>
    <x v="13"/>
    <s v="Male (M)"/>
    <s v="Hispanic"/>
    <s v="35-44 years"/>
    <n v="684"/>
    <n v="383"/>
    <m/>
    <n v="56"/>
    <n v="22"/>
    <n v="0"/>
    <n v="15"/>
    <m/>
    <m/>
    <m/>
    <n v="24"/>
    <n v="77"/>
    <n v="24"/>
    <n v="0"/>
    <n v="0"/>
  </r>
  <r>
    <n v="2020"/>
    <n v="2"/>
    <s v="2/01/2020"/>
    <x v="13"/>
    <s v="Male (M)"/>
    <s v="Hispanic"/>
    <s v="45-54 years"/>
    <n v="1061"/>
    <n v="823"/>
    <n v="19"/>
    <n v="153"/>
    <n v="75"/>
    <n v="0"/>
    <n v="39"/>
    <m/>
    <n v="11"/>
    <n v="22"/>
    <n v="13"/>
    <n v="206"/>
    <n v="42"/>
    <n v="0"/>
    <n v="0"/>
  </r>
  <r>
    <n v="2020"/>
    <n v="2"/>
    <s v="2/01/2020"/>
    <x v="13"/>
    <s v="Male (M)"/>
    <s v="Hispanic"/>
    <s v="5-14 years"/>
    <n v="55"/>
    <n v="35"/>
    <m/>
    <m/>
    <n v="0"/>
    <n v="0"/>
    <m/>
    <m/>
    <m/>
    <n v="0"/>
    <n v="0"/>
    <m/>
    <n v="0"/>
    <n v="0"/>
    <n v="0"/>
  </r>
  <r>
    <n v="2020"/>
    <n v="2"/>
    <s v="2/01/2020"/>
    <x v="13"/>
    <s v="Male (M)"/>
    <s v="Hispanic"/>
    <s v="55-64 years"/>
    <n v="1705"/>
    <n v="1496"/>
    <n v="22"/>
    <n v="399"/>
    <n v="111"/>
    <m/>
    <n v="54"/>
    <n v="25"/>
    <n v="20"/>
    <n v="46"/>
    <n v="12"/>
    <n v="342"/>
    <n v="68"/>
    <m/>
    <m/>
  </r>
  <r>
    <n v="2020"/>
    <n v="2"/>
    <s v="2/01/2020"/>
    <x v="13"/>
    <s v="Male (M)"/>
    <s v="Hispanic"/>
    <s v="65-74 years"/>
    <n v="1865"/>
    <n v="1776"/>
    <n v="22"/>
    <n v="512"/>
    <n v="127"/>
    <n v="20"/>
    <n v="51"/>
    <n v="57"/>
    <n v="47"/>
    <n v="46"/>
    <n v="11"/>
    <n v="444"/>
    <n v="96"/>
    <m/>
    <m/>
  </r>
  <r>
    <n v="2020"/>
    <n v="2"/>
    <s v="2/01/2020"/>
    <x v="13"/>
    <s v="Male (M)"/>
    <s v="Hispanic"/>
    <s v="75-84 years"/>
    <n v="1927"/>
    <n v="1878"/>
    <n v="27"/>
    <n v="414"/>
    <n v="111"/>
    <n v="57"/>
    <n v="65"/>
    <n v="86"/>
    <n v="51"/>
    <n v="45"/>
    <n v="12"/>
    <n v="458"/>
    <n v="132"/>
    <n v="0"/>
    <n v="0"/>
  </r>
  <r>
    <n v="2020"/>
    <n v="2"/>
    <s v="2/01/2020"/>
    <x v="13"/>
    <s v="Male (M)"/>
    <s v="Hispanic"/>
    <s v="85 years and over"/>
    <n v="1727"/>
    <n v="1682"/>
    <n v="20"/>
    <n v="232"/>
    <n v="53"/>
    <n v="131"/>
    <n v="55"/>
    <n v="75"/>
    <n v="36"/>
    <n v="47"/>
    <n v="15"/>
    <n v="484"/>
    <n v="127"/>
    <n v="0"/>
    <n v="0"/>
  </r>
  <r>
    <n v="2020"/>
    <n v="2"/>
    <s v="2/01/2020"/>
    <x v="13"/>
    <s v="Male (M)"/>
    <s v="Non-Hispanic American Indian or Alaska Native"/>
    <s v="0-4 years"/>
    <n v="17"/>
    <n v="16"/>
    <n v="0"/>
    <n v="0"/>
    <n v="0"/>
    <n v="0"/>
    <m/>
    <n v="0"/>
    <n v="0"/>
    <n v="0"/>
    <m/>
    <n v="0"/>
    <n v="0"/>
    <n v="0"/>
    <n v="0"/>
  </r>
  <r>
    <n v="2020"/>
    <n v="2"/>
    <s v="2/01/2020"/>
    <x v="13"/>
    <s v="Male (M)"/>
    <s v="Non-Hispanic American Indian or Alaska Native"/>
    <s v="15-24 years"/>
    <n v="32"/>
    <m/>
    <n v="0"/>
    <n v="0"/>
    <n v="0"/>
    <n v="0"/>
    <n v="0"/>
    <n v="0"/>
    <n v="0"/>
    <n v="0"/>
    <m/>
    <m/>
    <n v="0"/>
    <n v="0"/>
    <n v="0"/>
  </r>
  <r>
    <n v="2020"/>
    <n v="2"/>
    <s v="2/01/2020"/>
    <x v="13"/>
    <s v="Male (M)"/>
    <s v="Non-Hispanic American Indian or Alaska Native"/>
    <s v="25-34 years"/>
    <n v="61"/>
    <n v="17"/>
    <n v="0"/>
    <m/>
    <n v="0"/>
    <n v="0"/>
    <m/>
    <n v="0"/>
    <n v="0"/>
    <n v="0"/>
    <m/>
    <m/>
    <n v="0"/>
    <n v="0"/>
    <n v="0"/>
  </r>
  <r>
    <n v="2020"/>
    <n v="2"/>
    <s v="2/01/2020"/>
    <x v="13"/>
    <s v="Male (M)"/>
    <s v="Non-Hispanic American Indian or Alaska Native"/>
    <s v="35-44 years"/>
    <n v="67"/>
    <n v="32"/>
    <n v="0"/>
    <m/>
    <m/>
    <n v="0"/>
    <m/>
    <n v="0"/>
    <n v="0"/>
    <m/>
    <m/>
    <m/>
    <m/>
    <n v="0"/>
    <n v="0"/>
  </r>
  <r>
    <n v="2020"/>
    <n v="2"/>
    <s v="2/01/2020"/>
    <x v="13"/>
    <s v="Male (M)"/>
    <s v="Non-Hispanic American Indian or Alaska Native"/>
    <s v="45-54 years"/>
    <n v="120"/>
    <n v="91"/>
    <m/>
    <m/>
    <n v="10"/>
    <n v="0"/>
    <m/>
    <m/>
    <n v="0"/>
    <m/>
    <m/>
    <n v="20"/>
    <m/>
    <n v="0"/>
    <n v="0"/>
  </r>
  <r>
    <n v="2020"/>
    <n v="2"/>
    <s v="2/01/2020"/>
    <x v="13"/>
    <s v="Male (M)"/>
    <s v="Non-Hispanic American Indian or Alaska Native"/>
    <s v="5-14 years"/>
    <m/>
    <m/>
    <n v="0"/>
    <n v="0"/>
    <n v="0"/>
    <n v="0"/>
    <n v="0"/>
    <n v="0"/>
    <n v="0"/>
    <n v="0"/>
    <n v="0"/>
    <n v="0"/>
    <m/>
    <n v="0"/>
    <n v="0"/>
  </r>
  <r>
    <n v="2020"/>
    <n v="2"/>
    <s v="2/01/2020"/>
    <x v="13"/>
    <s v="Male (M)"/>
    <s v="Non-Hispanic American Indian or Alaska Native"/>
    <s v="55-64 years"/>
    <n v="163"/>
    <n v="137"/>
    <m/>
    <n v="30"/>
    <n v="19"/>
    <n v="0"/>
    <m/>
    <m/>
    <m/>
    <m/>
    <m/>
    <n v="31"/>
    <m/>
    <n v="0"/>
    <n v="0"/>
  </r>
  <r>
    <n v="2020"/>
    <n v="2"/>
    <s v="2/01/2020"/>
    <x v="13"/>
    <s v="Male (M)"/>
    <s v="Non-Hispanic American Indian or Alaska Native"/>
    <s v="65-74 years"/>
    <n v="192"/>
    <n v="180"/>
    <m/>
    <n v="45"/>
    <n v="18"/>
    <m/>
    <m/>
    <n v="15"/>
    <m/>
    <m/>
    <n v="0"/>
    <n v="46"/>
    <m/>
    <n v="0"/>
    <n v="0"/>
  </r>
  <r>
    <n v="2020"/>
    <n v="2"/>
    <s v="2/01/2020"/>
    <x v="13"/>
    <s v="Male (M)"/>
    <s v="Non-Hispanic American Indian or Alaska Native"/>
    <s v="75-84 years"/>
    <n v="130"/>
    <n v="128"/>
    <m/>
    <n v="23"/>
    <m/>
    <m/>
    <m/>
    <m/>
    <m/>
    <m/>
    <m/>
    <n v="41"/>
    <m/>
    <n v="0"/>
    <n v="0"/>
  </r>
  <r>
    <n v="2020"/>
    <n v="2"/>
    <s v="2/01/2020"/>
    <x v="13"/>
    <s v="Male (M)"/>
    <s v="Non-Hispanic American Indian or Alaska Native"/>
    <s v="85 years and over"/>
    <n v="76"/>
    <n v="74"/>
    <n v="0"/>
    <m/>
    <m/>
    <m/>
    <m/>
    <m/>
    <m/>
    <m/>
    <n v="0"/>
    <n v="22"/>
    <m/>
    <n v="0"/>
    <n v="0"/>
  </r>
  <r>
    <n v="2020"/>
    <n v="2"/>
    <s v="2/01/2020"/>
    <x v="13"/>
    <s v="Male (M)"/>
    <s v="Non-Hispanic Asian"/>
    <s v="0-4 years"/>
    <n v="35"/>
    <n v="34"/>
    <n v="0"/>
    <n v="0"/>
    <n v="0"/>
    <n v="0"/>
    <m/>
    <n v="0"/>
    <n v="0"/>
    <n v="0"/>
    <m/>
    <m/>
    <n v="0"/>
    <n v="0"/>
    <n v="0"/>
  </r>
  <r>
    <n v="2020"/>
    <n v="2"/>
    <s v="2/01/2020"/>
    <x v="13"/>
    <s v="Male (M)"/>
    <s v="Non-Hispanic Asian"/>
    <s v="15-24 years"/>
    <n v="41"/>
    <n v="12"/>
    <n v="0"/>
    <m/>
    <m/>
    <n v="0"/>
    <n v="0"/>
    <n v="0"/>
    <m/>
    <n v="0"/>
    <m/>
    <n v="0"/>
    <m/>
    <n v="0"/>
    <n v="0"/>
  </r>
  <r>
    <n v="2020"/>
    <n v="2"/>
    <s v="2/01/2020"/>
    <x v="13"/>
    <s v="Male (M)"/>
    <s v="Non-Hispanic Asian"/>
    <s v="25-34 years"/>
    <n v="91"/>
    <n v="39"/>
    <m/>
    <n v="11"/>
    <n v="0"/>
    <n v="0"/>
    <m/>
    <m/>
    <n v="0"/>
    <m/>
    <m/>
    <m/>
    <n v="0"/>
    <n v="0"/>
    <n v="0"/>
  </r>
  <r>
    <n v="2020"/>
    <n v="2"/>
    <s v="2/01/2020"/>
    <x v="13"/>
    <s v="Male (M)"/>
    <s v="Non-Hispanic Asian"/>
    <s v="35-44 years"/>
    <n v="114"/>
    <n v="71"/>
    <n v="0"/>
    <n v="21"/>
    <m/>
    <n v="0"/>
    <m/>
    <n v="0"/>
    <m/>
    <m/>
    <m/>
    <n v="12"/>
    <m/>
    <n v="0"/>
    <n v="0"/>
  </r>
  <r>
    <n v="2020"/>
    <n v="2"/>
    <s v="2/01/2020"/>
    <x v="13"/>
    <s v="Male (M)"/>
    <s v="Non-Hispanic Asian"/>
    <s v="45-54 years"/>
    <n v="212"/>
    <n v="175"/>
    <n v="0"/>
    <n v="44"/>
    <n v="15"/>
    <n v="0"/>
    <m/>
    <m/>
    <n v="0"/>
    <m/>
    <m/>
    <n v="57"/>
    <n v="13"/>
    <n v="0"/>
    <n v="0"/>
  </r>
  <r>
    <n v="2020"/>
    <n v="2"/>
    <s v="2/01/2020"/>
    <x v="13"/>
    <s v="Male (M)"/>
    <s v="Non-Hispanic Asian"/>
    <s v="5-14 years"/>
    <n v="11"/>
    <n v="10"/>
    <n v="0"/>
    <m/>
    <n v="0"/>
    <n v="0"/>
    <m/>
    <m/>
    <m/>
    <n v="0"/>
    <n v="0"/>
    <m/>
    <n v="0"/>
    <n v="0"/>
    <n v="0"/>
  </r>
  <r>
    <n v="2020"/>
    <n v="2"/>
    <s v="2/01/2020"/>
    <x v="13"/>
    <s v="Male (M)"/>
    <s v="Non-Hispanic Asian"/>
    <s v="55-64 years"/>
    <n v="413"/>
    <n v="388"/>
    <m/>
    <n v="140"/>
    <n v="19"/>
    <m/>
    <m/>
    <m/>
    <n v="11"/>
    <m/>
    <m/>
    <n v="99"/>
    <n v="24"/>
    <n v="0"/>
    <n v="0"/>
  </r>
  <r>
    <n v="2020"/>
    <n v="2"/>
    <s v="2/01/2020"/>
    <x v="13"/>
    <s v="Male (M)"/>
    <s v="Non-Hispanic Asian"/>
    <s v="65-74 years"/>
    <n v="633"/>
    <n v="609"/>
    <n v="14"/>
    <n v="203"/>
    <n v="40"/>
    <m/>
    <n v="15"/>
    <n v="20"/>
    <n v="11"/>
    <n v="14"/>
    <m/>
    <n v="157"/>
    <n v="37"/>
    <m/>
    <m/>
  </r>
  <r>
    <n v="2020"/>
    <n v="2"/>
    <s v="2/01/2020"/>
    <x v="13"/>
    <s v="Male (M)"/>
    <s v="Non-Hispanic Asian"/>
    <s v="75-84 years"/>
    <n v="840"/>
    <n v="812"/>
    <m/>
    <n v="189"/>
    <n v="42"/>
    <n v="15"/>
    <n v="34"/>
    <n v="36"/>
    <n v="10"/>
    <n v="26"/>
    <m/>
    <n v="211"/>
    <n v="66"/>
    <n v="0"/>
    <n v="0"/>
  </r>
  <r>
    <n v="2020"/>
    <n v="2"/>
    <s v="2/01/2020"/>
    <x v="13"/>
    <s v="Male (M)"/>
    <s v="Non-Hispanic Asian"/>
    <s v="85 years and over"/>
    <n v="908"/>
    <n v="873"/>
    <m/>
    <n v="131"/>
    <n v="32"/>
    <n v="59"/>
    <n v="40"/>
    <n v="42"/>
    <n v="12"/>
    <n v="23"/>
    <m/>
    <n v="238"/>
    <n v="75"/>
    <n v="0"/>
    <n v="0"/>
  </r>
  <r>
    <n v="2020"/>
    <n v="2"/>
    <s v="2/01/2020"/>
    <x v="13"/>
    <s v="Male (M)"/>
    <s v="Non-Hispanic Black"/>
    <s v="0-4 years"/>
    <n v="308"/>
    <n v="267"/>
    <n v="0"/>
    <m/>
    <n v="0"/>
    <n v="0"/>
    <m/>
    <m/>
    <m/>
    <m/>
    <n v="44"/>
    <m/>
    <m/>
    <n v="0"/>
    <n v="0"/>
  </r>
  <r>
    <n v="2020"/>
    <n v="2"/>
    <s v="2/01/2020"/>
    <x v="13"/>
    <s v="Male (M)"/>
    <s v="Non-Hispanic Black"/>
    <s v="15-24 years"/>
    <n v="423"/>
    <n v="72"/>
    <m/>
    <m/>
    <m/>
    <n v="0"/>
    <n v="0"/>
    <m/>
    <m/>
    <m/>
    <m/>
    <n v="13"/>
    <m/>
    <n v="0"/>
    <n v="0"/>
  </r>
  <r>
    <n v="2020"/>
    <n v="2"/>
    <s v="2/01/2020"/>
    <x v="13"/>
    <s v="Male (M)"/>
    <s v="Non-Hispanic Black"/>
    <s v="25-34 years"/>
    <n v="724"/>
    <n v="235"/>
    <m/>
    <n v="14"/>
    <n v="12"/>
    <n v="0"/>
    <n v="15"/>
    <m/>
    <m/>
    <m/>
    <n v="18"/>
    <n v="52"/>
    <m/>
    <n v="0"/>
    <n v="0"/>
  </r>
  <r>
    <n v="2020"/>
    <n v="2"/>
    <s v="2/01/2020"/>
    <x v="13"/>
    <s v="Male (M)"/>
    <s v="Non-Hispanic Black"/>
    <s v="35-44 years"/>
    <n v="901"/>
    <n v="525"/>
    <m/>
    <n v="64"/>
    <n v="35"/>
    <n v="0"/>
    <n v="11"/>
    <m/>
    <m/>
    <n v="14"/>
    <n v="19"/>
    <n v="171"/>
    <n v="27"/>
    <n v="0"/>
    <n v="0"/>
  </r>
  <r>
    <n v="2020"/>
    <n v="2"/>
    <s v="2/01/2020"/>
    <x v="13"/>
    <s v="Male (M)"/>
    <s v="Non-Hispanic Black"/>
    <s v="45-54 years"/>
    <n v="1523"/>
    <n v="1167"/>
    <n v="30"/>
    <n v="181"/>
    <n v="73"/>
    <n v="0"/>
    <n v="38"/>
    <n v="22"/>
    <n v="12"/>
    <n v="29"/>
    <n v="24"/>
    <n v="411"/>
    <n v="62"/>
    <n v="0"/>
    <n v="0"/>
  </r>
  <r>
    <n v="2020"/>
    <n v="2"/>
    <s v="2/01/2020"/>
    <x v="13"/>
    <s v="Male (M)"/>
    <s v="Non-Hispanic Black"/>
    <s v="5-14 years"/>
    <n v="62"/>
    <n v="42"/>
    <m/>
    <m/>
    <n v="0"/>
    <n v="0"/>
    <m/>
    <m/>
    <n v="0"/>
    <n v="0"/>
    <m/>
    <m/>
    <n v="0"/>
    <n v="0"/>
    <n v="0"/>
  </r>
  <r>
    <n v="2020"/>
    <n v="2"/>
    <s v="2/01/2020"/>
    <x v="13"/>
    <s v="Male (M)"/>
    <s v="Non-Hispanic Black"/>
    <s v="55-64 years"/>
    <n v="3374"/>
    <n v="2986"/>
    <n v="54"/>
    <n v="705"/>
    <n v="205"/>
    <m/>
    <n v="72"/>
    <n v="88"/>
    <n v="48"/>
    <n v="93"/>
    <n v="30"/>
    <n v="961"/>
    <n v="150"/>
    <n v="0"/>
    <n v="0"/>
  </r>
  <r>
    <n v="2020"/>
    <n v="2"/>
    <s v="2/01/2020"/>
    <x v="13"/>
    <s v="Male (M)"/>
    <s v="Non-Hispanic Black"/>
    <s v="65-74 years"/>
    <n v="3850"/>
    <n v="3646"/>
    <n v="68"/>
    <n v="984"/>
    <n v="207"/>
    <n v="25"/>
    <n v="94"/>
    <n v="161"/>
    <n v="67"/>
    <n v="116"/>
    <n v="44"/>
    <n v="1014"/>
    <n v="232"/>
    <n v="0"/>
    <n v="0"/>
  </r>
  <r>
    <n v="2020"/>
    <n v="2"/>
    <s v="2/01/2020"/>
    <x v="13"/>
    <s v="Male (M)"/>
    <s v="Non-Hispanic Black"/>
    <s v="75-84 years"/>
    <n v="2853"/>
    <n v="2781"/>
    <n v="58"/>
    <n v="652"/>
    <n v="140"/>
    <n v="90"/>
    <n v="46"/>
    <n v="140"/>
    <n v="40"/>
    <n v="95"/>
    <n v="25"/>
    <n v="752"/>
    <n v="179"/>
    <n v="0"/>
    <n v="0"/>
  </r>
  <r>
    <n v="2020"/>
    <n v="2"/>
    <s v="2/01/2020"/>
    <x v="13"/>
    <s v="Male (M)"/>
    <s v="Non-Hispanic Black"/>
    <s v="85 years and over"/>
    <n v="1776"/>
    <n v="1738"/>
    <n v="35"/>
    <n v="282"/>
    <n v="75"/>
    <n v="69"/>
    <n v="50"/>
    <n v="87"/>
    <n v="18"/>
    <n v="60"/>
    <n v="13"/>
    <n v="492"/>
    <n v="125"/>
    <n v="0"/>
    <n v="0"/>
  </r>
  <r>
    <n v="2020"/>
    <n v="2"/>
    <s v="2/01/2020"/>
    <x v="13"/>
    <s v="Male (M)"/>
    <s v="Non-Hispanic White"/>
    <s v="0-4 years"/>
    <n v="433"/>
    <n v="386"/>
    <m/>
    <n v="12"/>
    <n v="0"/>
    <n v="0"/>
    <n v="10"/>
    <m/>
    <n v="11"/>
    <m/>
    <n v="46"/>
    <m/>
    <m/>
    <n v="0"/>
    <n v="0"/>
  </r>
  <r>
    <n v="2020"/>
    <n v="2"/>
    <s v="2/01/2020"/>
    <x v="13"/>
    <s v="Male (M)"/>
    <s v="Non-Hispanic White"/>
    <s v="15-24 years"/>
    <n v="810"/>
    <n v="149"/>
    <m/>
    <n v="22"/>
    <m/>
    <n v="0"/>
    <n v="11"/>
    <m/>
    <m/>
    <m/>
    <n v="16"/>
    <n v="16"/>
    <m/>
    <n v="0"/>
    <n v="0"/>
  </r>
  <r>
    <n v="2020"/>
    <n v="2"/>
    <s v="2/01/2020"/>
    <x v="13"/>
    <s v="Male (M)"/>
    <s v="Non-Hispanic White"/>
    <s v="25-34 years"/>
    <n v="1938"/>
    <n v="528"/>
    <m/>
    <n v="74"/>
    <n v="36"/>
    <n v="0"/>
    <n v="29"/>
    <m/>
    <m/>
    <m/>
    <n v="57"/>
    <n v="88"/>
    <m/>
    <n v="0"/>
    <n v="0"/>
  </r>
  <r>
    <n v="2020"/>
    <n v="2"/>
    <s v="2/01/2020"/>
    <x v="13"/>
    <s v="Male (M)"/>
    <s v="Non-Hispanic White"/>
    <s v="35-44 years"/>
    <n v="2632"/>
    <n v="1266"/>
    <n v="17"/>
    <n v="219"/>
    <n v="51"/>
    <n v="0"/>
    <n v="62"/>
    <n v="18"/>
    <n v="14"/>
    <n v="14"/>
    <n v="59"/>
    <n v="314"/>
    <n v="38"/>
    <n v="0"/>
    <n v="0"/>
  </r>
  <r>
    <n v="2020"/>
    <n v="2"/>
    <s v="2/01/2020"/>
    <x v="13"/>
    <s v="Male (M)"/>
    <s v="Non-Hispanic White"/>
    <s v="45-54 years"/>
    <n v="5140"/>
    <n v="3773"/>
    <n v="56"/>
    <n v="900"/>
    <n v="179"/>
    <m/>
    <n v="107"/>
    <n v="116"/>
    <n v="45"/>
    <n v="50"/>
    <n v="72"/>
    <n v="1107"/>
    <n v="130"/>
    <m/>
    <m/>
  </r>
  <r>
    <n v="2020"/>
    <n v="2"/>
    <s v="2/01/2020"/>
    <x v="13"/>
    <s v="Male (M)"/>
    <s v="Non-Hispanic White"/>
    <s v="5-14 years"/>
    <n v="125"/>
    <n v="75"/>
    <m/>
    <n v="19"/>
    <n v="0"/>
    <n v="0"/>
    <m/>
    <m/>
    <m/>
    <n v="0"/>
    <m/>
    <n v="0"/>
    <n v="0"/>
    <n v="0"/>
    <n v="0"/>
  </r>
  <r>
    <n v="2020"/>
    <n v="2"/>
    <s v="2/01/2020"/>
    <x v="13"/>
    <s v="Male (M)"/>
    <s v="Non-Hispanic White"/>
    <s v="55-64 years"/>
    <n v="13511"/>
    <n v="12049"/>
    <n v="184"/>
    <n v="3474"/>
    <n v="549"/>
    <n v="36"/>
    <n v="292"/>
    <n v="747"/>
    <n v="145"/>
    <n v="182"/>
    <n v="134"/>
    <n v="3277"/>
    <n v="403"/>
    <n v="0"/>
    <n v="0"/>
  </r>
  <r>
    <n v="2020"/>
    <n v="2"/>
    <s v="2/01/2020"/>
    <x v="13"/>
    <s v="Male (M)"/>
    <s v="Non-Hispanic White"/>
    <s v="65-74 years"/>
    <n v="20780"/>
    <n v="19743"/>
    <n v="263"/>
    <n v="5990"/>
    <n v="794"/>
    <n v="227"/>
    <n v="429"/>
    <n v="1533"/>
    <n v="388"/>
    <n v="349"/>
    <n v="189"/>
    <n v="5166"/>
    <n v="715"/>
    <n v="0"/>
    <n v="0"/>
  </r>
  <r>
    <n v="2020"/>
    <n v="2"/>
    <s v="2/01/2020"/>
    <x v="13"/>
    <s v="Male (M)"/>
    <s v="Non-Hispanic White"/>
    <s v="75-84 years"/>
    <n v="24609"/>
    <n v="23690"/>
    <n v="332"/>
    <n v="5762"/>
    <n v="741"/>
    <n v="910"/>
    <n v="556"/>
    <n v="1900"/>
    <n v="608"/>
    <n v="444"/>
    <n v="193"/>
    <n v="6119"/>
    <n v="1238"/>
    <m/>
    <m/>
  </r>
  <r>
    <n v="2020"/>
    <n v="2"/>
    <s v="2/01/2020"/>
    <x v="13"/>
    <s v="Male (M)"/>
    <s v="Non-Hispanic White"/>
    <s v="85 years and over"/>
    <n v="24601"/>
    <n v="23670"/>
    <n v="291"/>
    <n v="3352"/>
    <n v="520"/>
    <n v="1468"/>
    <n v="753"/>
    <n v="1310"/>
    <n v="428"/>
    <n v="563"/>
    <n v="272"/>
    <n v="7599"/>
    <n v="1459"/>
    <n v="0"/>
    <n v="0"/>
  </r>
  <r>
    <n v="2020"/>
    <n v="2"/>
    <s v="2/01/2020"/>
    <x v="13"/>
    <s v="Male (M)"/>
    <s v="Other"/>
    <s v="0-4 years"/>
    <n v="47"/>
    <n v="44"/>
    <m/>
    <m/>
    <n v="0"/>
    <n v="0"/>
    <m/>
    <n v="0"/>
    <m/>
    <n v="0"/>
    <m/>
    <n v="0"/>
    <m/>
    <n v="0"/>
    <n v="0"/>
  </r>
  <r>
    <n v="2020"/>
    <n v="2"/>
    <s v="2/01/2020"/>
    <x v="13"/>
    <s v="Male (M)"/>
    <s v="Other"/>
    <s v="15-24 years"/>
    <n v="36"/>
    <m/>
    <m/>
    <m/>
    <n v="0"/>
    <n v="0"/>
    <n v="0"/>
    <n v="0"/>
    <n v="0"/>
    <n v="0"/>
    <m/>
    <m/>
    <m/>
    <n v="0"/>
    <n v="0"/>
  </r>
  <r>
    <n v="2020"/>
    <n v="2"/>
    <s v="2/01/2020"/>
    <x v="13"/>
    <s v="Male (M)"/>
    <s v="Other"/>
    <s v="25-34 years"/>
    <n v="60"/>
    <n v="18"/>
    <n v="0"/>
    <m/>
    <n v="0"/>
    <n v="0"/>
    <n v="0"/>
    <m/>
    <n v="0"/>
    <n v="0"/>
    <m/>
    <m/>
    <n v="0"/>
    <n v="0"/>
    <n v="0"/>
  </r>
  <r>
    <n v="2020"/>
    <n v="2"/>
    <s v="2/01/2020"/>
    <x v="13"/>
    <s v="Male (M)"/>
    <s v="Other"/>
    <s v="35-44 years"/>
    <n v="61"/>
    <n v="30"/>
    <m/>
    <m/>
    <m/>
    <n v="0"/>
    <m/>
    <n v="0"/>
    <m/>
    <n v="0"/>
    <m/>
    <m/>
    <n v="0"/>
    <n v="0"/>
    <n v="0"/>
  </r>
  <r>
    <n v="2020"/>
    <n v="2"/>
    <s v="2/01/2020"/>
    <x v="13"/>
    <s v="Male (M)"/>
    <s v="Other"/>
    <s v="45-54 years"/>
    <n v="111"/>
    <n v="82"/>
    <n v="0"/>
    <m/>
    <n v="10"/>
    <n v="0"/>
    <m/>
    <m/>
    <m/>
    <m/>
    <m/>
    <n v="28"/>
    <m/>
    <n v="0"/>
    <n v="0"/>
  </r>
  <r>
    <n v="2020"/>
    <n v="2"/>
    <s v="2/01/2020"/>
    <x v="13"/>
    <s v="Male (M)"/>
    <s v="Other"/>
    <s v="5-14 years"/>
    <n v="10"/>
    <m/>
    <n v="0"/>
    <m/>
    <n v="0"/>
    <n v="0"/>
    <n v="0"/>
    <n v="0"/>
    <n v="0"/>
    <n v="0"/>
    <m/>
    <n v="0"/>
    <n v="0"/>
    <n v="0"/>
    <n v="0"/>
  </r>
  <r>
    <n v="2020"/>
    <n v="2"/>
    <s v="2/01/2020"/>
    <x v="13"/>
    <s v="Male (M)"/>
    <s v="Other"/>
    <s v="55-64 years"/>
    <n v="229"/>
    <n v="203"/>
    <m/>
    <n v="39"/>
    <n v="13"/>
    <m/>
    <m/>
    <n v="12"/>
    <m/>
    <m/>
    <m/>
    <n v="70"/>
    <m/>
    <n v="0"/>
    <n v="0"/>
  </r>
  <r>
    <n v="2020"/>
    <n v="2"/>
    <s v="2/01/2020"/>
    <x v="13"/>
    <s v="Male (M)"/>
    <s v="Other"/>
    <s v="65-74 years"/>
    <n v="270"/>
    <n v="249"/>
    <m/>
    <n v="54"/>
    <n v="15"/>
    <m/>
    <m/>
    <n v="20"/>
    <m/>
    <m/>
    <m/>
    <n v="91"/>
    <n v="10"/>
    <n v="0"/>
    <n v="0"/>
  </r>
  <r>
    <n v="2020"/>
    <n v="2"/>
    <s v="2/01/2020"/>
    <x v="13"/>
    <s v="Male (M)"/>
    <s v="Other"/>
    <s v="75-84 years"/>
    <n v="207"/>
    <n v="201"/>
    <m/>
    <n v="35"/>
    <n v="11"/>
    <n v="12"/>
    <m/>
    <n v="14"/>
    <m/>
    <m/>
    <m/>
    <n v="59"/>
    <m/>
    <n v="0"/>
    <n v="0"/>
  </r>
  <r>
    <n v="2020"/>
    <n v="2"/>
    <s v="2/01/2020"/>
    <x v="13"/>
    <s v="Male (M)"/>
    <s v="Other"/>
    <s v="85 years and over"/>
    <n v="123"/>
    <n v="117"/>
    <m/>
    <n v="15"/>
    <m/>
    <m/>
    <m/>
    <m/>
    <n v="0"/>
    <m/>
    <m/>
    <n v="35"/>
    <n v="10"/>
    <n v="0"/>
    <n v="0"/>
  </r>
  <r>
    <n v="2020"/>
    <n v="3"/>
    <s v="3/01/2020"/>
    <x v="14"/>
    <s v="Female (F)"/>
    <s v="Hispanic"/>
    <s v="0-4 years"/>
    <n v="176"/>
    <n v="162"/>
    <n v="0"/>
    <m/>
    <n v="0"/>
    <n v="0"/>
    <m/>
    <n v="0"/>
    <n v="0"/>
    <n v="0"/>
    <n v="11"/>
    <m/>
    <m/>
    <n v="0"/>
    <n v="0"/>
  </r>
  <r>
    <n v="2020"/>
    <n v="3"/>
    <s v="3/01/2020"/>
    <x v="14"/>
    <s v="Female (F)"/>
    <s v="Hispanic"/>
    <s v="15-24 years"/>
    <n v="132"/>
    <n v="47"/>
    <m/>
    <n v="12"/>
    <m/>
    <n v="0"/>
    <m/>
    <m/>
    <m/>
    <n v="0"/>
    <m/>
    <m/>
    <m/>
    <m/>
    <m/>
  </r>
  <r>
    <n v="2020"/>
    <n v="3"/>
    <s v="3/01/2020"/>
    <x v="14"/>
    <s v="Female (F)"/>
    <s v="Hispanic"/>
    <s v="25-34 years"/>
    <n v="199"/>
    <n v="105"/>
    <m/>
    <n v="25"/>
    <m/>
    <n v="0"/>
    <m/>
    <m/>
    <m/>
    <m/>
    <m/>
    <m/>
    <m/>
    <m/>
    <m/>
  </r>
  <r>
    <n v="2020"/>
    <n v="3"/>
    <s v="3/01/2020"/>
    <x v="14"/>
    <s v="Female (F)"/>
    <s v="Hispanic"/>
    <s v="35-44 years"/>
    <n v="324"/>
    <n v="248"/>
    <m/>
    <n v="86"/>
    <n v="18"/>
    <n v="0"/>
    <m/>
    <m/>
    <m/>
    <m/>
    <m/>
    <n v="34"/>
    <m/>
    <n v="13"/>
    <n v="11"/>
  </r>
  <r>
    <n v="2020"/>
    <n v="3"/>
    <s v="3/01/2020"/>
    <x v="14"/>
    <s v="Female (F)"/>
    <s v="Hispanic"/>
    <s v="45-54 years"/>
    <n v="589"/>
    <n v="532"/>
    <m/>
    <n v="218"/>
    <n v="30"/>
    <m/>
    <n v="13"/>
    <m/>
    <m/>
    <m/>
    <m/>
    <n v="67"/>
    <n v="17"/>
    <n v="33"/>
    <n v="31"/>
  </r>
  <r>
    <n v="2020"/>
    <n v="3"/>
    <s v="3/01/2020"/>
    <x v="14"/>
    <s v="Female (F)"/>
    <s v="Hispanic"/>
    <s v="5-14 years"/>
    <n v="41"/>
    <n v="23"/>
    <n v="0"/>
    <m/>
    <n v="0"/>
    <n v="0"/>
    <m/>
    <n v="0"/>
    <m/>
    <n v="0"/>
    <m/>
    <m/>
    <n v="0"/>
    <n v="0"/>
    <n v="0"/>
  </r>
  <r>
    <n v="2020"/>
    <n v="3"/>
    <s v="3/01/2020"/>
    <x v="14"/>
    <s v="Female (F)"/>
    <s v="Hispanic"/>
    <s v="55-64 years"/>
    <n v="1163"/>
    <n v="1109"/>
    <n v="17"/>
    <n v="394"/>
    <n v="77"/>
    <m/>
    <n v="30"/>
    <n v="36"/>
    <n v="26"/>
    <n v="31"/>
    <n v="10"/>
    <n v="147"/>
    <n v="56"/>
    <n v="48"/>
    <n v="44"/>
  </r>
  <r>
    <n v="2020"/>
    <n v="3"/>
    <s v="3/01/2020"/>
    <x v="14"/>
    <s v="Female (F)"/>
    <s v="Hispanic"/>
    <s v="65-74 years"/>
    <n v="1565"/>
    <n v="1530"/>
    <n v="33"/>
    <n v="427"/>
    <n v="102"/>
    <n v="36"/>
    <n v="58"/>
    <n v="52"/>
    <n v="40"/>
    <n v="40"/>
    <n v="14"/>
    <n v="275"/>
    <n v="77"/>
    <n v="73"/>
    <n v="69"/>
  </r>
  <r>
    <n v="2020"/>
    <n v="3"/>
    <s v="3/01/2020"/>
    <x v="14"/>
    <s v="Female (F)"/>
    <s v="Hispanic"/>
    <s v="75-84 years"/>
    <n v="2142"/>
    <n v="2103"/>
    <n v="33"/>
    <n v="427"/>
    <n v="132"/>
    <n v="133"/>
    <n v="70"/>
    <n v="76"/>
    <n v="43"/>
    <n v="56"/>
    <n v="13"/>
    <n v="411"/>
    <n v="164"/>
    <n v="97"/>
    <n v="94"/>
  </r>
  <r>
    <n v="2020"/>
    <n v="3"/>
    <s v="3/01/2020"/>
    <x v="14"/>
    <s v="Female (F)"/>
    <s v="Hispanic"/>
    <s v="85 years and over"/>
    <n v="2981"/>
    <n v="2913"/>
    <n v="26"/>
    <n v="255"/>
    <n v="101"/>
    <n v="383"/>
    <n v="106"/>
    <n v="121"/>
    <n v="29"/>
    <n v="46"/>
    <n v="19"/>
    <n v="785"/>
    <n v="257"/>
    <n v="94"/>
    <n v="88"/>
  </r>
  <r>
    <n v="2020"/>
    <n v="3"/>
    <s v="3/01/2020"/>
    <x v="14"/>
    <s v="Female (F)"/>
    <s v="Non-Hispanic American Indian or Alaska Native"/>
    <s v="0-4 years"/>
    <n v="11"/>
    <m/>
    <n v="0"/>
    <n v="0"/>
    <n v="0"/>
    <n v="0"/>
    <m/>
    <n v="0"/>
    <n v="0"/>
    <n v="0"/>
    <m/>
    <n v="0"/>
    <m/>
    <n v="0"/>
    <n v="0"/>
  </r>
  <r>
    <n v="2020"/>
    <n v="3"/>
    <s v="3/01/2020"/>
    <x v="14"/>
    <s v="Female (F)"/>
    <s v="Non-Hispanic American Indian or Alaska Native"/>
    <s v="15-24 years"/>
    <m/>
    <m/>
    <n v="0"/>
    <n v="0"/>
    <n v="0"/>
    <n v="0"/>
    <n v="0"/>
    <n v="0"/>
    <n v="0"/>
    <n v="0"/>
    <n v="0"/>
    <n v="0"/>
    <n v="0"/>
    <n v="0"/>
    <n v="0"/>
  </r>
  <r>
    <n v="2020"/>
    <n v="3"/>
    <s v="3/01/2020"/>
    <x v="14"/>
    <s v="Female (F)"/>
    <s v="Non-Hispanic American Indian or Alaska Native"/>
    <s v="25-34 years"/>
    <n v="48"/>
    <n v="16"/>
    <n v="0"/>
    <n v="0"/>
    <m/>
    <n v="0"/>
    <m/>
    <n v="0"/>
    <n v="0"/>
    <n v="0"/>
    <m/>
    <m/>
    <m/>
    <n v="0"/>
    <n v="0"/>
  </r>
  <r>
    <n v="2020"/>
    <n v="3"/>
    <s v="3/01/2020"/>
    <x v="14"/>
    <s v="Female (F)"/>
    <s v="Non-Hispanic American Indian or Alaska Native"/>
    <s v="35-44 years"/>
    <n v="54"/>
    <n v="42"/>
    <m/>
    <m/>
    <m/>
    <n v="0"/>
    <m/>
    <m/>
    <m/>
    <n v="0"/>
    <m/>
    <m/>
    <m/>
    <n v="0"/>
    <n v="0"/>
  </r>
  <r>
    <n v="2020"/>
    <n v="3"/>
    <s v="3/01/2020"/>
    <x v="14"/>
    <s v="Female (F)"/>
    <s v="Non-Hispanic American Indian or Alaska Native"/>
    <s v="45-54 years"/>
    <n v="79"/>
    <n v="66"/>
    <m/>
    <n v="12"/>
    <m/>
    <n v="0"/>
    <m/>
    <m/>
    <m/>
    <m/>
    <n v="0"/>
    <n v="11"/>
    <m/>
    <m/>
    <m/>
  </r>
  <r>
    <n v="2020"/>
    <n v="3"/>
    <s v="3/01/2020"/>
    <x v="14"/>
    <s v="Female (F)"/>
    <s v="Non-Hispanic American Indian or Alaska Native"/>
    <s v="5-14 years"/>
    <m/>
    <m/>
    <n v="0"/>
    <n v="0"/>
    <n v="0"/>
    <n v="0"/>
    <n v="0"/>
    <n v="0"/>
    <n v="0"/>
    <n v="0"/>
    <m/>
    <n v="0"/>
    <n v="0"/>
    <n v="0"/>
    <n v="0"/>
  </r>
  <r>
    <n v="2020"/>
    <n v="3"/>
    <s v="3/01/2020"/>
    <x v="14"/>
    <s v="Female (F)"/>
    <s v="Non-Hispanic American Indian or Alaska Native"/>
    <s v="55-64 years"/>
    <n v="132"/>
    <n v="124"/>
    <m/>
    <n v="26"/>
    <m/>
    <m/>
    <n v="11"/>
    <m/>
    <m/>
    <m/>
    <n v="0"/>
    <n v="18"/>
    <m/>
    <m/>
    <m/>
  </r>
  <r>
    <n v="2020"/>
    <n v="3"/>
    <s v="3/01/2020"/>
    <x v="14"/>
    <s v="Female (F)"/>
    <s v="Non-Hispanic American Indian or Alaska Native"/>
    <s v="65-74 years"/>
    <n v="152"/>
    <n v="145"/>
    <m/>
    <n v="34"/>
    <m/>
    <m/>
    <m/>
    <n v="11"/>
    <m/>
    <m/>
    <n v="0"/>
    <n v="25"/>
    <m/>
    <m/>
    <m/>
  </r>
  <r>
    <n v="2020"/>
    <n v="3"/>
    <s v="3/01/2020"/>
    <x v="14"/>
    <s v="Female (F)"/>
    <s v="Non-Hispanic American Indian or Alaska Native"/>
    <s v="75-84 years"/>
    <n v="147"/>
    <n v="142"/>
    <m/>
    <n v="26"/>
    <m/>
    <m/>
    <m/>
    <m/>
    <m/>
    <m/>
    <m/>
    <n v="30"/>
    <m/>
    <m/>
    <m/>
  </r>
  <r>
    <n v="2020"/>
    <n v="3"/>
    <s v="3/01/2020"/>
    <x v="14"/>
    <s v="Female (F)"/>
    <s v="Non-Hispanic American Indian or Alaska Native"/>
    <s v="85 years and over"/>
    <n v="141"/>
    <n v="137"/>
    <n v="0"/>
    <n v="14"/>
    <m/>
    <m/>
    <n v="11"/>
    <n v="12"/>
    <m/>
    <m/>
    <m/>
    <n v="26"/>
    <n v="14"/>
    <m/>
    <n v="0"/>
  </r>
  <r>
    <n v="2020"/>
    <n v="3"/>
    <s v="3/01/2020"/>
    <x v="14"/>
    <s v="Female (F)"/>
    <s v="Non-Hispanic Asian"/>
    <s v="0-4 years"/>
    <n v="26"/>
    <n v="25"/>
    <n v="0"/>
    <m/>
    <n v="0"/>
    <n v="0"/>
    <m/>
    <n v="0"/>
    <n v="0"/>
    <n v="0"/>
    <m/>
    <n v="0"/>
    <n v="0"/>
    <n v="0"/>
    <n v="0"/>
  </r>
  <r>
    <n v="2020"/>
    <n v="3"/>
    <s v="3/01/2020"/>
    <x v="14"/>
    <s v="Female (F)"/>
    <s v="Non-Hispanic Asian"/>
    <s v="15-24 years"/>
    <n v="21"/>
    <m/>
    <n v="0"/>
    <m/>
    <n v="0"/>
    <n v="0"/>
    <n v="0"/>
    <m/>
    <n v="0"/>
    <n v="0"/>
    <n v="0"/>
    <m/>
    <n v="0"/>
    <n v="0"/>
    <n v="0"/>
  </r>
  <r>
    <n v="2020"/>
    <n v="3"/>
    <s v="3/01/2020"/>
    <x v="14"/>
    <s v="Female (F)"/>
    <s v="Non-Hispanic Asian"/>
    <s v="25-34 years"/>
    <n v="30"/>
    <n v="25"/>
    <n v="0"/>
    <m/>
    <m/>
    <n v="0"/>
    <m/>
    <n v="0"/>
    <n v="0"/>
    <n v="0"/>
    <m/>
    <m/>
    <n v="0"/>
    <m/>
    <m/>
  </r>
  <r>
    <n v="2020"/>
    <n v="3"/>
    <s v="3/01/2020"/>
    <x v="14"/>
    <s v="Female (F)"/>
    <s v="Non-Hispanic Asian"/>
    <s v="35-44 years"/>
    <n v="75"/>
    <n v="60"/>
    <m/>
    <n v="27"/>
    <m/>
    <n v="0"/>
    <m/>
    <m/>
    <m/>
    <m/>
    <m/>
    <m/>
    <m/>
    <m/>
    <m/>
  </r>
  <r>
    <n v="2020"/>
    <n v="3"/>
    <s v="3/01/2020"/>
    <x v="14"/>
    <s v="Female (F)"/>
    <s v="Non-Hispanic Asian"/>
    <s v="45-54 years"/>
    <n v="152"/>
    <n v="139"/>
    <m/>
    <n v="75"/>
    <m/>
    <n v="0"/>
    <m/>
    <m/>
    <m/>
    <m/>
    <m/>
    <n v="16"/>
    <m/>
    <m/>
    <m/>
  </r>
  <r>
    <n v="2020"/>
    <n v="3"/>
    <s v="3/01/2020"/>
    <x v="14"/>
    <s v="Female (F)"/>
    <s v="Non-Hispanic Asian"/>
    <s v="5-14 years"/>
    <m/>
    <m/>
    <n v="0"/>
    <m/>
    <n v="0"/>
    <n v="0"/>
    <n v="0"/>
    <m/>
    <n v="0"/>
    <n v="0"/>
    <n v="0"/>
    <n v="0"/>
    <n v="0"/>
    <n v="0"/>
    <n v="0"/>
  </r>
  <r>
    <n v="2020"/>
    <n v="3"/>
    <s v="3/01/2020"/>
    <x v="14"/>
    <s v="Female (F)"/>
    <s v="Non-Hispanic Asian"/>
    <s v="55-64 years"/>
    <n v="318"/>
    <n v="301"/>
    <m/>
    <n v="143"/>
    <m/>
    <m/>
    <n v="10"/>
    <m/>
    <n v="0"/>
    <m/>
    <m/>
    <n v="40"/>
    <n v="18"/>
    <n v="22"/>
    <n v="20"/>
  </r>
  <r>
    <n v="2020"/>
    <n v="3"/>
    <s v="3/01/2020"/>
    <x v="14"/>
    <s v="Female (F)"/>
    <s v="Non-Hispanic Asian"/>
    <s v="65-74 years"/>
    <n v="555"/>
    <n v="528"/>
    <m/>
    <n v="182"/>
    <n v="23"/>
    <m/>
    <n v="11"/>
    <m/>
    <m/>
    <m/>
    <m/>
    <n v="95"/>
    <n v="48"/>
    <n v="30"/>
    <n v="27"/>
  </r>
  <r>
    <n v="2020"/>
    <n v="3"/>
    <s v="3/01/2020"/>
    <x v="14"/>
    <s v="Female (F)"/>
    <s v="Non-Hispanic Asian"/>
    <s v="75-84 years"/>
    <n v="846"/>
    <n v="827"/>
    <n v="12"/>
    <n v="182"/>
    <n v="49"/>
    <n v="28"/>
    <n v="37"/>
    <n v="23"/>
    <n v="18"/>
    <n v="17"/>
    <m/>
    <n v="169"/>
    <n v="84"/>
    <n v="44"/>
    <n v="42"/>
  </r>
  <r>
    <n v="2020"/>
    <n v="3"/>
    <s v="3/01/2020"/>
    <x v="14"/>
    <s v="Female (F)"/>
    <s v="Non-Hispanic Asian"/>
    <s v="85 years and over"/>
    <n v="1454"/>
    <n v="1423"/>
    <n v="13"/>
    <n v="135"/>
    <n v="53"/>
    <n v="134"/>
    <n v="56"/>
    <n v="43"/>
    <n v="25"/>
    <n v="31"/>
    <n v="17"/>
    <n v="383"/>
    <n v="129"/>
    <n v="44"/>
    <n v="43"/>
  </r>
  <r>
    <n v="2020"/>
    <n v="3"/>
    <s v="3/01/2020"/>
    <x v="14"/>
    <s v="Female (F)"/>
    <s v="Non-Hispanic Black"/>
    <s v="0-4 years"/>
    <n v="265"/>
    <n v="231"/>
    <m/>
    <m/>
    <n v="0"/>
    <n v="0"/>
    <m/>
    <n v="0"/>
    <m/>
    <n v="0"/>
    <n v="47"/>
    <n v="14"/>
    <m/>
    <m/>
    <m/>
  </r>
  <r>
    <n v="2020"/>
    <n v="3"/>
    <s v="3/01/2020"/>
    <x v="14"/>
    <s v="Female (F)"/>
    <s v="Non-Hispanic Black"/>
    <s v="15-24 years"/>
    <n v="147"/>
    <n v="73"/>
    <m/>
    <m/>
    <m/>
    <n v="0"/>
    <m/>
    <m/>
    <m/>
    <m/>
    <n v="10"/>
    <m/>
    <m/>
    <m/>
    <m/>
  </r>
  <r>
    <n v="2020"/>
    <n v="3"/>
    <s v="3/01/2020"/>
    <x v="14"/>
    <s v="Female (F)"/>
    <s v="Non-Hispanic Black"/>
    <s v="25-34 years"/>
    <n v="407"/>
    <n v="238"/>
    <m/>
    <n v="20"/>
    <n v="18"/>
    <n v="0"/>
    <n v="11"/>
    <m/>
    <m/>
    <m/>
    <n v="11"/>
    <n v="42"/>
    <n v="12"/>
    <n v="16"/>
    <n v="16"/>
  </r>
  <r>
    <n v="2020"/>
    <n v="3"/>
    <s v="3/01/2020"/>
    <x v="14"/>
    <s v="Female (F)"/>
    <s v="Non-Hispanic Black"/>
    <s v="35-44 years"/>
    <n v="641"/>
    <n v="493"/>
    <n v="11"/>
    <n v="98"/>
    <n v="23"/>
    <n v="0"/>
    <n v="17"/>
    <m/>
    <m/>
    <n v="10"/>
    <n v="14"/>
    <n v="95"/>
    <n v="27"/>
    <n v="31"/>
    <n v="31"/>
  </r>
  <r>
    <n v="2020"/>
    <n v="3"/>
    <s v="3/01/2020"/>
    <x v="14"/>
    <s v="Female (F)"/>
    <s v="Non-Hispanic Black"/>
    <s v="45-54 years"/>
    <n v="1249"/>
    <n v="1127"/>
    <n v="30"/>
    <n v="274"/>
    <n v="66"/>
    <n v="0"/>
    <n v="26"/>
    <n v="31"/>
    <n v="15"/>
    <n v="34"/>
    <n v="22"/>
    <n v="242"/>
    <n v="47"/>
    <n v="75"/>
    <n v="69"/>
  </r>
  <r>
    <n v="2020"/>
    <n v="3"/>
    <s v="3/01/2020"/>
    <x v="14"/>
    <s v="Female (F)"/>
    <s v="Non-Hispanic Black"/>
    <s v="5-14 years"/>
    <n v="32"/>
    <n v="22"/>
    <m/>
    <m/>
    <n v="0"/>
    <n v="0"/>
    <m/>
    <m/>
    <n v="0"/>
    <n v="0"/>
    <m/>
    <n v="0"/>
    <m/>
    <n v="0"/>
    <n v="0"/>
  </r>
  <r>
    <n v="2020"/>
    <n v="3"/>
    <s v="3/01/2020"/>
    <x v="14"/>
    <s v="Female (F)"/>
    <s v="Non-Hispanic Black"/>
    <s v="55-64 years"/>
    <n v="2665"/>
    <n v="2521"/>
    <n v="53"/>
    <n v="676"/>
    <n v="124"/>
    <m/>
    <n v="63"/>
    <n v="120"/>
    <n v="40"/>
    <n v="70"/>
    <n v="30"/>
    <n v="566"/>
    <n v="134"/>
    <n v="159"/>
    <n v="152"/>
  </r>
  <r>
    <n v="2020"/>
    <n v="3"/>
    <s v="3/01/2020"/>
    <x v="14"/>
    <s v="Female (F)"/>
    <s v="Non-Hispanic Black"/>
    <s v="65-74 years"/>
    <n v="3496"/>
    <n v="3409"/>
    <n v="64"/>
    <n v="886"/>
    <n v="196"/>
    <n v="52"/>
    <n v="108"/>
    <n v="149"/>
    <n v="49"/>
    <n v="99"/>
    <n v="30"/>
    <n v="770"/>
    <n v="191"/>
    <n v="250"/>
    <n v="230"/>
  </r>
  <r>
    <n v="2020"/>
    <n v="3"/>
    <s v="3/01/2020"/>
    <x v="14"/>
    <s v="Female (F)"/>
    <s v="Non-Hispanic Black"/>
    <s v="75-84 years"/>
    <n v="3738"/>
    <n v="3668"/>
    <n v="66"/>
    <n v="684"/>
    <n v="188"/>
    <n v="168"/>
    <n v="84"/>
    <n v="164"/>
    <n v="55"/>
    <n v="133"/>
    <n v="33"/>
    <n v="904"/>
    <n v="243"/>
    <n v="236"/>
    <n v="220"/>
  </r>
  <r>
    <n v="2020"/>
    <n v="3"/>
    <s v="3/01/2020"/>
    <x v="14"/>
    <s v="Female (F)"/>
    <s v="Non-Hispanic Black"/>
    <s v="85 years and over"/>
    <n v="4158"/>
    <n v="4107"/>
    <n v="63"/>
    <n v="382"/>
    <n v="133"/>
    <n v="401"/>
    <n v="109"/>
    <n v="113"/>
    <n v="46"/>
    <n v="123"/>
    <n v="56"/>
    <n v="1066"/>
    <n v="352"/>
    <n v="179"/>
    <n v="168"/>
  </r>
  <r>
    <n v="2020"/>
    <n v="3"/>
    <s v="3/01/2020"/>
    <x v="14"/>
    <s v="Female (F)"/>
    <s v="Non-Hispanic White"/>
    <s v="0-4 years"/>
    <n v="320"/>
    <n v="284"/>
    <m/>
    <m/>
    <n v="0"/>
    <n v="0"/>
    <m/>
    <n v="0"/>
    <m/>
    <n v="0"/>
    <n v="42"/>
    <m/>
    <m/>
    <n v="0"/>
    <n v="0"/>
  </r>
  <r>
    <n v="2020"/>
    <n v="3"/>
    <s v="3/01/2020"/>
    <x v="14"/>
    <s v="Female (F)"/>
    <s v="Non-Hispanic White"/>
    <s v="15-24 years"/>
    <n v="356"/>
    <n v="129"/>
    <m/>
    <n v="31"/>
    <m/>
    <n v="0"/>
    <m/>
    <m/>
    <m/>
    <n v="0"/>
    <n v="16"/>
    <n v="13"/>
    <m/>
    <n v="0"/>
    <n v="0"/>
  </r>
  <r>
    <n v="2020"/>
    <n v="3"/>
    <s v="3/01/2020"/>
    <x v="14"/>
    <s v="Female (F)"/>
    <s v="Non-Hispanic White"/>
    <s v="25-34 years"/>
    <n v="1033"/>
    <n v="459"/>
    <m/>
    <n v="91"/>
    <n v="20"/>
    <n v="0"/>
    <n v="24"/>
    <m/>
    <m/>
    <m/>
    <n v="24"/>
    <n v="68"/>
    <n v="10"/>
    <m/>
    <m/>
  </r>
  <r>
    <n v="2020"/>
    <n v="3"/>
    <s v="3/01/2020"/>
    <x v="14"/>
    <s v="Female (F)"/>
    <s v="Non-Hispanic White"/>
    <s v="35-44 years"/>
    <n v="1682"/>
    <n v="1048"/>
    <n v="24"/>
    <n v="282"/>
    <n v="38"/>
    <m/>
    <n v="44"/>
    <n v="29"/>
    <n v="18"/>
    <n v="18"/>
    <n v="39"/>
    <n v="154"/>
    <n v="23"/>
    <n v="13"/>
    <n v="11"/>
  </r>
  <r>
    <n v="2020"/>
    <n v="3"/>
    <s v="3/01/2020"/>
    <x v="14"/>
    <s v="Female (F)"/>
    <s v="Non-Hispanic White"/>
    <s v="45-54 years"/>
    <n v="3379"/>
    <n v="2759"/>
    <n v="76"/>
    <n v="937"/>
    <n v="114"/>
    <m/>
    <n v="96"/>
    <n v="130"/>
    <n v="31"/>
    <n v="36"/>
    <n v="54"/>
    <n v="465"/>
    <n v="99"/>
    <n v="25"/>
    <n v="25"/>
  </r>
  <r>
    <n v="2020"/>
    <n v="3"/>
    <s v="3/01/2020"/>
    <x v="14"/>
    <s v="Female (F)"/>
    <s v="Non-Hispanic White"/>
    <s v="5-14 years"/>
    <n v="88"/>
    <n v="56"/>
    <m/>
    <n v="22"/>
    <n v="0"/>
    <n v="0"/>
    <m/>
    <m/>
    <m/>
    <n v="0"/>
    <m/>
    <n v="0"/>
    <m/>
    <n v="0"/>
    <n v="0"/>
  </r>
  <r>
    <n v="2020"/>
    <n v="3"/>
    <s v="3/01/2020"/>
    <x v="14"/>
    <s v="Female (F)"/>
    <s v="Non-Hispanic White"/>
    <s v="55-64 years"/>
    <n v="9258"/>
    <n v="8575"/>
    <n v="167"/>
    <n v="3056"/>
    <n v="293"/>
    <n v="58"/>
    <n v="279"/>
    <n v="780"/>
    <n v="168"/>
    <n v="120"/>
    <n v="104"/>
    <n v="1370"/>
    <n v="284"/>
    <n v="86"/>
    <n v="79"/>
  </r>
  <r>
    <n v="2020"/>
    <n v="3"/>
    <s v="3/01/2020"/>
    <x v="14"/>
    <s v="Female (F)"/>
    <s v="Non-Hispanic White"/>
    <s v="65-74 years"/>
    <n v="16366"/>
    <n v="15874"/>
    <n v="296"/>
    <n v="5027"/>
    <n v="567"/>
    <n v="387"/>
    <n v="448"/>
    <n v="1597"/>
    <n v="317"/>
    <n v="298"/>
    <n v="142"/>
    <n v="2769"/>
    <n v="713"/>
    <n v="213"/>
    <n v="201"/>
  </r>
  <r>
    <n v="2020"/>
    <n v="3"/>
    <s v="3/01/2020"/>
    <x v="14"/>
    <s v="Female (F)"/>
    <s v="Non-Hispanic White"/>
    <s v="75-84 years"/>
    <n v="24590"/>
    <n v="23942"/>
    <n v="369"/>
    <n v="5174"/>
    <n v="596"/>
    <n v="1653"/>
    <n v="716"/>
    <n v="2336"/>
    <n v="517"/>
    <n v="390"/>
    <n v="248"/>
    <n v="4727"/>
    <n v="1481"/>
    <n v="372"/>
    <n v="358"/>
  </r>
  <r>
    <n v="2020"/>
    <n v="3"/>
    <s v="3/01/2020"/>
    <x v="14"/>
    <s v="Female (F)"/>
    <s v="Non-Hispanic White"/>
    <s v="85 years and over"/>
    <n v="40872"/>
    <n v="39706"/>
    <n v="426"/>
    <n v="3735"/>
    <n v="597"/>
    <n v="4247"/>
    <n v="1192"/>
    <n v="2117"/>
    <n v="639"/>
    <n v="610"/>
    <n v="648"/>
    <n v="11224"/>
    <n v="3105"/>
    <n v="524"/>
    <n v="497"/>
  </r>
  <r>
    <n v="2020"/>
    <n v="3"/>
    <s v="3/01/2020"/>
    <x v="14"/>
    <s v="Female (F)"/>
    <s v="Other"/>
    <s v="0-4 years"/>
    <n v="39"/>
    <n v="34"/>
    <n v="0"/>
    <n v="0"/>
    <n v="0"/>
    <n v="0"/>
    <m/>
    <n v="0"/>
    <n v="0"/>
    <n v="0"/>
    <m/>
    <n v="0"/>
    <n v="0"/>
    <n v="0"/>
    <n v="0"/>
  </r>
  <r>
    <n v="2020"/>
    <n v="3"/>
    <s v="3/01/2020"/>
    <x v="14"/>
    <s v="Female (F)"/>
    <s v="Other"/>
    <s v="15-24 years"/>
    <n v="14"/>
    <m/>
    <n v="0"/>
    <n v="0"/>
    <n v="0"/>
    <n v="0"/>
    <n v="0"/>
    <n v="0"/>
    <n v="0"/>
    <n v="0"/>
    <m/>
    <n v="0"/>
    <n v="0"/>
    <n v="0"/>
    <n v="0"/>
  </r>
  <r>
    <n v="2020"/>
    <n v="3"/>
    <s v="3/01/2020"/>
    <x v="14"/>
    <s v="Female (F)"/>
    <s v="Other"/>
    <s v="25-34 years"/>
    <n v="28"/>
    <n v="18"/>
    <n v="0"/>
    <m/>
    <n v="0"/>
    <n v="0"/>
    <m/>
    <m/>
    <n v="0"/>
    <n v="0"/>
    <m/>
    <m/>
    <n v="0"/>
    <m/>
    <m/>
  </r>
  <r>
    <n v="2020"/>
    <n v="3"/>
    <s v="3/01/2020"/>
    <x v="14"/>
    <s v="Female (F)"/>
    <s v="Other"/>
    <s v="35-44 years"/>
    <n v="44"/>
    <n v="31"/>
    <m/>
    <m/>
    <n v="0"/>
    <n v="0"/>
    <n v="0"/>
    <n v="0"/>
    <n v="0"/>
    <n v="0"/>
    <m/>
    <m/>
    <n v="0"/>
    <m/>
    <m/>
  </r>
  <r>
    <n v="2020"/>
    <n v="3"/>
    <s v="3/01/2020"/>
    <x v="14"/>
    <s v="Female (F)"/>
    <s v="Other"/>
    <s v="45-54 years"/>
    <n v="91"/>
    <n v="71"/>
    <m/>
    <n v="20"/>
    <m/>
    <n v="0"/>
    <m/>
    <m/>
    <n v="0"/>
    <m/>
    <m/>
    <n v="17"/>
    <m/>
    <m/>
    <m/>
  </r>
  <r>
    <n v="2020"/>
    <n v="3"/>
    <s v="3/01/2020"/>
    <x v="14"/>
    <s v="Female (F)"/>
    <s v="Other"/>
    <s v="5-14 years"/>
    <m/>
    <m/>
    <m/>
    <n v="0"/>
    <n v="0"/>
    <n v="0"/>
    <m/>
    <n v="0"/>
    <n v="0"/>
    <n v="0"/>
    <n v="0"/>
    <n v="0"/>
    <n v="0"/>
    <n v="0"/>
    <n v="0"/>
  </r>
  <r>
    <n v="2020"/>
    <n v="3"/>
    <s v="3/01/2020"/>
    <x v="14"/>
    <s v="Female (F)"/>
    <s v="Other"/>
    <s v="55-64 years"/>
    <n v="152"/>
    <n v="137"/>
    <m/>
    <n v="34"/>
    <m/>
    <n v="0"/>
    <m/>
    <m/>
    <m/>
    <m/>
    <m/>
    <n v="37"/>
    <m/>
    <m/>
    <m/>
  </r>
  <r>
    <n v="2020"/>
    <n v="3"/>
    <s v="3/01/2020"/>
    <x v="14"/>
    <s v="Female (F)"/>
    <s v="Other"/>
    <s v="65-74 years"/>
    <n v="213"/>
    <n v="208"/>
    <m/>
    <n v="58"/>
    <m/>
    <m/>
    <m/>
    <n v="11"/>
    <n v="0"/>
    <m/>
    <m/>
    <n v="53"/>
    <m/>
    <n v="10"/>
    <m/>
  </r>
  <r>
    <n v="2020"/>
    <n v="3"/>
    <s v="3/01/2020"/>
    <x v="14"/>
    <s v="Female (F)"/>
    <s v="Other"/>
    <s v="75-84 years"/>
    <n v="200"/>
    <n v="197"/>
    <m/>
    <n v="42"/>
    <n v="10"/>
    <m/>
    <m/>
    <n v="13"/>
    <m/>
    <m/>
    <m/>
    <n v="50"/>
    <n v="12"/>
    <m/>
    <m/>
  </r>
  <r>
    <n v="2020"/>
    <n v="3"/>
    <s v="3/01/2020"/>
    <x v="14"/>
    <s v="Female (F)"/>
    <s v="Other"/>
    <s v="85 years and over"/>
    <n v="186"/>
    <n v="184"/>
    <m/>
    <n v="19"/>
    <m/>
    <n v="15"/>
    <m/>
    <m/>
    <m/>
    <m/>
    <m/>
    <n v="49"/>
    <n v="14"/>
    <n v="10"/>
    <n v="10"/>
  </r>
  <r>
    <n v="2020"/>
    <n v="3"/>
    <s v="3/01/2020"/>
    <x v="14"/>
    <s v="Male (M)"/>
    <s v="Hispanic"/>
    <s v="0-4 years"/>
    <n v="235"/>
    <n v="209"/>
    <m/>
    <m/>
    <n v="0"/>
    <n v="0"/>
    <m/>
    <n v="0"/>
    <m/>
    <n v="0"/>
    <n v="25"/>
    <m/>
    <m/>
    <m/>
    <m/>
  </r>
  <r>
    <n v="2020"/>
    <n v="3"/>
    <s v="3/01/2020"/>
    <x v="14"/>
    <s v="Male (M)"/>
    <s v="Hispanic"/>
    <s v="15-24 years"/>
    <n v="406"/>
    <n v="78"/>
    <m/>
    <n v="21"/>
    <m/>
    <n v="0"/>
    <m/>
    <m/>
    <m/>
    <m/>
    <m/>
    <m/>
    <m/>
    <m/>
    <m/>
  </r>
  <r>
    <n v="2020"/>
    <n v="3"/>
    <s v="3/01/2020"/>
    <x v="14"/>
    <s v="Male (M)"/>
    <s v="Hispanic"/>
    <s v="25-34 years"/>
    <n v="643"/>
    <n v="217"/>
    <m/>
    <n v="32"/>
    <m/>
    <n v="0"/>
    <n v="10"/>
    <m/>
    <m/>
    <m/>
    <n v="21"/>
    <n v="27"/>
    <m/>
    <n v="30"/>
    <n v="27"/>
  </r>
  <r>
    <n v="2020"/>
    <n v="3"/>
    <s v="3/01/2020"/>
    <x v="14"/>
    <s v="Male (M)"/>
    <s v="Hispanic"/>
    <s v="35-44 years"/>
    <n v="854"/>
    <n v="490"/>
    <m/>
    <n v="73"/>
    <n v="22"/>
    <n v="0"/>
    <n v="18"/>
    <m/>
    <m/>
    <m/>
    <n v="27"/>
    <n v="89"/>
    <n v="16"/>
    <n v="65"/>
    <n v="64"/>
  </r>
  <r>
    <n v="2020"/>
    <n v="3"/>
    <s v="3/01/2020"/>
    <x v="14"/>
    <s v="Male (M)"/>
    <s v="Hispanic"/>
    <s v="45-54 years"/>
    <n v="1226"/>
    <n v="980"/>
    <n v="11"/>
    <n v="191"/>
    <n v="64"/>
    <m/>
    <n v="31"/>
    <n v="10"/>
    <m/>
    <n v="11"/>
    <n v="11"/>
    <n v="224"/>
    <n v="61"/>
    <n v="114"/>
    <n v="111"/>
  </r>
  <r>
    <n v="2020"/>
    <n v="3"/>
    <s v="3/01/2020"/>
    <x v="14"/>
    <s v="Male (M)"/>
    <s v="Hispanic"/>
    <s v="5-14 years"/>
    <n v="50"/>
    <n v="31"/>
    <n v="0"/>
    <m/>
    <n v="0"/>
    <n v="0"/>
    <n v="0"/>
    <m/>
    <n v="0"/>
    <n v="0"/>
    <m/>
    <m/>
    <m/>
    <n v="0"/>
    <n v="0"/>
  </r>
  <r>
    <n v="2020"/>
    <n v="3"/>
    <s v="3/01/2020"/>
    <x v="14"/>
    <s v="Male (M)"/>
    <s v="Hispanic"/>
    <s v="55-64 years"/>
    <n v="2057"/>
    <n v="1845"/>
    <n v="30"/>
    <n v="399"/>
    <n v="132"/>
    <m/>
    <n v="64"/>
    <n v="33"/>
    <n v="31"/>
    <n v="37"/>
    <n v="22"/>
    <n v="450"/>
    <n v="82"/>
    <n v="154"/>
    <n v="147"/>
  </r>
  <r>
    <n v="2020"/>
    <n v="3"/>
    <s v="3/01/2020"/>
    <x v="14"/>
    <s v="Male (M)"/>
    <s v="Hispanic"/>
    <s v="65-74 years"/>
    <n v="2248"/>
    <n v="2154"/>
    <n v="25"/>
    <n v="570"/>
    <n v="143"/>
    <n v="26"/>
    <n v="70"/>
    <n v="61"/>
    <n v="54"/>
    <n v="62"/>
    <n v="15"/>
    <n v="467"/>
    <n v="103"/>
    <n v="164"/>
    <n v="157"/>
  </r>
  <r>
    <n v="2020"/>
    <n v="3"/>
    <s v="3/01/2020"/>
    <x v="14"/>
    <s v="Male (M)"/>
    <s v="Hispanic"/>
    <s v="75-84 years"/>
    <n v="2159"/>
    <n v="2110"/>
    <n v="28"/>
    <n v="416"/>
    <n v="123"/>
    <n v="86"/>
    <n v="52"/>
    <n v="79"/>
    <n v="54"/>
    <n v="48"/>
    <n v="15"/>
    <n v="513"/>
    <n v="130"/>
    <n v="136"/>
    <n v="126"/>
  </r>
  <r>
    <n v="2020"/>
    <n v="3"/>
    <s v="3/01/2020"/>
    <x v="14"/>
    <s v="Male (M)"/>
    <s v="Hispanic"/>
    <s v="85 years and over"/>
    <n v="1927"/>
    <n v="1877"/>
    <n v="29"/>
    <n v="242"/>
    <n v="65"/>
    <n v="142"/>
    <n v="72"/>
    <n v="93"/>
    <n v="37"/>
    <n v="43"/>
    <n v="18"/>
    <n v="524"/>
    <n v="145"/>
    <n v="86"/>
    <n v="82"/>
  </r>
  <r>
    <n v="2020"/>
    <n v="3"/>
    <s v="3/01/2020"/>
    <x v="14"/>
    <s v="Male (M)"/>
    <s v="Non-Hispanic American Indian or Alaska Native"/>
    <s v="0-4 years"/>
    <n v="11"/>
    <m/>
    <n v="0"/>
    <m/>
    <n v="0"/>
    <n v="0"/>
    <n v="0"/>
    <n v="0"/>
    <n v="0"/>
    <n v="0"/>
    <m/>
    <n v="0"/>
    <n v="0"/>
    <n v="0"/>
    <n v="0"/>
  </r>
  <r>
    <n v="2020"/>
    <n v="3"/>
    <s v="3/01/2020"/>
    <x v="14"/>
    <s v="Male (M)"/>
    <s v="Non-Hispanic American Indian or Alaska Native"/>
    <s v="15-24 years"/>
    <n v="33"/>
    <m/>
    <n v="0"/>
    <n v="0"/>
    <n v="0"/>
    <n v="0"/>
    <m/>
    <m/>
    <n v="0"/>
    <n v="0"/>
    <n v="0"/>
    <n v="0"/>
    <n v="0"/>
    <m/>
    <m/>
  </r>
  <r>
    <n v="2020"/>
    <n v="3"/>
    <s v="3/01/2020"/>
    <x v="14"/>
    <s v="Male (M)"/>
    <s v="Non-Hispanic American Indian or Alaska Native"/>
    <s v="25-34 years"/>
    <n v="67"/>
    <n v="20"/>
    <n v="0"/>
    <n v="0"/>
    <m/>
    <n v="0"/>
    <n v="0"/>
    <n v="0"/>
    <m/>
    <n v="0"/>
    <m/>
    <m/>
    <n v="0"/>
    <m/>
    <m/>
  </r>
  <r>
    <n v="2020"/>
    <n v="3"/>
    <s v="3/01/2020"/>
    <x v="14"/>
    <s v="Male (M)"/>
    <s v="Non-Hispanic American Indian or Alaska Native"/>
    <s v="35-44 years"/>
    <n v="89"/>
    <n v="48"/>
    <n v="0"/>
    <m/>
    <m/>
    <n v="0"/>
    <m/>
    <n v="0"/>
    <n v="0"/>
    <n v="0"/>
    <m/>
    <n v="10"/>
    <n v="0"/>
    <n v="0"/>
    <n v="0"/>
  </r>
  <r>
    <n v="2020"/>
    <n v="3"/>
    <s v="3/01/2020"/>
    <x v="14"/>
    <s v="Male (M)"/>
    <s v="Non-Hispanic American Indian or Alaska Native"/>
    <s v="45-54 years"/>
    <n v="97"/>
    <n v="77"/>
    <n v="0"/>
    <m/>
    <m/>
    <n v="0"/>
    <m/>
    <n v="0"/>
    <n v="0"/>
    <m/>
    <m/>
    <n v="15"/>
    <m/>
    <m/>
    <m/>
  </r>
  <r>
    <n v="2020"/>
    <n v="3"/>
    <s v="3/01/2020"/>
    <x v="14"/>
    <s v="Male (M)"/>
    <s v="Non-Hispanic American Indian or Alaska Native"/>
    <s v="5-14 years"/>
    <m/>
    <m/>
    <n v="0"/>
    <m/>
    <n v="0"/>
    <n v="0"/>
    <n v="0"/>
    <m/>
    <n v="0"/>
    <n v="0"/>
    <n v="0"/>
    <n v="0"/>
    <n v="0"/>
    <m/>
    <n v="0"/>
  </r>
  <r>
    <n v="2020"/>
    <n v="3"/>
    <s v="3/01/2020"/>
    <x v="14"/>
    <s v="Male (M)"/>
    <s v="Non-Hispanic American Indian or Alaska Native"/>
    <s v="55-64 years"/>
    <n v="169"/>
    <n v="151"/>
    <m/>
    <n v="29"/>
    <m/>
    <m/>
    <m/>
    <m/>
    <m/>
    <m/>
    <m/>
    <n v="38"/>
    <m/>
    <m/>
    <m/>
  </r>
  <r>
    <n v="2020"/>
    <n v="3"/>
    <s v="3/01/2020"/>
    <x v="14"/>
    <s v="Male (M)"/>
    <s v="Non-Hispanic American Indian or Alaska Native"/>
    <s v="65-74 years"/>
    <n v="189"/>
    <n v="180"/>
    <m/>
    <n v="45"/>
    <n v="16"/>
    <n v="0"/>
    <m/>
    <n v="10"/>
    <m/>
    <m/>
    <m/>
    <n v="47"/>
    <n v="11"/>
    <m/>
    <m/>
  </r>
  <r>
    <n v="2020"/>
    <n v="3"/>
    <s v="3/01/2020"/>
    <x v="14"/>
    <s v="Male (M)"/>
    <s v="Non-Hispanic American Indian or Alaska Native"/>
    <s v="75-84 years"/>
    <n v="161"/>
    <n v="159"/>
    <m/>
    <n v="29"/>
    <n v="11"/>
    <m/>
    <m/>
    <n v="17"/>
    <m/>
    <m/>
    <m/>
    <n v="45"/>
    <n v="11"/>
    <m/>
    <m/>
  </r>
  <r>
    <n v="2020"/>
    <n v="3"/>
    <s v="3/01/2020"/>
    <x v="14"/>
    <s v="Male (M)"/>
    <s v="Non-Hispanic American Indian or Alaska Native"/>
    <s v="85 years and over"/>
    <n v="79"/>
    <n v="75"/>
    <n v="0"/>
    <m/>
    <m/>
    <m/>
    <m/>
    <m/>
    <m/>
    <m/>
    <n v="0"/>
    <n v="23"/>
    <m/>
    <n v="0"/>
    <n v="0"/>
  </r>
  <r>
    <n v="2020"/>
    <n v="3"/>
    <s v="3/01/2020"/>
    <x v="14"/>
    <s v="Male (M)"/>
    <s v="Non-Hispanic Asian"/>
    <s v="0-4 years"/>
    <n v="35"/>
    <n v="32"/>
    <n v="0"/>
    <m/>
    <n v="0"/>
    <n v="0"/>
    <n v="0"/>
    <m/>
    <n v="0"/>
    <n v="0"/>
    <m/>
    <m/>
    <m/>
    <n v="0"/>
    <n v="0"/>
  </r>
  <r>
    <n v="2020"/>
    <n v="3"/>
    <s v="3/01/2020"/>
    <x v="14"/>
    <s v="Male (M)"/>
    <s v="Non-Hispanic Asian"/>
    <s v="15-24 years"/>
    <n v="51"/>
    <n v="15"/>
    <m/>
    <m/>
    <n v="0"/>
    <n v="0"/>
    <m/>
    <n v="0"/>
    <n v="0"/>
    <n v="0"/>
    <n v="0"/>
    <m/>
    <n v="0"/>
    <n v="0"/>
    <n v="0"/>
  </r>
  <r>
    <n v="2020"/>
    <n v="3"/>
    <s v="3/01/2020"/>
    <x v="14"/>
    <s v="Male (M)"/>
    <s v="Non-Hispanic Asian"/>
    <s v="25-34 years"/>
    <n v="58"/>
    <n v="23"/>
    <m/>
    <m/>
    <n v="0"/>
    <n v="0"/>
    <n v="0"/>
    <m/>
    <n v="0"/>
    <n v="0"/>
    <m/>
    <m/>
    <m/>
    <m/>
    <m/>
  </r>
  <r>
    <n v="2020"/>
    <n v="3"/>
    <s v="3/01/2020"/>
    <x v="14"/>
    <s v="Male (M)"/>
    <s v="Non-Hispanic Asian"/>
    <s v="35-44 years"/>
    <n v="145"/>
    <n v="103"/>
    <m/>
    <n v="20"/>
    <m/>
    <n v="0"/>
    <m/>
    <m/>
    <n v="0"/>
    <m/>
    <m/>
    <n v="15"/>
    <n v="12"/>
    <m/>
    <m/>
  </r>
  <r>
    <n v="2020"/>
    <n v="3"/>
    <s v="3/01/2020"/>
    <x v="14"/>
    <s v="Male (M)"/>
    <s v="Non-Hispanic Asian"/>
    <s v="45-54 years"/>
    <n v="251"/>
    <n v="211"/>
    <n v="0"/>
    <n v="49"/>
    <n v="11"/>
    <n v="0"/>
    <m/>
    <m/>
    <m/>
    <m/>
    <m/>
    <n v="60"/>
    <n v="11"/>
    <n v="24"/>
    <n v="24"/>
  </r>
  <r>
    <n v="2020"/>
    <n v="3"/>
    <s v="3/01/2020"/>
    <x v="14"/>
    <s v="Male (M)"/>
    <s v="Non-Hispanic Asian"/>
    <s v="5-14 years"/>
    <m/>
    <m/>
    <n v="0"/>
    <m/>
    <n v="0"/>
    <n v="0"/>
    <m/>
    <n v="0"/>
    <n v="0"/>
    <n v="0"/>
    <m/>
    <n v="0"/>
    <n v="0"/>
    <n v="0"/>
    <n v="0"/>
  </r>
  <r>
    <n v="2020"/>
    <n v="3"/>
    <s v="3/01/2020"/>
    <x v="14"/>
    <s v="Male (M)"/>
    <s v="Non-Hispanic Asian"/>
    <s v="55-64 years"/>
    <n v="513"/>
    <n v="475"/>
    <m/>
    <n v="141"/>
    <n v="25"/>
    <n v="0"/>
    <n v="16"/>
    <m/>
    <m/>
    <m/>
    <m/>
    <n v="115"/>
    <n v="33"/>
    <n v="43"/>
    <n v="41"/>
  </r>
  <r>
    <n v="2020"/>
    <n v="3"/>
    <s v="3/01/2020"/>
    <x v="14"/>
    <s v="Male (M)"/>
    <s v="Non-Hispanic Asian"/>
    <s v="65-74 years"/>
    <n v="809"/>
    <n v="776"/>
    <m/>
    <n v="220"/>
    <n v="47"/>
    <m/>
    <n v="39"/>
    <n v="17"/>
    <n v="17"/>
    <n v="13"/>
    <m/>
    <n v="165"/>
    <n v="46"/>
    <n v="90"/>
    <n v="86"/>
  </r>
  <r>
    <n v="2020"/>
    <n v="3"/>
    <s v="3/01/2020"/>
    <x v="14"/>
    <s v="Male (M)"/>
    <s v="Non-Hispanic Asian"/>
    <s v="75-84 years"/>
    <n v="993"/>
    <n v="968"/>
    <n v="17"/>
    <n v="214"/>
    <n v="47"/>
    <n v="27"/>
    <n v="54"/>
    <n v="32"/>
    <m/>
    <n v="33"/>
    <m/>
    <n v="245"/>
    <n v="74"/>
    <n v="60"/>
    <n v="57"/>
  </r>
  <r>
    <n v="2020"/>
    <n v="3"/>
    <s v="3/01/2020"/>
    <x v="14"/>
    <s v="Male (M)"/>
    <s v="Non-Hispanic Asian"/>
    <s v="85 years and over"/>
    <n v="1070"/>
    <n v="1042"/>
    <n v="13"/>
    <n v="124"/>
    <n v="38"/>
    <n v="61"/>
    <n v="61"/>
    <n v="47"/>
    <n v="14"/>
    <n v="26"/>
    <n v="23"/>
    <n v="287"/>
    <n v="83"/>
    <n v="52"/>
    <n v="52"/>
  </r>
  <r>
    <n v="2020"/>
    <n v="3"/>
    <s v="3/01/2020"/>
    <x v="14"/>
    <s v="Male (M)"/>
    <s v="Non-Hispanic Black"/>
    <s v="0-4 years"/>
    <n v="334"/>
    <n v="285"/>
    <m/>
    <m/>
    <n v="0"/>
    <n v="0"/>
    <m/>
    <m/>
    <m/>
    <m/>
    <n v="48"/>
    <m/>
    <m/>
    <m/>
    <m/>
  </r>
  <r>
    <n v="2020"/>
    <n v="3"/>
    <s v="3/01/2020"/>
    <x v="14"/>
    <s v="Male (M)"/>
    <s v="Non-Hispanic Black"/>
    <s v="15-24 years"/>
    <n v="486"/>
    <n v="85"/>
    <m/>
    <m/>
    <m/>
    <n v="0"/>
    <m/>
    <m/>
    <n v="0"/>
    <m/>
    <n v="13"/>
    <n v="12"/>
    <n v="0"/>
    <m/>
    <m/>
  </r>
  <r>
    <n v="2020"/>
    <n v="3"/>
    <s v="3/01/2020"/>
    <x v="14"/>
    <s v="Male (M)"/>
    <s v="Non-Hispanic Black"/>
    <s v="25-34 years"/>
    <n v="855"/>
    <n v="269"/>
    <m/>
    <n v="24"/>
    <n v="16"/>
    <n v="0"/>
    <m/>
    <m/>
    <m/>
    <m/>
    <n v="27"/>
    <n v="52"/>
    <n v="11"/>
    <n v="23"/>
    <n v="20"/>
  </r>
  <r>
    <n v="2020"/>
    <n v="3"/>
    <s v="3/01/2020"/>
    <x v="14"/>
    <s v="Male (M)"/>
    <s v="Non-Hispanic Black"/>
    <s v="35-44 years"/>
    <n v="993"/>
    <n v="620"/>
    <n v="13"/>
    <n v="51"/>
    <n v="44"/>
    <n v="0"/>
    <n v="20"/>
    <n v="13"/>
    <m/>
    <n v="17"/>
    <n v="27"/>
    <n v="158"/>
    <n v="24"/>
    <n v="61"/>
    <n v="57"/>
  </r>
  <r>
    <n v="2020"/>
    <n v="3"/>
    <s v="3/01/2020"/>
    <x v="14"/>
    <s v="Male (M)"/>
    <s v="Non-Hispanic Black"/>
    <s v="45-54 years"/>
    <n v="1804"/>
    <n v="1440"/>
    <n v="29"/>
    <n v="222"/>
    <n v="95"/>
    <m/>
    <n v="31"/>
    <n v="27"/>
    <n v="17"/>
    <n v="38"/>
    <n v="32"/>
    <n v="428"/>
    <n v="60"/>
    <n v="145"/>
    <n v="137"/>
  </r>
  <r>
    <n v="2020"/>
    <n v="3"/>
    <s v="3/01/2020"/>
    <x v="14"/>
    <s v="Male (M)"/>
    <s v="Non-Hispanic Black"/>
    <s v="5-14 years"/>
    <n v="49"/>
    <n v="26"/>
    <n v="0"/>
    <m/>
    <n v="0"/>
    <n v="0"/>
    <n v="0"/>
    <m/>
    <m/>
    <m/>
    <m/>
    <m/>
    <n v="0"/>
    <m/>
    <m/>
  </r>
  <r>
    <n v="2020"/>
    <n v="3"/>
    <s v="3/01/2020"/>
    <x v="14"/>
    <s v="Male (M)"/>
    <s v="Non-Hispanic Black"/>
    <s v="55-64 years"/>
    <n v="3829"/>
    <n v="3472"/>
    <n v="57"/>
    <n v="759"/>
    <n v="220"/>
    <m/>
    <n v="98"/>
    <n v="101"/>
    <n v="43"/>
    <n v="87"/>
    <n v="47"/>
    <n v="952"/>
    <n v="177"/>
    <n v="265"/>
    <n v="254"/>
  </r>
  <r>
    <n v="2020"/>
    <n v="3"/>
    <s v="3/01/2020"/>
    <x v="14"/>
    <s v="Male (M)"/>
    <s v="Non-Hispanic Black"/>
    <s v="65-74 years"/>
    <n v="4541"/>
    <n v="4346"/>
    <n v="92"/>
    <n v="998"/>
    <n v="263"/>
    <n v="35"/>
    <n v="139"/>
    <n v="187"/>
    <n v="77"/>
    <n v="155"/>
    <n v="38"/>
    <n v="1128"/>
    <n v="195"/>
    <n v="320"/>
    <n v="303"/>
  </r>
  <r>
    <n v="2020"/>
    <n v="3"/>
    <s v="3/01/2020"/>
    <x v="14"/>
    <s v="Male (M)"/>
    <s v="Non-Hispanic Black"/>
    <s v="75-84 years"/>
    <n v="3459"/>
    <n v="3396"/>
    <n v="67"/>
    <n v="661"/>
    <n v="166"/>
    <n v="94"/>
    <n v="106"/>
    <n v="167"/>
    <n v="47"/>
    <n v="99"/>
    <n v="26"/>
    <n v="933"/>
    <n v="205"/>
    <n v="262"/>
    <n v="246"/>
  </r>
  <r>
    <n v="2020"/>
    <n v="3"/>
    <s v="3/01/2020"/>
    <x v="14"/>
    <s v="Male (M)"/>
    <s v="Non-Hispanic Black"/>
    <s v="85 years and over"/>
    <n v="2187"/>
    <n v="2135"/>
    <n v="39"/>
    <n v="297"/>
    <n v="78"/>
    <n v="135"/>
    <n v="85"/>
    <n v="85"/>
    <n v="26"/>
    <n v="70"/>
    <n v="25"/>
    <n v="549"/>
    <n v="146"/>
    <n v="135"/>
    <n v="124"/>
  </r>
  <r>
    <n v="2020"/>
    <n v="3"/>
    <s v="3/01/2020"/>
    <x v="14"/>
    <s v="Male (M)"/>
    <s v="Non-Hispanic White"/>
    <s v="0-4 years"/>
    <n v="435"/>
    <n v="379"/>
    <m/>
    <m/>
    <n v="0"/>
    <n v="0"/>
    <m/>
    <n v="0"/>
    <m/>
    <m/>
    <n v="37"/>
    <n v="10"/>
    <m/>
    <m/>
    <m/>
  </r>
  <r>
    <n v="2020"/>
    <n v="3"/>
    <s v="3/01/2020"/>
    <x v="14"/>
    <s v="Male (M)"/>
    <s v="Non-Hispanic White"/>
    <s v="15-24 years"/>
    <n v="945"/>
    <n v="205"/>
    <m/>
    <n v="32"/>
    <n v="10"/>
    <n v="0"/>
    <m/>
    <m/>
    <m/>
    <m/>
    <n v="26"/>
    <n v="34"/>
    <m/>
    <m/>
    <m/>
  </r>
  <r>
    <n v="2020"/>
    <n v="3"/>
    <s v="3/01/2020"/>
    <x v="14"/>
    <s v="Male (M)"/>
    <s v="Non-Hispanic White"/>
    <s v="25-34 years"/>
    <n v="2101"/>
    <n v="538"/>
    <m/>
    <n v="73"/>
    <n v="28"/>
    <n v="0"/>
    <n v="28"/>
    <m/>
    <m/>
    <m/>
    <n v="44"/>
    <n v="86"/>
    <n v="10"/>
    <n v="11"/>
    <n v="11"/>
  </r>
  <r>
    <n v="2020"/>
    <n v="3"/>
    <s v="3/01/2020"/>
    <x v="14"/>
    <s v="Male (M)"/>
    <s v="Non-Hispanic White"/>
    <s v="35-44 years"/>
    <n v="3037"/>
    <n v="1487"/>
    <n v="21"/>
    <n v="271"/>
    <n v="74"/>
    <n v="0"/>
    <n v="50"/>
    <n v="19"/>
    <n v="18"/>
    <n v="17"/>
    <n v="71"/>
    <n v="343"/>
    <n v="50"/>
    <n v="32"/>
    <n v="27"/>
  </r>
  <r>
    <n v="2020"/>
    <n v="3"/>
    <s v="3/01/2020"/>
    <x v="14"/>
    <s v="Male (M)"/>
    <s v="Non-Hispanic White"/>
    <s v="45-54 years"/>
    <n v="5594"/>
    <n v="4144"/>
    <n v="63"/>
    <n v="936"/>
    <n v="201"/>
    <m/>
    <n v="144"/>
    <n v="128"/>
    <n v="51"/>
    <n v="56"/>
    <n v="62"/>
    <n v="1111"/>
    <n v="162"/>
    <n v="80"/>
    <n v="76"/>
  </r>
  <r>
    <n v="2020"/>
    <n v="3"/>
    <s v="3/01/2020"/>
    <x v="14"/>
    <s v="Male (M)"/>
    <s v="Non-Hispanic White"/>
    <s v="5-14 years"/>
    <n v="131"/>
    <n v="60"/>
    <m/>
    <n v="16"/>
    <m/>
    <n v="0"/>
    <m/>
    <m/>
    <m/>
    <n v="0"/>
    <m/>
    <m/>
    <n v="0"/>
    <n v="0"/>
    <n v="0"/>
  </r>
  <r>
    <n v="2020"/>
    <n v="3"/>
    <s v="3/01/2020"/>
    <x v="14"/>
    <s v="Male (M)"/>
    <s v="Non-Hispanic White"/>
    <s v="55-64 years"/>
    <n v="14529"/>
    <n v="12963"/>
    <n v="204"/>
    <n v="3653"/>
    <n v="560"/>
    <n v="45"/>
    <n v="338"/>
    <n v="752"/>
    <n v="204"/>
    <n v="151"/>
    <n v="155"/>
    <n v="3460"/>
    <n v="430"/>
    <n v="224"/>
    <n v="211"/>
  </r>
  <r>
    <n v="2020"/>
    <n v="3"/>
    <s v="3/01/2020"/>
    <x v="14"/>
    <s v="Male (M)"/>
    <s v="Non-Hispanic White"/>
    <s v="65-74 years"/>
    <n v="22826"/>
    <n v="21763"/>
    <n v="350"/>
    <n v="6498"/>
    <n v="849"/>
    <n v="258"/>
    <n v="554"/>
    <n v="1725"/>
    <n v="424"/>
    <n v="364"/>
    <n v="172"/>
    <n v="5336"/>
    <n v="810"/>
    <n v="432"/>
    <n v="410"/>
  </r>
  <r>
    <n v="2020"/>
    <n v="3"/>
    <s v="3/01/2020"/>
    <x v="14"/>
    <s v="Male (M)"/>
    <s v="Non-Hispanic White"/>
    <s v="75-84 years"/>
    <n v="27417"/>
    <n v="26367"/>
    <n v="379"/>
    <n v="6167"/>
    <n v="772"/>
    <n v="999"/>
    <n v="786"/>
    <n v="2076"/>
    <n v="666"/>
    <n v="511"/>
    <n v="206"/>
    <n v="6579"/>
    <n v="1311"/>
    <n v="629"/>
    <n v="601"/>
  </r>
  <r>
    <n v="2020"/>
    <n v="3"/>
    <s v="3/01/2020"/>
    <x v="14"/>
    <s v="Male (M)"/>
    <s v="Non-Hispanic White"/>
    <s v="85 years and over"/>
    <n v="26630"/>
    <n v="25699"/>
    <n v="300"/>
    <n v="3596"/>
    <n v="528"/>
    <n v="1659"/>
    <n v="884"/>
    <n v="1397"/>
    <n v="443"/>
    <n v="576"/>
    <n v="318"/>
    <n v="7891"/>
    <n v="1535"/>
    <n v="555"/>
    <n v="530"/>
  </r>
  <r>
    <n v="2020"/>
    <n v="3"/>
    <s v="3/01/2020"/>
    <x v="14"/>
    <s v="Male (M)"/>
    <s v="Other"/>
    <s v="0-4 years"/>
    <n v="60"/>
    <n v="51"/>
    <n v="0"/>
    <m/>
    <n v="0"/>
    <n v="0"/>
    <m/>
    <n v="0"/>
    <n v="0"/>
    <m/>
    <m/>
    <n v="0"/>
    <n v="0"/>
    <n v="0"/>
    <n v="0"/>
  </r>
  <r>
    <n v="2020"/>
    <n v="3"/>
    <s v="3/01/2020"/>
    <x v="14"/>
    <s v="Male (M)"/>
    <s v="Other"/>
    <s v="15-24 years"/>
    <n v="45"/>
    <m/>
    <n v="0"/>
    <m/>
    <m/>
    <n v="0"/>
    <n v="0"/>
    <n v="0"/>
    <n v="0"/>
    <n v="0"/>
    <m/>
    <m/>
    <n v="0"/>
    <n v="0"/>
    <n v="0"/>
  </r>
  <r>
    <n v="2020"/>
    <n v="3"/>
    <s v="3/01/2020"/>
    <x v="14"/>
    <s v="Male (M)"/>
    <s v="Other"/>
    <s v="25-34 years"/>
    <n v="58"/>
    <n v="11"/>
    <n v="0"/>
    <m/>
    <m/>
    <n v="0"/>
    <m/>
    <n v="0"/>
    <n v="0"/>
    <n v="0"/>
    <m/>
    <m/>
    <n v="0"/>
    <m/>
    <m/>
  </r>
  <r>
    <n v="2020"/>
    <n v="3"/>
    <s v="3/01/2020"/>
    <x v="14"/>
    <s v="Male (M)"/>
    <s v="Other"/>
    <s v="35-44 years"/>
    <n v="75"/>
    <n v="40"/>
    <n v="0"/>
    <m/>
    <m/>
    <n v="0"/>
    <n v="0"/>
    <m/>
    <m/>
    <n v="0"/>
    <n v="0"/>
    <m/>
    <m/>
    <m/>
    <m/>
  </r>
  <r>
    <n v="2020"/>
    <n v="3"/>
    <s v="3/01/2020"/>
    <x v="14"/>
    <s v="Male (M)"/>
    <s v="Other"/>
    <s v="45-54 years"/>
    <n v="136"/>
    <n v="94"/>
    <m/>
    <n v="12"/>
    <m/>
    <n v="0"/>
    <m/>
    <m/>
    <n v="0"/>
    <m/>
    <m/>
    <n v="30"/>
    <m/>
    <m/>
    <m/>
  </r>
  <r>
    <n v="2020"/>
    <n v="3"/>
    <s v="3/01/2020"/>
    <x v="14"/>
    <s v="Male (M)"/>
    <s v="Other"/>
    <s v="5-14 years"/>
    <m/>
    <m/>
    <n v="0"/>
    <n v="0"/>
    <n v="0"/>
    <n v="0"/>
    <m/>
    <n v="0"/>
    <n v="0"/>
    <n v="0"/>
    <n v="0"/>
    <n v="0"/>
    <m/>
    <n v="0"/>
    <n v="0"/>
  </r>
  <r>
    <n v="2020"/>
    <n v="3"/>
    <s v="3/01/2020"/>
    <x v="14"/>
    <s v="Male (M)"/>
    <s v="Other"/>
    <s v="55-64 years"/>
    <n v="305"/>
    <n v="255"/>
    <m/>
    <n v="50"/>
    <n v="12"/>
    <n v="0"/>
    <m/>
    <m/>
    <m/>
    <m/>
    <m/>
    <n v="83"/>
    <m/>
    <n v="21"/>
    <n v="20"/>
  </r>
  <r>
    <n v="2020"/>
    <n v="3"/>
    <s v="3/01/2020"/>
    <x v="14"/>
    <s v="Male (M)"/>
    <s v="Other"/>
    <s v="65-74 years"/>
    <n v="312"/>
    <n v="297"/>
    <m/>
    <n v="57"/>
    <n v="18"/>
    <m/>
    <m/>
    <n v="18"/>
    <m/>
    <n v="0"/>
    <m/>
    <n v="98"/>
    <n v="10"/>
    <n v="28"/>
    <n v="27"/>
  </r>
  <r>
    <n v="2020"/>
    <n v="3"/>
    <s v="3/01/2020"/>
    <x v="14"/>
    <s v="Male (M)"/>
    <s v="Other"/>
    <s v="75-84 years"/>
    <n v="244"/>
    <n v="234"/>
    <m/>
    <n v="36"/>
    <m/>
    <m/>
    <m/>
    <n v="17"/>
    <m/>
    <m/>
    <m/>
    <n v="69"/>
    <n v="11"/>
    <n v="14"/>
    <n v="14"/>
  </r>
  <r>
    <n v="2020"/>
    <n v="3"/>
    <s v="3/01/2020"/>
    <x v="14"/>
    <s v="Male (M)"/>
    <s v="Other"/>
    <s v="85 years and over"/>
    <n v="139"/>
    <n v="138"/>
    <m/>
    <n v="18"/>
    <m/>
    <m/>
    <m/>
    <m/>
    <m/>
    <m/>
    <n v="0"/>
    <n v="48"/>
    <m/>
    <m/>
    <m/>
  </r>
  <r>
    <n v="2020"/>
    <n v="4"/>
    <s v="4/01/2020"/>
    <x v="15"/>
    <s v="Female (F)"/>
    <s v="Hispanic"/>
    <s v="0-4 years"/>
    <n v="178"/>
    <n v="169"/>
    <m/>
    <m/>
    <n v="0"/>
    <n v="0"/>
    <n v="0"/>
    <n v="0"/>
    <m/>
    <m/>
    <n v="14"/>
    <m/>
    <n v="0"/>
    <m/>
    <m/>
  </r>
  <r>
    <n v="2020"/>
    <n v="4"/>
    <s v="4/01/2020"/>
    <x v="15"/>
    <s v="Female (F)"/>
    <s v="Hispanic"/>
    <s v="15-24 years"/>
    <n v="138"/>
    <n v="54"/>
    <m/>
    <m/>
    <m/>
    <n v="0"/>
    <m/>
    <m/>
    <m/>
    <n v="0"/>
    <m/>
    <m/>
    <m/>
    <m/>
    <m/>
  </r>
  <r>
    <n v="2020"/>
    <n v="4"/>
    <s v="4/01/2020"/>
    <x v="15"/>
    <s v="Female (F)"/>
    <s v="Hispanic"/>
    <s v="25-34 years"/>
    <n v="253"/>
    <n v="148"/>
    <m/>
    <n v="28"/>
    <m/>
    <n v="0"/>
    <m/>
    <m/>
    <m/>
    <m/>
    <n v="10"/>
    <m/>
    <m/>
    <n v="47"/>
    <n v="43"/>
  </r>
  <r>
    <n v="2020"/>
    <n v="4"/>
    <s v="4/01/2020"/>
    <x v="15"/>
    <s v="Female (F)"/>
    <s v="Hispanic"/>
    <s v="35-44 years"/>
    <n v="382"/>
    <n v="302"/>
    <m/>
    <n v="71"/>
    <m/>
    <m/>
    <m/>
    <m/>
    <m/>
    <m/>
    <m/>
    <n v="22"/>
    <m/>
    <n v="92"/>
    <n v="88"/>
  </r>
  <r>
    <n v="2020"/>
    <n v="4"/>
    <s v="4/01/2020"/>
    <x v="15"/>
    <s v="Female (F)"/>
    <s v="Hispanic"/>
    <s v="45-54 years"/>
    <n v="804"/>
    <n v="748"/>
    <m/>
    <n v="199"/>
    <n v="44"/>
    <m/>
    <n v="14"/>
    <n v="10"/>
    <n v="11"/>
    <n v="13"/>
    <m/>
    <n v="68"/>
    <n v="31"/>
    <n v="238"/>
    <n v="225"/>
  </r>
  <r>
    <n v="2020"/>
    <n v="4"/>
    <s v="4/01/2020"/>
    <x v="15"/>
    <s v="Female (F)"/>
    <s v="Hispanic"/>
    <s v="5-14 years"/>
    <n v="42"/>
    <n v="23"/>
    <n v="0"/>
    <n v="12"/>
    <n v="0"/>
    <n v="0"/>
    <n v="0"/>
    <n v="0"/>
    <n v="0"/>
    <n v="0"/>
    <m/>
    <m/>
    <m/>
    <n v="0"/>
    <n v="0"/>
  </r>
  <r>
    <n v="2020"/>
    <n v="4"/>
    <s v="4/01/2020"/>
    <x v="15"/>
    <s v="Female (F)"/>
    <s v="Hispanic"/>
    <s v="55-64 years"/>
    <n v="1581"/>
    <n v="1525"/>
    <n v="25"/>
    <n v="349"/>
    <n v="78"/>
    <m/>
    <n v="24"/>
    <n v="29"/>
    <n v="27"/>
    <n v="27"/>
    <n v="10"/>
    <n v="171"/>
    <n v="47"/>
    <n v="537"/>
    <n v="520"/>
  </r>
  <r>
    <n v="2020"/>
    <n v="4"/>
    <s v="4/01/2020"/>
    <x v="15"/>
    <s v="Female (F)"/>
    <s v="Hispanic"/>
    <s v="65-74 years"/>
    <n v="2252"/>
    <n v="2236"/>
    <n v="23"/>
    <n v="405"/>
    <n v="113"/>
    <n v="35"/>
    <n v="37"/>
    <n v="48"/>
    <n v="29"/>
    <n v="51"/>
    <m/>
    <n v="281"/>
    <n v="62"/>
    <n v="843"/>
    <n v="813"/>
  </r>
  <r>
    <n v="2020"/>
    <n v="4"/>
    <s v="4/01/2020"/>
    <x v="15"/>
    <s v="Female (F)"/>
    <s v="Hispanic"/>
    <s v="75-84 years"/>
    <n v="3209"/>
    <n v="3163"/>
    <n v="25"/>
    <n v="356"/>
    <n v="137"/>
    <n v="136"/>
    <n v="64"/>
    <n v="89"/>
    <n v="42"/>
    <n v="56"/>
    <n v="17"/>
    <n v="493"/>
    <n v="144"/>
    <n v="1149"/>
    <n v="1117"/>
  </r>
  <r>
    <n v="2020"/>
    <n v="4"/>
    <s v="4/01/2020"/>
    <x v="15"/>
    <s v="Female (F)"/>
    <s v="Hispanic"/>
    <s v="85 years and over"/>
    <n v="4255"/>
    <n v="4209"/>
    <n v="21"/>
    <n v="249"/>
    <n v="120"/>
    <n v="405"/>
    <n v="90"/>
    <n v="113"/>
    <n v="51"/>
    <n v="35"/>
    <n v="48"/>
    <n v="977"/>
    <n v="253"/>
    <n v="1134"/>
    <n v="1064"/>
  </r>
  <r>
    <n v="2020"/>
    <n v="4"/>
    <s v="4/01/2020"/>
    <x v="15"/>
    <s v="Female (F)"/>
    <s v="Non-Hispanic American Indian or Alaska Native"/>
    <s v="0-4 years"/>
    <m/>
    <m/>
    <n v="0"/>
    <n v="0"/>
    <n v="0"/>
    <n v="0"/>
    <n v="0"/>
    <n v="0"/>
    <n v="0"/>
    <n v="0"/>
    <n v="0"/>
    <m/>
    <n v="0"/>
    <n v="0"/>
    <n v="0"/>
  </r>
  <r>
    <n v="2020"/>
    <n v="4"/>
    <s v="4/01/2020"/>
    <x v="15"/>
    <s v="Female (F)"/>
    <s v="Non-Hispanic American Indian or Alaska Native"/>
    <s v="15-24 years"/>
    <n v="16"/>
    <m/>
    <n v="0"/>
    <m/>
    <n v="0"/>
    <n v="0"/>
    <n v="0"/>
    <n v="0"/>
    <n v="0"/>
    <n v="0"/>
    <m/>
    <m/>
    <n v="0"/>
    <n v="0"/>
    <n v="0"/>
  </r>
  <r>
    <n v="2020"/>
    <n v="4"/>
    <s v="4/01/2020"/>
    <x v="15"/>
    <s v="Female (F)"/>
    <s v="Non-Hispanic American Indian or Alaska Native"/>
    <s v="25-34 years"/>
    <n v="37"/>
    <n v="15"/>
    <n v="0"/>
    <n v="0"/>
    <n v="0"/>
    <n v="0"/>
    <m/>
    <n v="0"/>
    <n v="0"/>
    <n v="0"/>
    <n v="0"/>
    <m/>
    <m/>
    <m/>
    <m/>
  </r>
  <r>
    <n v="2020"/>
    <n v="4"/>
    <s v="4/01/2020"/>
    <x v="15"/>
    <s v="Female (F)"/>
    <s v="Non-Hispanic American Indian or Alaska Native"/>
    <s v="35-44 years"/>
    <n v="58"/>
    <n v="42"/>
    <m/>
    <m/>
    <m/>
    <n v="0"/>
    <n v="0"/>
    <n v="0"/>
    <n v="0"/>
    <m/>
    <m/>
    <m/>
    <m/>
    <m/>
    <m/>
  </r>
  <r>
    <n v="2020"/>
    <n v="4"/>
    <s v="4/01/2020"/>
    <x v="15"/>
    <s v="Female (F)"/>
    <s v="Non-Hispanic American Indian or Alaska Native"/>
    <s v="45-54 years"/>
    <n v="73"/>
    <n v="61"/>
    <n v="0"/>
    <m/>
    <m/>
    <n v="0"/>
    <m/>
    <m/>
    <m/>
    <m/>
    <m/>
    <m/>
    <m/>
    <n v="10"/>
    <m/>
  </r>
  <r>
    <n v="2020"/>
    <n v="4"/>
    <s v="4/01/2020"/>
    <x v="15"/>
    <s v="Female (F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20"/>
    <n v="4"/>
    <s v="4/01/2020"/>
    <x v="15"/>
    <s v="Female (F)"/>
    <s v="Non-Hispanic American Indian or Alaska Native"/>
    <s v="55-64 years"/>
    <n v="144"/>
    <n v="133"/>
    <m/>
    <n v="19"/>
    <m/>
    <n v="0"/>
    <m/>
    <m/>
    <m/>
    <m/>
    <n v="0"/>
    <n v="18"/>
    <m/>
    <n v="25"/>
    <n v="24"/>
  </r>
  <r>
    <n v="2020"/>
    <n v="4"/>
    <s v="4/01/2020"/>
    <x v="15"/>
    <s v="Female (F)"/>
    <s v="Non-Hispanic American Indian or Alaska Native"/>
    <s v="65-74 years"/>
    <n v="183"/>
    <n v="178"/>
    <m/>
    <n v="33"/>
    <n v="11"/>
    <m/>
    <m/>
    <m/>
    <m/>
    <m/>
    <m/>
    <n v="31"/>
    <m/>
    <n v="37"/>
    <n v="36"/>
  </r>
  <r>
    <n v="2020"/>
    <n v="4"/>
    <s v="4/01/2020"/>
    <x v="15"/>
    <s v="Female (F)"/>
    <s v="Non-Hispanic American Indian or Alaska Native"/>
    <s v="75-84 years"/>
    <n v="173"/>
    <n v="171"/>
    <m/>
    <n v="13"/>
    <n v="10"/>
    <m/>
    <m/>
    <n v="20"/>
    <m/>
    <m/>
    <n v="0"/>
    <n v="40"/>
    <n v="11"/>
    <n v="25"/>
    <n v="25"/>
  </r>
  <r>
    <n v="2020"/>
    <n v="4"/>
    <s v="4/01/2020"/>
    <x v="15"/>
    <s v="Female (F)"/>
    <s v="Non-Hispanic American Indian or Alaska Native"/>
    <s v="85 years and over"/>
    <n v="175"/>
    <n v="173"/>
    <m/>
    <n v="16"/>
    <m/>
    <n v="21"/>
    <m/>
    <m/>
    <m/>
    <m/>
    <m/>
    <n v="21"/>
    <n v="12"/>
    <n v="31"/>
    <n v="29"/>
  </r>
  <r>
    <n v="2020"/>
    <n v="4"/>
    <s v="4/01/2020"/>
    <x v="15"/>
    <s v="Female (F)"/>
    <s v="Non-Hispanic Asian"/>
    <s v="0-4 years"/>
    <n v="20"/>
    <n v="18"/>
    <n v="0"/>
    <m/>
    <n v="0"/>
    <n v="0"/>
    <n v="0"/>
    <n v="0"/>
    <n v="0"/>
    <m/>
    <n v="0"/>
    <m/>
    <n v="0"/>
    <n v="0"/>
    <n v="0"/>
  </r>
  <r>
    <n v="2020"/>
    <n v="4"/>
    <s v="4/01/2020"/>
    <x v="15"/>
    <s v="Female (F)"/>
    <s v="Non-Hispanic Asian"/>
    <s v="15-24 years"/>
    <n v="18"/>
    <m/>
    <n v="0"/>
    <m/>
    <n v="0"/>
    <n v="0"/>
    <m/>
    <n v="0"/>
    <m/>
    <n v="0"/>
    <n v="0"/>
    <m/>
    <n v="0"/>
    <n v="0"/>
    <n v="0"/>
  </r>
  <r>
    <n v="2020"/>
    <n v="4"/>
    <s v="4/01/2020"/>
    <x v="15"/>
    <s v="Female (F)"/>
    <s v="Non-Hispanic Asian"/>
    <s v="25-34 years"/>
    <n v="37"/>
    <n v="25"/>
    <m/>
    <m/>
    <m/>
    <n v="0"/>
    <n v="0"/>
    <n v="0"/>
    <n v="0"/>
    <n v="0"/>
    <m/>
    <n v="0"/>
    <m/>
    <m/>
    <m/>
  </r>
  <r>
    <n v="2020"/>
    <n v="4"/>
    <s v="4/01/2020"/>
    <x v="15"/>
    <s v="Female (F)"/>
    <s v="Non-Hispanic Asian"/>
    <s v="35-44 years"/>
    <n v="76"/>
    <n v="62"/>
    <m/>
    <n v="24"/>
    <m/>
    <n v="0"/>
    <m/>
    <n v="0"/>
    <n v="0"/>
    <m/>
    <n v="0"/>
    <m/>
    <m/>
    <n v="12"/>
    <n v="11"/>
  </r>
  <r>
    <n v="2020"/>
    <n v="4"/>
    <s v="4/01/2020"/>
    <x v="15"/>
    <s v="Female (F)"/>
    <s v="Non-Hispanic Asian"/>
    <s v="45-54 years"/>
    <n v="204"/>
    <n v="195"/>
    <m/>
    <n v="73"/>
    <m/>
    <n v="0"/>
    <n v="0"/>
    <m/>
    <m/>
    <m/>
    <m/>
    <n v="13"/>
    <n v="13"/>
    <n v="65"/>
    <n v="61"/>
  </r>
  <r>
    <n v="2020"/>
    <n v="4"/>
    <s v="4/01/2020"/>
    <x v="15"/>
    <s v="Female (F)"/>
    <s v="Non-Hispanic Asian"/>
    <s v="5-14 years"/>
    <m/>
    <m/>
    <n v="0"/>
    <m/>
    <n v="0"/>
    <n v="0"/>
    <n v="0"/>
    <n v="0"/>
    <n v="0"/>
    <n v="0"/>
    <n v="0"/>
    <n v="0"/>
    <m/>
    <n v="0"/>
    <n v="0"/>
  </r>
  <r>
    <n v="2020"/>
    <n v="4"/>
    <s v="4/01/2020"/>
    <x v="15"/>
    <s v="Female (F)"/>
    <s v="Non-Hispanic Asian"/>
    <s v="55-64 years"/>
    <n v="447"/>
    <n v="431"/>
    <m/>
    <n v="150"/>
    <n v="17"/>
    <m/>
    <m/>
    <m/>
    <m/>
    <m/>
    <m/>
    <n v="42"/>
    <n v="18"/>
    <n v="137"/>
    <n v="135"/>
  </r>
  <r>
    <n v="2020"/>
    <n v="4"/>
    <s v="4/01/2020"/>
    <x v="15"/>
    <s v="Female (F)"/>
    <s v="Non-Hispanic Asian"/>
    <s v="65-74 years"/>
    <n v="779"/>
    <n v="771"/>
    <m/>
    <n v="190"/>
    <n v="32"/>
    <m/>
    <n v="21"/>
    <n v="12"/>
    <m/>
    <n v="13"/>
    <m/>
    <n v="110"/>
    <n v="41"/>
    <n v="242"/>
    <n v="227"/>
  </r>
  <r>
    <n v="2020"/>
    <n v="4"/>
    <s v="4/01/2020"/>
    <x v="15"/>
    <s v="Female (F)"/>
    <s v="Non-Hispanic Asian"/>
    <s v="75-84 years"/>
    <n v="1140"/>
    <n v="1126"/>
    <n v="15"/>
    <n v="183"/>
    <n v="35"/>
    <n v="38"/>
    <n v="18"/>
    <n v="21"/>
    <n v="13"/>
    <n v="24"/>
    <n v="10"/>
    <n v="176"/>
    <n v="62"/>
    <n v="352"/>
    <n v="339"/>
  </r>
  <r>
    <n v="2020"/>
    <n v="4"/>
    <s v="4/01/2020"/>
    <x v="15"/>
    <s v="Female (F)"/>
    <s v="Non-Hispanic Asian"/>
    <s v="85 years and over"/>
    <n v="2149"/>
    <n v="2120"/>
    <n v="15"/>
    <n v="140"/>
    <n v="62"/>
    <n v="195"/>
    <n v="60"/>
    <n v="41"/>
    <n v="12"/>
    <n v="24"/>
    <n v="25"/>
    <n v="462"/>
    <n v="145"/>
    <n v="559"/>
    <n v="505"/>
  </r>
  <r>
    <n v="2020"/>
    <n v="4"/>
    <s v="4/01/2020"/>
    <x v="15"/>
    <s v="Female (F)"/>
    <s v="Non-Hispanic Black"/>
    <s v="0-4 years"/>
    <n v="214"/>
    <n v="189"/>
    <n v="0"/>
    <m/>
    <n v="0"/>
    <n v="0"/>
    <m/>
    <n v="0"/>
    <m/>
    <m/>
    <n v="34"/>
    <m/>
    <m/>
    <m/>
    <m/>
  </r>
  <r>
    <n v="2020"/>
    <n v="4"/>
    <s v="4/01/2020"/>
    <x v="15"/>
    <s v="Female (F)"/>
    <s v="Non-Hispanic Black"/>
    <s v="15-24 years"/>
    <n v="169"/>
    <n v="79"/>
    <m/>
    <m/>
    <m/>
    <n v="0"/>
    <n v="0"/>
    <m/>
    <m/>
    <m/>
    <m/>
    <m/>
    <m/>
    <n v="14"/>
    <n v="13"/>
  </r>
  <r>
    <n v="2020"/>
    <n v="4"/>
    <s v="4/01/2020"/>
    <x v="15"/>
    <s v="Female (F)"/>
    <s v="Non-Hispanic Black"/>
    <s v="25-34 years"/>
    <n v="436"/>
    <n v="273"/>
    <m/>
    <n v="36"/>
    <n v="20"/>
    <n v="0"/>
    <m/>
    <m/>
    <m/>
    <m/>
    <n v="15"/>
    <n v="35"/>
    <m/>
    <n v="51"/>
    <n v="48"/>
  </r>
  <r>
    <n v="2020"/>
    <n v="4"/>
    <s v="4/01/2020"/>
    <x v="15"/>
    <s v="Female (F)"/>
    <s v="Non-Hispanic Black"/>
    <s v="35-44 years"/>
    <n v="759"/>
    <n v="629"/>
    <n v="14"/>
    <n v="91"/>
    <n v="34"/>
    <n v="0"/>
    <n v="12"/>
    <n v="12"/>
    <m/>
    <m/>
    <n v="24"/>
    <n v="131"/>
    <n v="19"/>
    <n v="138"/>
    <n v="130"/>
  </r>
  <r>
    <n v="2020"/>
    <n v="4"/>
    <s v="4/01/2020"/>
    <x v="15"/>
    <s v="Female (F)"/>
    <s v="Non-Hispanic Black"/>
    <s v="45-54 years"/>
    <n v="1562"/>
    <n v="1409"/>
    <n v="24"/>
    <n v="266"/>
    <n v="66"/>
    <n v="0"/>
    <n v="23"/>
    <n v="32"/>
    <n v="19"/>
    <n v="21"/>
    <n v="18"/>
    <n v="264"/>
    <n v="54"/>
    <n v="383"/>
    <n v="371"/>
  </r>
  <r>
    <n v="2020"/>
    <n v="4"/>
    <s v="4/01/2020"/>
    <x v="15"/>
    <s v="Female (F)"/>
    <s v="Non-Hispanic Black"/>
    <s v="5-14 years"/>
    <n v="38"/>
    <n v="23"/>
    <n v="0"/>
    <m/>
    <m/>
    <n v="0"/>
    <m/>
    <m/>
    <n v="0"/>
    <n v="0"/>
    <m/>
    <m/>
    <n v="0"/>
    <m/>
    <m/>
  </r>
  <r>
    <n v="2020"/>
    <n v="4"/>
    <s v="4/01/2020"/>
    <x v="15"/>
    <s v="Female (F)"/>
    <s v="Non-Hispanic Black"/>
    <s v="55-64 years"/>
    <n v="3601"/>
    <n v="3477"/>
    <n v="49"/>
    <n v="675"/>
    <n v="182"/>
    <m/>
    <n v="66"/>
    <n v="125"/>
    <n v="63"/>
    <n v="68"/>
    <n v="26"/>
    <n v="590"/>
    <n v="109"/>
    <n v="1091"/>
    <n v="1027"/>
  </r>
  <r>
    <n v="2020"/>
    <n v="4"/>
    <s v="4/01/2020"/>
    <x v="15"/>
    <s v="Female (F)"/>
    <s v="Non-Hispanic Black"/>
    <s v="65-74 years"/>
    <n v="5148"/>
    <n v="5063"/>
    <n v="73"/>
    <n v="826"/>
    <n v="253"/>
    <n v="55"/>
    <n v="86"/>
    <n v="157"/>
    <n v="61"/>
    <n v="115"/>
    <n v="38"/>
    <n v="863"/>
    <n v="208"/>
    <n v="1720"/>
    <n v="1635"/>
  </r>
  <r>
    <n v="2020"/>
    <n v="4"/>
    <s v="4/01/2020"/>
    <x v="15"/>
    <s v="Female (F)"/>
    <s v="Non-Hispanic Black"/>
    <s v="75-84 years"/>
    <n v="5838"/>
    <n v="5783"/>
    <n v="72"/>
    <n v="651"/>
    <n v="234"/>
    <n v="229"/>
    <n v="115"/>
    <n v="171"/>
    <n v="79"/>
    <n v="119"/>
    <n v="26"/>
    <n v="1067"/>
    <n v="271"/>
    <n v="2015"/>
    <n v="1909"/>
  </r>
  <r>
    <n v="2020"/>
    <n v="4"/>
    <s v="4/01/2020"/>
    <x v="15"/>
    <s v="Female (F)"/>
    <s v="Non-Hispanic Black"/>
    <s v="85 years and over"/>
    <n v="6595"/>
    <n v="6540"/>
    <n v="62"/>
    <n v="352"/>
    <n v="181"/>
    <n v="474"/>
    <n v="110"/>
    <n v="129"/>
    <n v="71"/>
    <n v="91"/>
    <n v="76"/>
    <n v="1477"/>
    <n v="369"/>
    <n v="1991"/>
    <n v="1842"/>
  </r>
  <r>
    <n v="2020"/>
    <n v="4"/>
    <s v="4/01/2020"/>
    <x v="15"/>
    <s v="Female (F)"/>
    <s v="Non-Hispanic White"/>
    <s v="0-4 years"/>
    <n v="315"/>
    <n v="273"/>
    <m/>
    <m/>
    <n v="0"/>
    <n v="0"/>
    <m/>
    <n v="0"/>
    <m/>
    <m/>
    <n v="31"/>
    <m/>
    <m/>
    <n v="0"/>
    <n v="0"/>
  </r>
  <r>
    <n v="2020"/>
    <n v="4"/>
    <s v="4/01/2020"/>
    <x v="15"/>
    <s v="Female (F)"/>
    <s v="Non-Hispanic White"/>
    <s v="15-24 years"/>
    <n v="374"/>
    <n v="122"/>
    <m/>
    <n v="15"/>
    <m/>
    <n v="0"/>
    <m/>
    <m/>
    <m/>
    <n v="0"/>
    <m/>
    <n v="14"/>
    <m/>
    <m/>
    <m/>
  </r>
  <r>
    <n v="2020"/>
    <n v="4"/>
    <s v="4/01/2020"/>
    <x v="15"/>
    <s v="Female (F)"/>
    <s v="Non-Hispanic White"/>
    <s v="25-34 years"/>
    <n v="1001"/>
    <n v="406"/>
    <m/>
    <n v="81"/>
    <m/>
    <n v="0"/>
    <m/>
    <m/>
    <m/>
    <m/>
    <n v="37"/>
    <n v="60"/>
    <m/>
    <n v="25"/>
    <n v="20"/>
  </r>
  <r>
    <n v="2020"/>
    <n v="4"/>
    <s v="4/01/2020"/>
    <x v="15"/>
    <s v="Female (F)"/>
    <s v="Non-Hispanic White"/>
    <s v="35-44 years"/>
    <n v="1680"/>
    <n v="1036"/>
    <n v="21"/>
    <n v="285"/>
    <n v="32"/>
    <n v="0"/>
    <n v="25"/>
    <n v="16"/>
    <n v="10"/>
    <n v="10"/>
    <n v="47"/>
    <n v="166"/>
    <n v="30"/>
    <n v="50"/>
    <n v="45"/>
  </r>
  <r>
    <n v="2020"/>
    <n v="4"/>
    <s v="4/01/2020"/>
    <x v="15"/>
    <s v="Female (F)"/>
    <s v="Non-Hispanic White"/>
    <s v="45-54 years"/>
    <n v="3513"/>
    <n v="2930"/>
    <n v="83"/>
    <n v="940"/>
    <n v="109"/>
    <m/>
    <n v="49"/>
    <n v="125"/>
    <n v="39"/>
    <n v="38"/>
    <n v="63"/>
    <n v="464"/>
    <n v="99"/>
    <n v="208"/>
    <n v="194"/>
  </r>
  <r>
    <n v="2020"/>
    <n v="4"/>
    <s v="4/01/2020"/>
    <x v="15"/>
    <s v="Female (F)"/>
    <s v="Non-Hispanic White"/>
    <s v="5-14 years"/>
    <n v="71"/>
    <n v="46"/>
    <n v="0"/>
    <n v="18"/>
    <m/>
    <n v="0"/>
    <m/>
    <m/>
    <m/>
    <n v="0"/>
    <m/>
    <m/>
    <n v="0"/>
    <n v="0"/>
    <n v="0"/>
  </r>
  <r>
    <n v="2020"/>
    <n v="4"/>
    <s v="4/01/2020"/>
    <x v="15"/>
    <s v="Female (F)"/>
    <s v="Non-Hispanic White"/>
    <s v="55-64 years"/>
    <n v="9269"/>
    <n v="8665"/>
    <n v="166"/>
    <n v="2953"/>
    <n v="348"/>
    <n v="58"/>
    <n v="167"/>
    <n v="628"/>
    <n v="104"/>
    <n v="91"/>
    <n v="87"/>
    <n v="1360"/>
    <n v="271"/>
    <n v="820"/>
    <n v="773"/>
  </r>
  <r>
    <n v="2020"/>
    <n v="4"/>
    <s v="4/01/2020"/>
    <x v="15"/>
    <s v="Female (F)"/>
    <s v="Non-Hispanic White"/>
    <s v="65-74 years"/>
    <n v="17194"/>
    <n v="16748"/>
    <n v="266"/>
    <n v="4812"/>
    <n v="567"/>
    <n v="408"/>
    <n v="288"/>
    <n v="1325"/>
    <n v="264"/>
    <n v="238"/>
    <n v="142"/>
    <n v="2735"/>
    <n v="669"/>
    <n v="2106"/>
    <n v="1997"/>
  </r>
  <r>
    <n v="2020"/>
    <n v="4"/>
    <s v="4/01/2020"/>
    <x v="15"/>
    <s v="Female (F)"/>
    <s v="Non-Hispanic White"/>
    <s v="75-84 years"/>
    <n v="26809"/>
    <n v="26260"/>
    <n v="301"/>
    <n v="4720"/>
    <n v="669"/>
    <n v="1761"/>
    <n v="528"/>
    <n v="1980"/>
    <n v="386"/>
    <n v="396"/>
    <n v="220"/>
    <n v="4713"/>
    <n v="1362"/>
    <n v="4180"/>
    <n v="3933"/>
  </r>
  <r>
    <n v="2020"/>
    <n v="4"/>
    <s v="4/01/2020"/>
    <x v="15"/>
    <s v="Female (F)"/>
    <s v="Non-Hispanic White"/>
    <s v="85 years and over"/>
    <n v="48967"/>
    <n v="47998"/>
    <n v="378"/>
    <n v="3498"/>
    <n v="657"/>
    <n v="4725"/>
    <n v="876"/>
    <n v="1946"/>
    <n v="576"/>
    <n v="589"/>
    <n v="683"/>
    <n v="11431"/>
    <n v="3080"/>
    <n v="8702"/>
    <n v="8081"/>
  </r>
  <r>
    <n v="2020"/>
    <n v="4"/>
    <s v="4/01/2020"/>
    <x v="15"/>
    <s v="Female (F)"/>
    <s v="Other"/>
    <s v="0-4 years"/>
    <n v="40"/>
    <n v="33"/>
    <m/>
    <m/>
    <n v="0"/>
    <n v="0"/>
    <n v="0"/>
    <n v="0"/>
    <n v="0"/>
    <m/>
    <m/>
    <m/>
    <n v="0"/>
    <n v="0"/>
    <n v="0"/>
  </r>
  <r>
    <n v="2020"/>
    <n v="4"/>
    <s v="4/01/2020"/>
    <x v="15"/>
    <s v="Female (F)"/>
    <s v="Other"/>
    <s v="15-24 years"/>
    <n v="30"/>
    <m/>
    <n v="0"/>
    <m/>
    <m/>
    <n v="0"/>
    <m/>
    <n v="0"/>
    <n v="0"/>
    <n v="0"/>
    <m/>
    <n v="0"/>
    <n v="0"/>
    <m/>
    <m/>
  </r>
  <r>
    <n v="2020"/>
    <n v="4"/>
    <s v="4/01/2020"/>
    <x v="15"/>
    <s v="Female (F)"/>
    <s v="Other"/>
    <s v="25-34 years"/>
    <n v="35"/>
    <n v="19"/>
    <n v="0"/>
    <m/>
    <m/>
    <n v="0"/>
    <n v="0"/>
    <n v="0"/>
    <m/>
    <n v="0"/>
    <n v="0"/>
    <m/>
    <n v="0"/>
    <m/>
    <m/>
  </r>
  <r>
    <n v="2020"/>
    <n v="4"/>
    <s v="4/01/2020"/>
    <x v="15"/>
    <s v="Female (F)"/>
    <s v="Other"/>
    <s v="35-44 years"/>
    <n v="53"/>
    <n v="38"/>
    <m/>
    <m/>
    <m/>
    <n v="0"/>
    <n v="0"/>
    <m/>
    <n v="0"/>
    <n v="0"/>
    <m/>
    <m/>
    <m/>
    <m/>
    <m/>
  </r>
  <r>
    <n v="2020"/>
    <n v="4"/>
    <s v="4/01/2020"/>
    <x v="15"/>
    <s v="Female (F)"/>
    <s v="Other"/>
    <s v="45-54 years"/>
    <n v="109"/>
    <n v="99"/>
    <m/>
    <n v="24"/>
    <m/>
    <n v="0"/>
    <m/>
    <m/>
    <m/>
    <m/>
    <m/>
    <n v="18"/>
    <m/>
    <n v="19"/>
    <n v="19"/>
  </r>
  <r>
    <n v="2020"/>
    <n v="4"/>
    <s v="4/01/2020"/>
    <x v="15"/>
    <s v="Female (F)"/>
    <s v="Other"/>
    <s v="5-14 years"/>
    <m/>
    <m/>
    <n v="0"/>
    <n v="0"/>
    <n v="0"/>
    <n v="0"/>
    <n v="0"/>
    <n v="0"/>
    <n v="0"/>
    <n v="0"/>
    <n v="0"/>
    <n v="0"/>
    <n v="0"/>
    <n v="0"/>
    <n v="0"/>
  </r>
  <r>
    <n v="2020"/>
    <n v="4"/>
    <s v="4/01/2020"/>
    <x v="15"/>
    <s v="Female (F)"/>
    <s v="Other"/>
    <s v="55-64 years"/>
    <n v="189"/>
    <n v="181"/>
    <n v="0"/>
    <n v="37"/>
    <m/>
    <m/>
    <m/>
    <n v="11"/>
    <m/>
    <m/>
    <m/>
    <n v="29"/>
    <n v="14"/>
    <n v="46"/>
    <n v="44"/>
  </r>
  <r>
    <n v="2020"/>
    <n v="4"/>
    <s v="4/01/2020"/>
    <x v="15"/>
    <s v="Female (F)"/>
    <s v="Other"/>
    <s v="65-74 years"/>
    <n v="295"/>
    <n v="289"/>
    <m/>
    <n v="53"/>
    <m/>
    <m/>
    <m/>
    <n v="16"/>
    <n v="0"/>
    <m/>
    <m/>
    <n v="55"/>
    <m/>
    <n v="102"/>
    <n v="97"/>
  </r>
  <r>
    <n v="2020"/>
    <n v="4"/>
    <s v="4/01/2020"/>
    <x v="15"/>
    <s v="Female (F)"/>
    <s v="Other"/>
    <s v="75-84 years"/>
    <n v="290"/>
    <n v="284"/>
    <m/>
    <n v="31"/>
    <n v="11"/>
    <n v="12"/>
    <m/>
    <n v="12"/>
    <m/>
    <m/>
    <n v="0"/>
    <n v="52"/>
    <n v="12"/>
    <n v="95"/>
    <n v="89"/>
  </r>
  <r>
    <n v="2020"/>
    <n v="4"/>
    <s v="4/01/2020"/>
    <x v="15"/>
    <s v="Female (F)"/>
    <s v="Other"/>
    <s v="85 years and over"/>
    <n v="322"/>
    <n v="318"/>
    <n v="0"/>
    <n v="17"/>
    <n v="14"/>
    <n v="19"/>
    <m/>
    <n v="12"/>
    <m/>
    <m/>
    <m/>
    <n v="84"/>
    <n v="17"/>
    <n v="92"/>
    <n v="86"/>
  </r>
  <r>
    <n v="2020"/>
    <n v="4"/>
    <s v="4/01/2020"/>
    <x v="15"/>
    <s v="Male (M)"/>
    <s v="Hispanic"/>
    <s v="0-4 years"/>
    <n v="212"/>
    <n v="188"/>
    <m/>
    <m/>
    <n v="0"/>
    <n v="0"/>
    <n v="0"/>
    <n v="0"/>
    <m/>
    <m/>
    <n v="12"/>
    <m/>
    <m/>
    <n v="0"/>
    <n v="0"/>
  </r>
  <r>
    <n v="2020"/>
    <n v="4"/>
    <s v="4/01/2020"/>
    <x v="15"/>
    <s v="Male (M)"/>
    <s v="Hispanic"/>
    <s v="15-24 years"/>
    <n v="476"/>
    <n v="104"/>
    <m/>
    <n v="19"/>
    <m/>
    <n v="0"/>
    <n v="0"/>
    <m/>
    <n v="0"/>
    <n v="0"/>
    <n v="10"/>
    <m/>
    <m/>
    <n v="23"/>
    <n v="22"/>
  </r>
  <r>
    <n v="2020"/>
    <n v="4"/>
    <s v="4/01/2020"/>
    <x v="15"/>
    <s v="Male (M)"/>
    <s v="Hispanic"/>
    <s v="25-34 years"/>
    <n v="727"/>
    <n v="314"/>
    <m/>
    <n v="26"/>
    <m/>
    <n v="0"/>
    <m/>
    <m/>
    <m/>
    <m/>
    <n v="21"/>
    <n v="25"/>
    <m/>
    <n v="120"/>
    <n v="115"/>
  </r>
  <r>
    <n v="2020"/>
    <n v="4"/>
    <s v="4/01/2020"/>
    <x v="15"/>
    <s v="Male (M)"/>
    <s v="Hispanic"/>
    <s v="35-44 years"/>
    <n v="1211"/>
    <n v="875"/>
    <n v="15"/>
    <n v="74"/>
    <n v="29"/>
    <n v="0"/>
    <n v="13"/>
    <m/>
    <n v="16"/>
    <m/>
    <n v="27"/>
    <n v="93"/>
    <n v="28"/>
    <n v="418"/>
    <n v="406"/>
  </r>
  <r>
    <n v="2020"/>
    <n v="4"/>
    <s v="4/01/2020"/>
    <x v="15"/>
    <s v="Male (M)"/>
    <s v="Hispanic"/>
    <s v="45-54 years"/>
    <n v="2051"/>
    <n v="1811"/>
    <n v="18"/>
    <n v="174"/>
    <n v="80"/>
    <m/>
    <n v="33"/>
    <m/>
    <n v="19"/>
    <n v="19"/>
    <n v="29"/>
    <n v="226"/>
    <n v="48"/>
    <n v="900"/>
    <n v="878"/>
  </r>
  <r>
    <n v="2020"/>
    <n v="4"/>
    <s v="4/01/2020"/>
    <x v="15"/>
    <s v="Male (M)"/>
    <s v="Hispanic"/>
    <s v="5-14 years"/>
    <n v="48"/>
    <n v="25"/>
    <m/>
    <m/>
    <m/>
    <n v="0"/>
    <n v="0"/>
    <m/>
    <n v="0"/>
    <n v="0"/>
    <m/>
    <m/>
    <m/>
    <n v="0"/>
    <n v="0"/>
  </r>
  <r>
    <n v="2020"/>
    <n v="4"/>
    <s v="4/01/2020"/>
    <x v="15"/>
    <s v="Male (M)"/>
    <s v="Hispanic"/>
    <s v="55-64 years"/>
    <n v="3323"/>
    <n v="3115"/>
    <n v="28"/>
    <n v="378"/>
    <n v="153"/>
    <m/>
    <n v="57"/>
    <n v="36"/>
    <n v="31"/>
    <n v="46"/>
    <n v="26"/>
    <n v="466"/>
    <n v="69"/>
    <n v="1432"/>
    <n v="1379"/>
  </r>
  <r>
    <n v="2020"/>
    <n v="4"/>
    <s v="4/01/2020"/>
    <x v="15"/>
    <s v="Male (M)"/>
    <s v="Hispanic"/>
    <s v="65-74 years"/>
    <n v="3862"/>
    <n v="3766"/>
    <n v="29"/>
    <n v="486"/>
    <n v="176"/>
    <n v="28"/>
    <n v="70"/>
    <n v="61"/>
    <n v="52"/>
    <n v="59"/>
    <n v="17"/>
    <n v="619"/>
    <n v="126"/>
    <n v="1669"/>
    <n v="1614"/>
  </r>
  <r>
    <n v="2020"/>
    <n v="4"/>
    <s v="4/01/2020"/>
    <x v="15"/>
    <s v="Male (M)"/>
    <s v="Hispanic"/>
    <s v="75-84 years"/>
    <n v="3643"/>
    <n v="3594"/>
    <n v="30"/>
    <n v="481"/>
    <n v="126"/>
    <n v="90"/>
    <n v="69"/>
    <n v="96"/>
    <n v="52"/>
    <n v="46"/>
    <n v="13"/>
    <n v="607"/>
    <n v="114"/>
    <n v="1485"/>
    <n v="1420"/>
  </r>
  <r>
    <n v="2020"/>
    <n v="4"/>
    <s v="4/01/2020"/>
    <x v="15"/>
    <s v="Male (M)"/>
    <s v="Hispanic"/>
    <s v="85 years and over"/>
    <n v="2837"/>
    <n v="2793"/>
    <n v="18"/>
    <n v="262"/>
    <n v="96"/>
    <n v="139"/>
    <n v="74"/>
    <n v="83"/>
    <n v="39"/>
    <n v="33"/>
    <n v="13"/>
    <n v="628"/>
    <n v="125"/>
    <n v="927"/>
    <n v="876"/>
  </r>
  <r>
    <n v="2020"/>
    <n v="4"/>
    <s v="4/01/2020"/>
    <x v="15"/>
    <s v="Male (M)"/>
    <s v="Non-Hispanic American Indian or Alaska Native"/>
    <s v="0-4 years"/>
    <n v="13"/>
    <m/>
    <n v="0"/>
    <n v="0"/>
    <n v="0"/>
    <n v="0"/>
    <n v="0"/>
    <n v="0"/>
    <n v="0"/>
    <n v="0"/>
    <m/>
    <n v="0"/>
    <n v="0"/>
    <n v="0"/>
    <n v="0"/>
  </r>
  <r>
    <n v="2020"/>
    <n v="4"/>
    <s v="4/01/2020"/>
    <x v="15"/>
    <s v="Male (M)"/>
    <s v="Non-Hispanic American Indian or Alaska Native"/>
    <s v="15-24 years"/>
    <n v="32"/>
    <m/>
    <n v="0"/>
    <n v="0"/>
    <n v="0"/>
    <n v="0"/>
    <n v="0"/>
    <m/>
    <n v="0"/>
    <n v="0"/>
    <m/>
    <n v="0"/>
    <n v="0"/>
    <n v="0"/>
    <n v="0"/>
  </r>
  <r>
    <n v="2020"/>
    <n v="4"/>
    <s v="4/01/2020"/>
    <x v="15"/>
    <s v="Male (M)"/>
    <s v="Non-Hispanic American Indian or Alaska Native"/>
    <s v="25-34 years"/>
    <n v="74"/>
    <n v="29"/>
    <m/>
    <m/>
    <m/>
    <n v="0"/>
    <n v="0"/>
    <n v="0"/>
    <m/>
    <n v="0"/>
    <m/>
    <n v="0"/>
    <n v="0"/>
    <m/>
    <m/>
  </r>
  <r>
    <n v="2020"/>
    <n v="4"/>
    <s v="4/01/2020"/>
    <x v="15"/>
    <s v="Male (M)"/>
    <s v="Non-Hispanic American Indian or Alaska Native"/>
    <s v="35-44 years"/>
    <n v="85"/>
    <n v="58"/>
    <m/>
    <n v="0"/>
    <m/>
    <n v="0"/>
    <m/>
    <n v="0"/>
    <m/>
    <n v="0"/>
    <m/>
    <n v="12"/>
    <n v="0"/>
    <n v="12"/>
    <n v="12"/>
  </r>
  <r>
    <n v="2020"/>
    <n v="4"/>
    <s v="4/01/2020"/>
    <x v="15"/>
    <s v="Male (M)"/>
    <s v="Non-Hispanic American Indian or Alaska Native"/>
    <s v="45-54 years"/>
    <n v="129"/>
    <n v="108"/>
    <m/>
    <n v="13"/>
    <n v="15"/>
    <n v="0"/>
    <m/>
    <n v="0"/>
    <m/>
    <m/>
    <m/>
    <n v="17"/>
    <m/>
    <n v="15"/>
    <n v="14"/>
  </r>
  <r>
    <n v="2020"/>
    <n v="4"/>
    <s v="4/01/2020"/>
    <x v="15"/>
    <s v="Male (M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20"/>
    <n v="4"/>
    <s v="4/01/2020"/>
    <x v="15"/>
    <s v="Male (M)"/>
    <s v="Non-Hispanic American Indian or Alaska Native"/>
    <s v="55-64 years"/>
    <n v="214"/>
    <n v="194"/>
    <m/>
    <n v="44"/>
    <m/>
    <n v="0"/>
    <m/>
    <m/>
    <m/>
    <n v="0"/>
    <m/>
    <n v="51"/>
    <m/>
    <n v="30"/>
    <n v="28"/>
  </r>
  <r>
    <n v="2020"/>
    <n v="4"/>
    <s v="4/01/2020"/>
    <x v="15"/>
    <s v="Male (M)"/>
    <s v="Non-Hispanic American Indian or Alaska Native"/>
    <s v="65-74 years"/>
    <n v="207"/>
    <n v="197"/>
    <m/>
    <n v="42"/>
    <m/>
    <m/>
    <m/>
    <m/>
    <m/>
    <m/>
    <m/>
    <n v="49"/>
    <m/>
    <n v="37"/>
    <n v="34"/>
  </r>
  <r>
    <n v="2020"/>
    <n v="4"/>
    <s v="4/01/2020"/>
    <x v="15"/>
    <s v="Male (M)"/>
    <s v="Non-Hispanic American Indian or Alaska Native"/>
    <s v="75-84 years"/>
    <n v="166"/>
    <n v="164"/>
    <m/>
    <n v="31"/>
    <m/>
    <m/>
    <m/>
    <n v="11"/>
    <m/>
    <m/>
    <m/>
    <n v="35"/>
    <n v="12"/>
    <n v="33"/>
    <n v="29"/>
  </r>
  <r>
    <n v="2020"/>
    <n v="4"/>
    <s v="4/01/2020"/>
    <x v="15"/>
    <s v="Male (M)"/>
    <s v="Non-Hispanic American Indian or Alaska Native"/>
    <s v="85 years and over"/>
    <n v="94"/>
    <n v="91"/>
    <m/>
    <m/>
    <m/>
    <m/>
    <m/>
    <m/>
    <m/>
    <m/>
    <n v="0"/>
    <n v="22"/>
    <m/>
    <n v="20"/>
    <n v="19"/>
  </r>
  <r>
    <n v="2020"/>
    <n v="4"/>
    <s v="4/01/2020"/>
    <x v="15"/>
    <s v="Male (M)"/>
    <s v="Non-Hispanic Asian"/>
    <s v="0-4 years"/>
    <n v="23"/>
    <n v="22"/>
    <n v="0"/>
    <n v="0"/>
    <n v="0"/>
    <n v="0"/>
    <n v="0"/>
    <n v="0"/>
    <m/>
    <m/>
    <m/>
    <n v="0"/>
    <n v="0"/>
    <n v="0"/>
    <n v="0"/>
  </r>
  <r>
    <n v="2020"/>
    <n v="4"/>
    <s v="4/01/2020"/>
    <x v="15"/>
    <s v="Male (M)"/>
    <s v="Non-Hispanic Asian"/>
    <s v="15-24 years"/>
    <n v="39"/>
    <n v="12"/>
    <n v="0"/>
    <m/>
    <n v="0"/>
    <n v="0"/>
    <n v="0"/>
    <n v="0"/>
    <n v="0"/>
    <n v="0"/>
    <m/>
    <m/>
    <n v="0"/>
    <m/>
    <m/>
  </r>
  <r>
    <n v="2020"/>
    <n v="4"/>
    <s v="4/01/2020"/>
    <x v="15"/>
    <s v="Male (M)"/>
    <s v="Non-Hispanic Asian"/>
    <s v="25-34 years"/>
    <n v="106"/>
    <n v="52"/>
    <n v="0"/>
    <m/>
    <m/>
    <n v="0"/>
    <m/>
    <n v="0"/>
    <n v="0"/>
    <n v="0"/>
    <m/>
    <m/>
    <m/>
    <n v="14"/>
    <n v="14"/>
  </r>
  <r>
    <n v="2020"/>
    <n v="4"/>
    <s v="4/01/2020"/>
    <x v="15"/>
    <s v="Male (M)"/>
    <s v="Non-Hispanic Asian"/>
    <s v="35-44 years"/>
    <n v="140"/>
    <n v="109"/>
    <m/>
    <n v="21"/>
    <m/>
    <n v="0"/>
    <m/>
    <n v="0"/>
    <m/>
    <n v="0"/>
    <m/>
    <n v="19"/>
    <m/>
    <n v="34"/>
    <n v="33"/>
  </r>
  <r>
    <n v="2020"/>
    <n v="4"/>
    <s v="4/01/2020"/>
    <x v="15"/>
    <s v="Male (M)"/>
    <s v="Non-Hispanic Asian"/>
    <s v="45-54 years"/>
    <n v="347"/>
    <n v="317"/>
    <m/>
    <n v="54"/>
    <n v="15"/>
    <n v="0"/>
    <m/>
    <n v="0"/>
    <m/>
    <m/>
    <m/>
    <n v="51"/>
    <n v="13"/>
    <n v="132"/>
    <n v="126"/>
  </r>
  <r>
    <n v="2020"/>
    <n v="4"/>
    <s v="4/01/2020"/>
    <x v="15"/>
    <s v="Male (M)"/>
    <s v="Non-Hispanic Asian"/>
    <s v="5-14 years"/>
    <m/>
    <m/>
    <n v="0"/>
    <n v="0"/>
    <n v="0"/>
    <n v="0"/>
    <n v="0"/>
    <n v="0"/>
    <n v="0"/>
    <m/>
    <n v="0"/>
    <n v="0"/>
    <n v="0"/>
    <n v="0"/>
    <n v="0"/>
  </r>
  <r>
    <n v="2020"/>
    <n v="4"/>
    <s v="4/01/2020"/>
    <x v="15"/>
    <s v="Male (M)"/>
    <s v="Non-Hispanic Asian"/>
    <s v="55-64 years"/>
    <n v="844"/>
    <n v="816"/>
    <m/>
    <n v="142"/>
    <n v="29"/>
    <m/>
    <n v="14"/>
    <m/>
    <m/>
    <m/>
    <m/>
    <n v="127"/>
    <n v="25"/>
    <n v="387"/>
    <n v="373"/>
  </r>
  <r>
    <n v="2020"/>
    <n v="4"/>
    <s v="4/01/2020"/>
    <x v="15"/>
    <s v="Male (M)"/>
    <s v="Non-Hispanic Asian"/>
    <s v="65-74 years"/>
    <n v="1283"/>
    <n v="1258"/>
    <m/>
    <n v="213"/>
    <n v="48"/>
    <m/>
    <n v="21"/>
    <n v="26"/>
    <m/>
    <n v="16"/>
    <n v="11"/>
    <n v="216"/>
    <n v="38"/>
    <n v="557"/>
    <n v="530"/>
  </r>
  <r>
    <n v="2020"/>
    <n v="4"/>
    <s v="4/01/2020"/>
    <x v="15"/>
    <s v="Male (M)"/>
    <s v="Non-Hispanic Asian"/>
    <s v="75-84 years"/>
    <n v="1493"/>
    <n v="1468"/>
    <m/>
    <n v="214"/>
    <n v="66"/>
    <n v="26"/>
    <n v="40"/>
    <n v="31"/>
    <n v="13"/>
    <n v="27"/>
    <m/>
    <n v="261"/>
    <n v="69"/>
    <n v="543"/>
    <n v="517"/>
  </r>
  <r>
    <n v="2020"/>
    <n v="4"/>
    <s v="4/01/2020"/>
    <x v="15"/>
    <s v="Male (M)"/>
    <s v="Non-Hispanic Asian"/>
    <s v="85 years and over"/>
    <n v="1460"/>
    <n v="1434"/>
    <m/>
    <n v="125"/>
    <n v="44"/>
    <n v="66"/>
    <n v="50"/>
    <n v="61"/>
    <n v="22"/>
    <n v="33"/>
    <n v="16"/>
    <n v="337"/>
    <n v="69"/>
    <n v="404"/>
    <n v="376"/>
  </r>
  <r>
    <n v="2020"/>
    <n v="4"/>
    <s v="4/01/2020"/>
    <x v="15"/>
    <s v="Male (M)"/>
    <s v="Non-Hispanic Black"/>
    <s v="0-4 years"/>
    <n v="302"/>
    <n v="248"/>
    <n v="0"/>
    <m/>
    <n v="0"/>
    <n v="0"/>
    <m/>
    <n v="0"/>
    <m/>
    <m/>
    <n v="34"/>
    <m/>
    <m/>
    <n v="0"/>
    <n v="0"/>
  </r>
  <r>
    <n v="2020"/>
    <n v="4"/>
    <s v="4/01/2020"/>
    <x v="15"/>
    <s v="Male (M)"/>
    <s v="Non-Hispanic Black"/>
    <s v="15-24 years"/>
    <n v="556"/>
    <n v="117"/>
    <m/>
    <m/>
    <m/>
    <n v="0"/>
    <m/>
    <m/>
    <n v="0"/>
    <m/>
    <n v="19"/>
    <n v="17"/>
    <m/>
    <n v="15"/>
    <n v="14"/>
  </r>
  <r>
    <n v="2020"/>
    <n v="4"/>
    <s v="4/01/2020"/>
    <x v="15"/>
    <s v="Male (M)"/>
    <s v="Non-Hispanic Black"/>
    <s v="25-34 years"/>
    <n v="1014"/>
    <n v="365"/>
    <m/>
    <n v="33"/>
    <n v="24"/>
    <n v="0"/>
    <m/>
    <m/>
    <m/>
    <m/>
    <n v="21"/>
    <n v="61"/>
    <m/>
    <n v="99"/>
    <n v="95"/>
  </r>
  <r>
    <n v="2020"/>
    <n v="4"/>
    <s v="4/01/2020"/>
    <x v="15"/>
    <s v="Male (M)"/>
    <s v="Non-Hispanic Black"/>
    <s v="35-44 years"/>
    <n v="1283"/>
    <n v="836"/>
    <n v="12"/>
    <n v="61"/>
    <n v="56"/>
    <n v="0"/>
    <n v="16"/>
    <n v="13"/>
    <n v="13"/>
    <n v="15"/>
    <n v="33"/>
    <n v="190"/>
    <n v="37"/>
    <n v="230"/>
    <n v="215"/>
  </r>
  <r>
    <n v="2020"/>
    <n v="4"/>
    <s v="4/01/2020"/>
    <x v="15"/>
    <s v="Male (M)"/>
    <s v="Non-Hispanic Black"/>
    <s v="45-54 years"/>
    <n v="2476"/>
    <n v="2113"/>
    <n v="35"/>
    <n v="211"/>
    <n v="114"/>
    <m/>
    <n v="37"/>
    <n v="27"/>
    <n v="12"/>
    <n v="48"/>
    <n v="31"/>
    <n v="486"/>
    <n v="69"/>
    <n v="690"/>
    <n v="660"/>
  </r>
  <r>
    <n v="2020"/>
    <n v="4"/>
    <s v="4/01/2020"/>
    <x v="15"/>
    <s v="Male (M)"/>
    <s v="Non-Hispanic Black"/>
    <s v="5-14 years"/>
    <n v="77"/>
    <n v="36"/>
    <n v="0"/>
    <m/>
    <n v="0"/>
    <n v="0"/>
    <m/>
    <m/>
    <m/>
    <n v="0"/>
    <m/>
    <m/>
    <m/>
    <m/>
    <m/>
  </r>
  <r>
    <n v="2020"/>
    <n v="4"/>
    <s v="4/01/2020"/>
    <x v="15"/>
    <s v="Male (M)"/>
    <s v="Non-Hispanic Black"/>
    <s v="55-64 years"/>
    <n v="5478"/>
    <n v="5065"/>
    <n v="65"/>
    <n v="772"/>
    <n v="248"/>
    <m/>
    <n v="88"/>
    <n v="123"/>
    <n v="49"/>
    <n v="108"/>
    <n v="52"/>
    <n v="1088"/>
    <n v="188"/>
    <n v="1681"/>
    <n v="1594"/>
  </r>
  <r>
    <n v="2020"/>
    <n v="4"/>
    <s v="4/01/2020"/>
    <x v="15"/>
    <s v="Male (M)"/>
    <s v="Non-Hispanic Black"/>
    <s v="65-74 years"/>
    <n v="7014"/>
    <n v="6839"/>
    <n v="87"/>
    <n v="974"/>
    <n v="294"/>
    <n v="38"/>
    <n v="129"/>
    <n v="190"/>
    <n v="82"/>
    <n v="144"/>
    <n v="48"/>
    <n v="1328"/>
    <n v="258"/>
    <n v="2592"/>
    <n v="2474"/>
  </r>
  <r>
    <n v="2020"/>
    <n v="4"/>
    <s v="4/01/2020"/>
    <x v="15"/>
    <s v="Male (M)"/>
    <s v="Non-Hispanic Black"/>
    <s v="75-84 years"/>
    <n v="5804"/>
    <n v="5728"/>
    <n v="63"/>
    <n v="637"/>
    <n v="214"/>
    <n v="125"/>
    <n v="118"/>
    <n v="170"/>
    <n v="51"/>
    <n v="122"/>
    <n v="41"/>
    <n v="1041"/>
    <n v="219"/>
    <n v="2330"/>
    <n v="2230"/>
  </r>
  <r>
    <n v="2020"/>
    <n v="4"/>
    <s v="4/01/2020"/>
    <x v="15"/>
    <s v="Male (M)"/>
    <s v="Non-Hispanic Black"/>
    <s v="85 years and over"/>
    <n v="3480"/>
    <n v="3447"/>
    <n v="33"/>
    <n v="273"/>
    <n v="102"/>
    <n v="133"/>
    <n v="68"/>
    <n v="81"/>
    <n v="31"/>
    <n v="66"/>
    <n v="29"/>
    <n v="765"/>
    <n v="159"/>
    <n v="1248"/>
    <n v="1185"/>
  </r>
  <r>
    <n v="2020"/>
    <n v="4"/>
    <s v="4/01/2020"/>
    <x v="15"/>
    <s v="Male (M)"/>
    <s v="Non-Hispanic White"/>
    <s v="0-4 years"/>
    <n v="410"/>
    <n v="345"/>
    <m/>
    <m/>
    <n v="0"/>
    <n v="0"/>
    <m/>
    <n v="0"/>
    <m/>
    <n v="0"/>
    <n v="48"/>
    <m/>
    <m/>
    <m/>
    <m/>
  </r>
  <r>
    <n v="2020"/>
    <n v="4"/>
    <s v="4/01/2020"/>
    <x v="15"/>
    <s v="Male (M)"/>
    <s v="Non-Hispanic White"/>
    <s v="15-24 years"/>
    <n v="923"/>
    <n v="174"/>
    <m/>
    <n v="37"/>
    <m/>
    <n v="0"/>
    <m/>
    <m/>
    <m/>
    <m/>
    <n v="18"/>
    <n v="19"/>
    <m/>
    <n v="10"/>
    <m/>
  </r>
  <r>
    <n v="2020"/>
    <n v="4"/>
    <s v="4/01/2020"/>
    <x v="15"/>
    <s v="Male (M)"/>
    <s v="Non-Hispanic White"/>
    <s v="25-34 years"/>
    <n v="2324"/>
    <n v="640"/>
    <m/>
    <n v="71"/>
    <n v="31"/>
    <n v="0"/>
    <n v="13"/>
    <m/>
    <m/>
    <n v="11"/>
    <n v="93"/>
    <n v="98"/>
    <n v="11"/>
    <n v="48"/>
    <n v="44"/>
  </r>
  <r>
    <n v="2020"/>
    <n v="4"/>
    <s v="4/01/2020"/>
    <x v="15"/>
    <s v="Male (M)"/>
    <s v="Non-Hispanic White"/>
    <s v="35-44 years"/>
    <n v="3188"/>
    <n v="1580"/>
    <n v="24"/>
    <n v="210"/>
    <n v="68"/>
    <m/>
    <n v="38"/>
    <n v="22"/>
    <n v="24"/>
    <n v="20"/>
    <n v="87"/>
    <n v="374"/>
    <n v="60"/>
    <n v="96"/>
    <n v="88"/>
  </r>
  <r>
    <n v="2020"/>
    <n v="4"/>
    <s v="4/01/2020"/>
    <x v="15"/>
    <s v="Male (M)"/>
    <s v="Non-Hispanic White"/>
    <s v="45-54 years"/>
    <n v="5913"/>
    <n v="4560"/>
    <n v="58"/>
    <n v="971"/>
    <n v="247"/>
    <m/>
    <n v="65"/>
    <n v="118"/>
    <n v="47"/>
    <n v="50"/>
    <n v="90"/>
    <n v="1172"/>
    <n v="140"/>
    <n v="467"/>
    <n v="452"/>
  </r>
  <r>
    <n v="2020"/>
    <n v="4"/>
    <s v="4/01/2020"/>
    <x v="15"/>
    <s v="Male (M)"/>
    <s v="Non-Hispanic White"/>
    <s v="5-14 years"/>
    <n v="108"/>
    <n v="58"/>
    <n v="0"/>
    <n v="19"/>
    <m/>
    <n v="0"/>
    <n v="0"/>
    <m/>
    <n v="0"/>
    <n v="0"/>
    <m/>
    <m/>
    <n v="0"/>
    <m/>
    <n v="0"/>
  </r>
  <r>
    <n v="2020"/>
    <n v="4"/>
    <s v="4/01/2020"/>
    <x v="15"/>
    <s v="Male (M)"/>
    <s v="Non-Hispanic White"/>
    <s v="55-64 years"/>
    <n v="15203"/>
    <n v="13693"/>
    <n v="169"/>
    <n v="3477"/>
    <n v="549"/>
    <n v="40"/>
    <n v="257"/>
    <n v="685"/>
    <n v="173"/>
    <n v="159"/>
    <n v="156"/>
    <n v="3377"/>
    <n v="421"/>
    <n v="1619"/>
    <n v="1534"/>
  </r>
  <r>
    <n v="2020"/>
    <n v="4"/>
    <s v="4/01/2020"/>
    <x v="15"/>
    <s v="Male (M)"/>
    <s v="Non-Hispanic White"/>
    <s v="65-74 years"/>
    <n v="24653"/>
    <n v="23730"/>
    <n v="278"/>
    <n v="6120"/>
    <n v="939"/>
    <n v="233"/>
    <n v="457"/>
    <n v="1483"/>
    <n v="422"/>
    <n v="325"/>
    <n v="179"/>
    <n v="5142"/>
    <n v="760"/>
    <n v="3616"/>
    <n v="3452"/>
  </r>
  <r>
    <n v="2020"/>
    <n v="4"/>
    <s v="4/01/2020"/>
    <x v="15"/>
    <s v="Male (M)"/>
    <s v="Non-Hispanic White"/>
    <s v="75-84 years"/>
    <n v="29960"/>
    <n v="29067"/>
    <n v="329"/>
    <n v="5572"/>
    <n v="812"/>
    <n v="1020"/>
    <n v="611"/>
    <n v="1835"/>
    <n v="477"/>
    <n v="456"/>
    <n v="180"/>
    <n v="6343"/>
    <n v="1223"/>
    <n v="5194"/>
    <n v="4928"/>
  </r>
  <r>
    <n v="2020"/>
    <n v="4"/>
    <s v="4/01/2020"/>
    <x v="15"/>
    <s v="Male (M)"/>
    <s v="Non-Hispanic White"/>
    <s v="85 years and over"/>
    <n v="30811"/>
    <n v="29991"/>
    <n v="271"/>
    <n v="3286"/>
    <n v="562"/>
    <n v="1684"/>
    <n v="667"/>
    <n v="1304"/>
    <n v="437"/>
    <n v="523"/>
    <n v="312"/>
    <n v="7776"/>
    <n v="1511"/>
    <n v="5826"/>
    <n v="5486"/>
  </r>
  <r>
    <n v="2020"/>
    <n v="4"/>
    <s v="4/01/2020"/>
    <x v="15"/>
    <s v="Male (M)"/>
    <s v="Other"/>
    <s v="0-4 years"/>
    <n v="55"/>
    <n v="49"/>
    <m/>
    <m/>
    <n v="0"/>
    <n v="0"/>
    <m/>
    <n v="0"/>
    <m/>
    <n v="0"/>
    <n v="10"/>
    <n v="0"/>
    <n v="0"/>
    <n v="0"/>
    <n v="0"/>
  </r>
  <r>
    <n v="2020"/>
    <n v="4"/>
    <s v="4/01/2020"/>
    <x v="15"/>
    <s v="Male (M)"/>
    <s v="Other"/>
    <s v="15-24 years"/>
    <n v="45"/>
    <n v="13"/>
    <m/>
    <m/>
    <m/>
    <n v="0"/>
    <n v="0"/>
    <n v="0"/>
    <n v="0"/>
    <n v="0"/>
    <m/>
    <m/>
    <n v="0"/>
    <m/>
    <m/>
  </r>
  <r>
    <n v="2020"/>
    <n v="4"/>
    <s v="4/01/2020"/>
    <x v="15"/>
    <s v="Male (M)"/>
    <s v="Other"/>
    <s v="25-34 years"/>
    <n v="80"/>
    <n v="27"/>
    <n v="0"/>
    <m/>
    <n v="0"/>
    <n v="0"/>
    <n v="0"/>
    <n v="0"/>
    <n v="0"/>
    <n v="0"/>
    <m/>
    <m/>
    <n v="0"/>
    <m/>
    <m/>
  </r>
  <r>
    <n v="2020"/>
    <n v="4"/>
    <s v="4/01/2020"/>
    <x v="15"/>
    <s v="Male (M)"/>
    <s v="Other"/>
    <s v="35-44 years"/>
    <n v="92"/>
    <n v="52"/>
    <m/>
    <m/>
    <m/>
    <n v="0"/>
    <n v="0"/>
    <m/>
    <n v="0"/>
    <n v="0"/>
    <m/>
    <m/>
    <m/>
    <n v="10"/>
    <m/>
  </r>
  <r>
    <n v="2020"/>
    <n v="4"/>
    <s v="4/01/2020"/>
    <x v="15"/>
    <s v="Male (M)"/>
    <s v="Other"/>
    <s v="45-54 years"/>
    <n v="146"/>
    <n v="122"/>
    <m/>
    <n v="13"/>
    <m/>
    <n v="0"/>
    <m/>
    <m/>
    <m/>
    <m/>
    <m/>
    <n v="26"/>
    <m/>
    <n v="42"/>
    <n v="40"/>
  </r>
  <r>
    <n v="2020"/>
    <n v="4"/>
    <s v="4/01/2020"/>
    <x v="15"/>
    <s v="Male (M)"/>
    <s v="Other"/>
    <s v="5-14 years"/>
    <n v="11"/>
    <m/>
    <n v="0"/>
    <m/>
    <n v="0"/>
    <n v="0"/>
    <m/>
    <m/>
    <n v="0"/>
    <n v="0"/>
    <n v="0"/>
    <n v="0"/>
    <n v="0"/>
    <n v="0"/>
    <n v="0"/>
  </r>
  <r>
    <n v="2020"/>
    <n v="4"/>
    <s v="4/01/2020"/>
    <x v="15"/>
    <s v="Male (M)"/>
    <s v="Other"/>
    <s v="55-64 years"/>
    <n v="385"/>
    <n v="352"/>
    <m/>
    <n v="51"/>
    <n v="23"/>
    <n v="0"/>
    <n v="10"/>
    <m/>
    <m/>
    <m/>
    <m/>
    <n v="71"/>
    <n v="15"/>
    <n v="112"/>
    <n v="106"/>
  </r>
  <r>
    <n v="2020"/>
    <n v="4"/>
    <s v="4/01/2020"/>
    <x v="15"/>
    <s v="Male (M)"/>
    <s v="Other"/>
    <s v="65-74 years"/>
    <n v="527"/>
    <n v="508"/>
    <m/>
    <n v="68"/>
    <n v="22"/>
    <m/>
    <n v="13"/>
    <n v="19"/>
    <n v="11"/>
    <m/>
    <m/>
    <n v="114"/>
    <n v="11"/>
    <n v="202"/>
    <n v="193"/>
  </r>
  <r>
    <n v="2020"/>
    <n v="4"/>
    <s v="4/01/2020"/>
    <x v="15"/>
    <s v="Male (M)"/>
    <s v="Other"/>
    <s v="75-84 years"/>
    <n v="427"/>
    <n v="424"/>
    <m/>
    <n v="32"/>
    <n v="13"/>
    <n v="10"/>
    <m/>
    <n v="23"/>
    <m/>
    <m/>
    <m/>
    <n v="79"/>
    <n v="14"/>
    <n v="190"/>
    <n v="178"/>
  </r>
  <r>
    <n v="2020"/>
    <n v="4"/>
    <s v="4/01/2020"/>
    <x v="15"/>
    <s v="Male (M)"/>
    <s v="Other"/>
    <s v="85 years and over"/>
    <n v="263"/>
    <n v="261"/>
    <m/>
    <n v="15"/>
    <m/>
    <n v="12"/>
    <n v="10"/>
    <m/>
    <m/>
    <m/>
    <m/>
    <n v="61"/>
    <m/>
    <n v="112"/>
    <n v="102"/>
  </r>
  <r>
    <n v="2020"/>
    <n v="5"/>
    <s v="5/01/2020"/>
    <x v="16"/>
    <s v="Female (F)"/>
    <s v="Hispanic"/>
    <s v="0-4 years"/>
    <n v="156"/>
    <n v="143"/>
    <m/>
    <m/>
    <n v="0"/>
    <n v="0"/>
    <n v="0"/>
    <n v="0"/>
    <n v="0"/>
    <n v="0"/>
    <n v="14"/>
    <n v="0"/>
    <m/>
    <m/>
    <n v="0"/>
  </r>
  <r>
    <n v="2020"/>
    <n v="5"/>
    <s v="5/01/2020"/>
    <x v="16"/>
    <s v="Female (F)"/>
    <s v="Hispanic"/>
    <s v="15-24 years"/>
    <n v="141"/>
    <n v="56"/>
    <n v="0"/>
    <n v="10"/>
    <m/>
    <n v="0"/>
    <m/>
    <m/>
    <n v="0"/>
    <n v="0"/>
    <m/>
    <m/>
    <m/>
    <m/>
    <m/>
  </r>
  <r>
    <n v="2020"/>
    <n v="5"/>
    <s v="5/01/2020"/>
    <x v="16"/>
    <s v="Female (F)"/>
    <s v="Hispanic"/>
    <s v="25-34 years"/>
    <n v="274"/>
    <n v="147"/>
    <m/>
    <n v="28"/>
    <m/>
    <n v="0"/>
    <m/>
    <m/>
    <m/>
    <m/>
    <n v="16"/>
    <m/>
    <m/>
    <n v="22"/>
    <n v="21"/>
  </r>
  <r>
    <n v="2020"/>
    <n v="5"/>
    <s v="5/01/2020"/>
    <x v="16"/>
    <s v="Female (F)"/>
    <s v="Hispanic"/>
    <s v="35-44 years"/>
    <n v="394"/>
    <n v="311"/>
    <m/>
    <n v="90"/>
    <n v="15"/>
    <n v="0"/>
    <m/>
    <m/>
    <m/>
    <m/>
    <m/>
    <n v="33"/>
    <n v="11"/>
    <n v="61"/>
    <n v="58"/>
  </r>
  <r>
    <n v="2020"/>
    <n v="5"/>
    <s v="5/01/2020"/>
    <x v="16"/>
    <s v="Female (F)"/>
    <s v="Hispanic"/>
    <s v="45-54 years"/>
    <n v="738"/>
    <n v="672"/>
    <n v="10"/>
    <n v="200"/>
    <n v="40"/>
    <n v="0"/>
    <m/>
    <n v="11"/>
    <m/>
    <m/>
    <n v="11"/>
    <n v="68"/>
    <n v="20"/>
    <n v="165"/>
    <n v="154"/>
  </r>
  <r>
    <n v="2020"/>
    <n v="5"/>
    <s v="5/01/2020"/>
    <x v="16"/>
    <s v="Female (F)"/>
    <s v="Hispanic"/>
    <s v="5-14 years"/>
    <n v="35"/>
    <n v="22"/>
    <m/>
    <m/>
    <m/>
    <n v="0"/>
    <n v="0"/>
    <n v="0"/>
    <m/>
    <n v="0"/>
    <m/>
    <m/>
    <m/>
    <n v="0"/>
    <n v="0"/>
  </r>
  <r>
    <n v="2020"/>
    <n v="5"/>
    <s v="5/01/2020"/>
    <x v="16"/>
    <s v="Female (F)"/>
    <s v="Hispanic"/>
    <s v="55-64 years"/>
    <n v="1287"/>
    <n v="1225"/>
    <n v="17"/>
    <n v="341"/>
    <n v="65"/>
    <m/>
    <m/>
    <n v="24"/>
    <n v="12"/>
    <n v="21"/>
    <n v="15"/>
    <n v="149"/>
    <n v="41"/>
    <n v="327"/>
    <n v="313"/>
  </r>
  <r>
    <n v="2020"/>
    <n v="5"/>
    <s v="5/01/2020"/>
    <x v="16"/>
    <s v="Female (F)"/>
    <s v="Hispanic"/>
    <s v="65-74 years"/>
    <n v="1869"/>
    <n v="1834"/>
    <n v="29"/>
    <n v="422"/>
    <n v="111"/>
    <n v="29"/>
    <n v="29"/>
    <n v="43"/>
    <n v="33"/>
    <n v="44"/>
    <m/>
    <n v="273"/>
    <n v="68"/>
    <n v="509"/>
    <n v="488"/>
  </r>
  <r>
    <n v="2020"/>
    <n v="5"/>
    <s v="5/01/2020"/>
    <x v="16"/>
    <s v="Female (F)"/>
    <s v="Hispanic"/>
    <s v="75-84 years"/>
    <n v="2396"/>
    <n v="2348"/>
    <n v="30"/>
    <n v="389"/>
    <n v="112"/>
    <n v="125"/>
    <n v="40"/>
    <n v="60"/>
    <n v="55"/>
    <n v="54"/>
    <n v="10"/>
    <n v="414"/>
    <n v="136"/>
    <n v="548"/>
    <n v="510"/>
  </r>
  <r>
    <n v="2020"/>
    <n v="5"/>
    <s v="5/01/2020"/>
    <x v="16"/>
    <s v="Female (F)"/>
    <s v="Hispanic"/>
    <s v="85 years and over"/>
    <n v="3210"/>
    <n v="3164"/>
    <n v="36"/>
    <n v="255"/>
    <n v="115"/>
    <n v="382"/>
    <n v="47"/>
    <n v="99"/>
    <n v="35"/>
    <n v="47"/>
    <n v="26"/>
    <n v="707"/>
    <n v="260"/>
    <n v="597"/>
    <n v="552"/>
  </r>
  <r>
    <n v="2020"/>
    <n v="5"/>
    <s v="5/01/2020"/>
    <x v="16"/>
    <s v="Female (F)"/>
    <s v="Non-Hispanic American Indian or Alaska Native"/>
    <s v="0-4 years"/>
    <m/>
    <m/>
    <n v="0"/>
    <n v="0"/>
    <n v="0"/>
    <n v="0"/>
    <n v="0"/>
    <n v="0"/>
    <n v="0"/>
    <n v="0"/>
    <m/>
    <n v="0"/>
    <n v="0"/>
    <n v="0"/>
    <n v="0"/>
  </r>
  <r>
    <n v="2020"/>
    <n v="5"/>
    <s v="5/01/2020"/>
    <x v="16"/>
    <s v="Female (F)"/>
    <s v="Non-Hispanic American Indian or Alaska Native"/>
    <s v="15-24 years"/>
    <n v="22"/>
    <m/>
    <n v="0"/>
    <m/>
    <n v="0"/>
    <n v="0"/>
    <n v="0"/>
    <n v="0"/>
    <n v="0"/>
    <n v="0"/>
    <m/>
    <n v="0"/>
    <n v="0"/>
    <n v="0"/>
    <n v="0"/>
  </r>
  <r>
    <n v="2020"/>
    <n v="5"/>
    <s v="5/01/2020"/>
    <x v="16"/>
    <s v="Female (F)"/>
    <s v="Non-Hispanic American Indian or Alaska Native"/>
    <s v="25-34 years"/>
    <n v="55"/>
    <n v="28"/>
    <n v="0"/>
    <m/>
    <n v="0"/>
    <n v="0"/>
    <n v="0"/>
    <n v="0"/>
    <n v="0"/>
    <n v="0"/>
    <m/>
    <m/>
    <n v="0"/>
    <m/>
    <m/>
  </r>
  <r>
    <n v="2020"/>
    <n v="5"/>
    <s v="5/01/2020"/>
    <x v="16"/>
    <s v="Female (F)"/>
    <s v="Non-Hispanic American Indian or Alaska Native"/>
    <s v="35-44 years"/>
    <n v="56"/>
    <n v="38"/>
    <m/>
    <m/>
    <m/>
    <n v="0"/>
    <m/>
    <n v="0"/>
    <m/>
    <m/>
    <m/>
    <m/>
    <m/>
    <n v="11"/>
    <m/>
  </r>
  <r>
    <n v="2020"/>
    <n v="5"/>
    <s v="5/01/2020"/>
    <x v="16"/>
    <s v="Female (F)"/>
    <s v="Non-Hispanic American Indian or Alaska Native"/>
    <s v="45-54 years"/>
    <n v="104"/>
    <n v="89"/>
    <m/>
    <n v="12"/>
    <m/>
    <n v="0"/>
    <n v="0"/>
    <m/>
    <m/>
    <n v="0"/>
    <m/>
    <n v="10"/>
    <m/>
    <n v="17"/>
    <n v="13"/>
  </r>
  <r>
    <n v="2020"/>
    <n v="5"/>
    <s v="5/01/2020"/>
    <x v="16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20"/>
    <n v="5"/>
    <s v="5/01/2020"/>
    <x v="16"/>
    <s v="Female (F)"/>
    <s v="Non-Hispanic American Indian or Alaska Native"/>
    <s v="55-64 years"/>
    <n v="142"/>
    <n v="135"/>
    <m/>
    <n v="29"/>
    <m/>
    <n v="0"/>
    <m/>
    <m/>
    <m/>
    <m/>
    <m/>
    <n v="20"/>
    <m/>
    <n v="35"/>
    <n v="34"/>
  </r>
  <r>
    <n v="2020"/>
    <n v="5"/>
    <s v="5/01/2020"/>
    <x v="16"/>
    <s v="Female (F)"/>
    <s v="Non-Hispanic American Indian or Alaska Native"/>
    <s v="65-74 years"/>
    <n v="176"/>
    <n v="174"/>
    <m/>
    <n v="33"/>
    <n v="14"/>
    <m/>
    <n v="0"/>
    <m/>
    <m/>
    <m/>
    <m/>
    <n v="23"/>
    <m/>
    <n v="40"/>
    <n v="37"/>
  </r>
  <r>
    <n v="2020"/>
    <n v="5"/>
    <s v="5/01/2020"/>
    <x v="16"/>
    <s v="Female (F)"/>
    <s v="Non-Hispanic American Indian or Alaska Native"/>
    <s v="75-84 years"/>
    <n v="204"/>
    <n v="198"/>
    <m/>
    <n v="29"/>
    <n v="11"/>
    <m/>
    <m/>
    <m/>
    <m/>
    <m/>
    <m/>
    <n v="29"/>
    <n v="10"/>
    <n v="54"/>
    <n v="53"/>
  </r>
  <r>
    <n v="2020"/>
    <n v="5"/>
    <s v="5/01/2020"/>
    <x v="16"/>
    <s v="Female (F)"/>
    <s v="Non-Hispanic American Indian or Alaska Native"/>
    <s v="85 years and over"/>
    <n v="138"/>
    <n v="135"/>
    <n v="0"/>
    <n v="16"/>
    <m/>
    <n v="12"/>
    <m/>
    <m/>
    <m/>
    <n v="0"/>
    <m/>
    <n v="23"/>
    <m/>
    <n v="32"/>
    <n v="32"/>
  </r>
  <r>
    <n v="2020"/>
    <n v="5"/>
    <s v="5/01/2020"/>
    <x v="16"/>
    <s v="Female (F)"/>
    <s v="Non-Hispanic Asian"/>
    <s v="0-4 years"/>
    <n v="16"/>
    <n v="15"/>
    <n v="0"/>
    <m/>
    <n v="0"/>
    <n v="0"/>
    <n v="0"/>
    <n v="0"/>
    <m/>
    <m/>
    <m/>
    <n v="0"/>
    <n v="0"/>
    <n v="0"/>
    <n v="0"/>
  </r>
  <r>
    <n v="2020"/>
    <n v="5"/>
    <s v="5/01/2020"/>
    <x v="16"/>
    <s v="Female (F)"/>
    <s v="Non-Hispanic Asian"/>
    <s v="15-24 years"/>
    <n v="19"/>
    <n v="11"/>
    <n v="0"/>
    <m/>
    <n v="0"/>
    <n v="0"/>
    <n v="0"/>
    <n v="0"/>
    <n v="0"/>
    <n v="0"/>
    <m/>
    <m/>
    <m/>
    <n v="0"/>
    <n v="0"/>
  </r>
  <r>
    <n v="2020"/>
    <n v="5"/>
    <s v="5/01/2020"/>
    <x v="16"/>
    <s v="Female (F)"/>
    <s v="Non-Hispanic Asian"/>
    <s v="25-34 years"/>
    <n v="30"/>
    <n v="17"/>
    <n v="0"/>
    <m/>
    <n v="0"/>
    <n v="0"/>
    <n v="0"/>
    <n v="0"/>
    <n v="0"/>
    <n v="0"/>
    <n v="0"/>
    <m/>
    <m/>
    <m/>
    <m/>
  </r>
  <r>
    <n v="2020"/>
    <n v="5"/>
    <s v="5/01/2020"/>
    <x v="16"/>
    <s v="Female (F)"/>
    <s v="Non-Hispanic Asian"/>
    <s v="35-44 years"/>
    <n v="78"/>
    <n v="65"/>
    <m/>
    <n v="30"/>
    <m/>
    <n v="0"/>
    <n v="0"/>
    <n v="0"/>
    <m/>
    <n v="0"/>
    <m/>
    <m/>
    <m/>
    <m/>
    <m/>
  </r>
  <r>
    <n v="2020"/>
    <n v="5"/>
    <s v="5/01/2020"/>
    <x v="16"/>
    <s v="Female (F)"/>
    <s v="Non-Hispanic Asian"/>
    <s v="45-54 years"/>
    <n v="161"/>
    <n v="146"/>
    <m/>
    <n v="75"/>
    <m/>
    <n v="0"/>
    <m/>
    <m/>
    <n v="0"/>
    <n v="0"/>
    <m/>
    <n v="12"/>
    <n v="12"/>
    <n v="21"/>
    <n v="21"/>
  </r>
  <r>
    <n v="2020"/>
    <n v="5"/>
    <s v="5/01/2020"/>
    <x v="16"/>
    <s v="Female (F)"/>
    <s v="Non-Hispanic Asian"/>
    <s v="5-14 years"/>
    <m/>
    <m/>
    <n v="0"/>
    <m/>
    <n v="0"/>
    <n v="0"/>
    <n v="0"/>
    <n v="0"/>
    <n v="0"/>
    <n v="0"/>
    <n v="0"/>
    <n v="0"/>
    <n v="0"/>
    <n v="0"/>
    <n v="0"/>
  </r>
  <r>
    <n v="2020"/>
    <n v="5"/>
    <s v="5/01/2020"/>
    <x v="16"/>
    <s v="Female (F)"/>
    <s v="Non-Hispanic Asian"/>
    <s v="55-64 years"/>
    <n v="318"/>
    <n v="298"/>
    <m/>
    <n v="125"/>
    <n v="10"/>
    <m/>
    <m/>
    <m/>
    <m/>
    <m/>
    <m/>
    <n v="32"/>
    <n v="16"/>
    <n v="55"/>
    <n v="52"/>
  </r>
  <r>
    <n v="2020"/>
    <n v="5"/>
    <s v="5/01/2020"/>
    <x v="16"/>
    <s v="Female (F)"/>
    <s v="Non-Hispanic Asian"/>
    <s v="65-74 years"/>
    <n v="611"/>
    <n v="602"/>
    <m/>
    <n v="190"/>
    <n v="33"/>
    <m/>
    <m/>
    <m/>
    <m/>
    <n v="11"/>
    <m/>
    <n v="79"/>
    <n v="43"/>
    <n v="137"/>
    <n v="127"/>
  </r>
  <r>
    <n v="2020"/>
    <n v="5"/>
    <s v="5/01/2020"/>
    <x v="16"/>
    <s v="Female (F)"/>
    <s v="Non-Hispanic Asian"/>
    <s v="75-84 years"/>
    <n v="879"/>
    <n v="866"/>
    <n v="11"/>
    <n v="167"/>
    <n v="43"/>
    <n v="32"/>
    <n v="11"/>
    <n v="11"/>
    <m/>
    <n v="19"/>
    <m/>
    <n v="157"/>
    <n v="78"/>
    <n v="164"/>
    <n v="149"/>
  </r>
  <r>
    <n v="2020"/>
    <n v="5"/>
    <s v="5/01/2020"/>
    <x v="16"/>
    <s v="Female (F)"/>
    <s v="Non-Hispanic Asian"/>
    <s v="85 years and over"/>
    <n v="1596"/>
    <n v="1562"/>
    <n v="13"/>
    <n v="116"/>
    <n v="60"/>
    <n v="142"/>
    <n v="31"/>
    <n v="39"/>
    <n v="13"/>
    <n v="19"/>
    <n v="18"/>
    <n v="362"/>
    <n v="140"/>
    <n v="323"/>
    <n v="295"/>
  </r>
  <r>
    <n v="2020"/>
    <n v="5"/>
    <s v="5/01/2020"/>
    <x v="16"/>
    <s v="Female (F)"/>
    <s v="Non-Hispanic Black"/>
    <s v="0-4 years"/>
    <n v="240"/>
    <n v="213"/>
    <m/>
    <m/>
    <n v="0"/>
    <n v="0"/>
    <m/>
    <n v="0"/>
    <m/>
    <n v="0"/>
    <n v="43"/>
    <m/>
    <m/>
    <n v="0"/>
    <n v="0"/>
  </r>
  <r>
    <n v="2020"/>
    <n v="5"/>
    <s v="5/01/2020"/>
    <x v="16"/>
    <s v="Female (F)"/>
    <s v="Non-Hispanic Black"/>
    <s v="15-24 years"/>
    <n v="195"/>
    <n v="78"/>
    <m/>
    <n v="10"/>
    <m/>
    <n v="0"/>
    <m/>
    <m/>
    <m/>
    <m/>
    <m/>
    <n v="11"/>
    <m/>
    <m/>
    <m/>
  </r>
  <r>
    <n v="2020"/>
    <n v="5"/>
    <s v="5/01/2020"/>
    <x v="16"/>
    <s v="Female (F)"/>
    <s v="Non-Hispanic Black"/>
    <s v="25-34 years"/>
    <n v="418"/>
    <n v="222"/>
    <m/>
    <n v="37"/>
    <n v="16"/>
    <n v="0"/>
    <m/>
    <m/>
    <m/>
    <m/>
    <n v="14"/>
    <n v="32"/>
    <m/>
    <n v="20"/>
    <n v="19"/>
  </r>
  <r>
    <n v="2020"/>
    <n v="5"/>
    <s v="5/01/2020"/>
    <x v="16"/>
    <s v="Female (F)"/>
    <s v="Non-Hispanic Black"/>
    <s v="35-44 years"/>
    <n v="713"/>
    <n v="571"/>
    <n v="13"/>
    <n v="81"/>
    <n v="34"/>
    <n v="0"/>
    <n v="10"/>
    <n v="13"/>
    <n v="10"/>
    <n v="16"/>
    <n v="19"/>
    <n v="123"/>
    <n v="20"/>
    <n v="69"/>
    <n v="62"/>
  </r>
  <r>
    <n v="2020"/>
    <n v="5"/>
    <s v="5/01/2020"/>
    <x v="16"/>
    <s v="Female (F)"/>
    <s v="Non-Hispanic Black"/>
    <s v="45-54 years"/>
    <n v="1311"/>
    <n v="1186"/>
    <n v="21"/>
    <n v="260"/>
    <n v="70"/>
    <m/>
    <n v="13"/>
    <n v="22"/>
    <n v="11"/>
    <n v="26"/>
    <n v="23"/>
    <n v="263"/>
    <n v="51"/>
    <n v="178"/>
    <n v="168"/>
  </r>
  <r>
    <n v="2020"/>
    <n v="5"/>
    <s v="5/01/2020"/>
    <x v="16"/>
    <s v="Female (F)"/>
    <s v="Non-Hispanic Black"/>
    <s v="5-14 years"/>
    <n v="31"/>
    <n v="13"/>
    <n v="0"/>
    <m/>
    <n v="0"/>
    <n v="0"/>
    <n v="0"/>
    <m/>
    <m/>
    <n v="0"/>
    <m/>
    <m/>
    <n v="0"/>
    <n v="0"/>
    <n v="0"/>
  </r>
  <r>
    <n v="2020"/>
    <n v="5"/>
    <s v="5/01/2020"/>
    <x v="16"/>
    <s v="Female (F)"/>
    <s v="Non-Hispanic Black"/>
    <s v="55-64 years"/>
    <n v="2858"/>
    <n v="2714"/>
    <n v="38"/>
    <n v="658"/>
    <n v="153"/>
    <m/>
    <n v="28"/>
    <n v="105"/>
    <n v="27"/>
    <n v="61"/>
    <n v="25"/>
    <n v="577"/>
    <n v="130"/>
    <n v="513"/>
    <n v="482"/>
  </r>
  <r>
    <n v="2020"/>
    <n v="5"/>
    <s v="5/01/2020"/>
    <x v="16"/>
    <s v="Female (F)"/>
    <s v="Non-Hispanic Black"/>
    <s v="65-74 years"/>
    <n v="3967"/>
    <n v="3892"/>
    <n v="78"/>
    <n v="882"/>
    <n v="184"/>
    <n v="54"/>
    <n v="54"/>
    <n v="125"/>
    <n v="58"/>
    <n v="121"/>
    <n v="19"/>
    <n v="738"/>
    <n v="197"/>
    <n v="827"/>
    <n v="781"/>
  </r>
  <r>
    <n v="2020"/>
    <n v="5"/>
    <s v="5/01/2020"/>
    <x v="16"/>
    <s v="Female (F)"/>
    <s v="Non-Hispanic Black"/>
    <s v="75-84 years"/>
    <n v="4056"/>
    <n v="4003"/>
    <n v="61"/>
    <n v="569"/>
    <n v="173"/>
    <n v="173"/>
    <n v="59"/>
    <n v="128"/>
    <n v="47"/>
    <n v="110"/>
    <n v="32"/>
    <n v="792"/>
    <n v="274"/>
    <n v="966"/>
    <n v="884"/>
  </r>
  <r>
    <n v="2020"/>
    <n v="5"/>
    <s v="5/01/2020"/>
    <x v="16"/>
    <s v="Female (F)"/>
    <s v="Non-Hispanic Black"/>
    <s v="85 years and over"/>
    <n v="4917"/>
    <n v="4874"/>
    <n v="53"/>
    <n v="341"/>
    <n v="142"/>
    <n v="423"/>
    <n v="70"/>
    <n v="117"/>
    <n v="42"/>
    <n v="122"/>
    <n v="57"/>
    <n v="1023"/>
    <n v="366"/>
    <n v="1144"/>
    <n v="1036"/>
  </r>
  <r>
    <n v="2020"/>
    <n v="5"/>
    <s v="5/01/2020"/>
    <x v="16"/>
    <s v="Female (F)"/>
    <s v="Non-Hispanic White"/>
    <s v="0-4 years"/>
    <n v="382"/>
    <n v="337"/>
    <n v="0"/>
    <n v="15"/>
    <n v="0"/>
    <n v="0"/>
    <m/>
    <n v="0"/>
    <m/>
    <n v="0"/>
    <n v="45"/>
    <m/>
    <m/>
    <m/>
    <m/>
  </r>
  <r>
    <n v="2020"/>
    <n v="5"/>
    <s v="5/01/2020"/>
    <x v="16"/>
    <s v="Female (F)"/>
    <s v="Non-Hispanic White"/>
    <s v="15-24 years"/>
    <n v="390"/>
    <n v="122"/>
    <n v="0"/>
    <n v="27"/>
    <m/>
    <n v="0"/>
    <n v="0"/>
    <m/>
    <m/>
    <m/>
    <n v="12"/>
    <n v="14"/>
    <m/>
    <m/>
    <m/>
  </r>
  <r>
    <n v="2020"/>
    <n v="5"/>
    <s v="5/01/2020"/>
    <x v="16"/>
    <s v="Female (F)"/>
    <s v="Non-Hispanic White"/>
    <s v="25-34 years"/>
    <n v="1081"/>
    <n v="401"/>
    <m/>
    <n v="95"/>
    <n v="17"/>
    <n v="0"/>
    <m/>
    <m/>
    <m/>
    <m/>
    <n v="38"/>
    <n v="58"/>
    <m/>
    <n v="13"/>
    <n v="11"/>
  </r>
  <r>
    <n v="2020"/>
    <n v="5"/>
    <s v="5/01/2020"/>
    <x v="16"/>
    <s v="Female (F)"/>
    <s v="Non-Hispanic White"/>
    <s v="35-44 years"/>
    <n v="1762"/>
    <n v="1062"/>
    <n v="15"/>
    <n v="260"/>
    <n v="41"/>
    <n v="0"/>
    <n v="18"/>
    <n v="22"/>
    <m/>
    <n v="11"/>
    <n v="66"/>
    <n v="172"/>
    <n v="29"/>
    <n v="31"/>
    <n v="26"/>
  </r>
  <r>
    <n v="2020"/>
    <n v="5"/>
    <s v="5/01/2020"/>
    <x v="16"/>
    <s v="Female (F)"/>
    <s v="Non-Hispanic White"/>
    <s v="45-54 years"/>
    <n v="3488"/>
    <n v="2820"/>
    <n v="45"/>
    <n v="883"/>
    <n v="114"/>
    <m/>
    <n v="31"/>
    <n v="109"/>
    <n v="41"/>
    <n v="28"/>
    <n v="69"/>
    <n v="507"/>
    <n v="84"/>
    <n v="138"/>
    <n v="120"/>
  </r>
  <r>
    <n v="2020"/>
    <n v="5"/>
    <s v="5/01/2020"/>
    <x v="16"/>
    <s v="Female (F)"/>
    <s v="Non-Hispanic White"/>
    <s v="5-14 years"/>
    <n v="79"/>
    <n v="54"/>
    <n v="0"/>
    <n v="25"/>
    <m/>
    <n v="0"/>
    <n v="0"/>
    <m/>
    <n v="0"/>
    <n v="0"/>
    <m/>
    <m/>
    <m/>
    <n v="0"/>
    <n v="0"/>
  </r>
  <r>
    <n v="2020"/>
    <n v="5"/>
    <s v="5/01/2020"/>
    <x v="16"/>
    <s v="Female (F)"/>
    <s v="Non-Hispanic White"/>
    <s v="55-64 years"/>
    <n v="8980"/>
    <n v="8315"/>
    <n v="155"/>
    <n v="2927"/>
    <n v="305"/>
    <n v="43"/>
    <n v="110"/>
    <n v="593"/>
    <n v="134"/>
    <n v="97"/>
    <n v="82"/>
    <n v="1426"/>
    <n v="261"/>
    <n v="548"/>
    <n v="498"/>
  </r>
  <r>
    <n v="2020"/>
    <n v="5"/>
    <s v="5/01/2020"/>
    <x v="16"/>
    <s v="Female (F)"/>
    <s v="Non-Hispanic White"/>
    <s v="65-74 years"/>
    <n v="16155"/>
    <n v="15651"/>
    <n v="238"/>
    <n v="4868"/>
    <n v="516"/>
    <n v="327"/>
    <n v="254"/>
    <n v="1274"/>
    <n v="256"/>
    <n v="240"/>
    <n v="109"/>
    <n v="2674"/>
    <n v="642"/>
    <n v="1516"/>
    <n v="1381"/>
  </r>
  <r>
    <n v="2020"/>
    <n v="5"/>
    <s v="5/01/2020"/>
    <x v="16"/>
    <s v="Female (F)"/>
    <s v="Non-Hispanic White"/>
    <s v="75-84 years"/>
    <n v="24356"/>
    <n v="23725"/>
    <n v="306"/>
    <n v="4900"/>
    <n v="580"/>
    <n v="1476"/>
    <n v="287"/>
    <n v="1696"/>
    <n v="381"/>
    <n v="390"/>
    <n v="207"/>
    <n v="4493"/>
    <n v="1379"/>
    <n v="2846"/>
    <n v="2595"/>
  </r>
  <r>
    <n v="2020"/>
    <n v="5"/>
    <s v="5/01/2020"/>
    <x v="16"/>
    <s v="Female (F)"/>
    <s v="Non-Hispanic White"/>
    <s v="85 years and over"/>
    <n v="42669"/>
    <n v="41610"/>
    <n v="330"/>
    <n v="3512"/>
    <n v="616"/>
    <n v="4178"/>
    <n v="565"/>
    <n v="1672"/>
    <n v="443"/>
    <n v="549"/>
    <n v="571"/>
    <n v="9970"/>
    <n v="2865"/>
    <n v="6667"/>
    <n v="5989"/>
  </r>
  <r>
    <n v="2020"/>
    <n v="5"/>
    <s v="5/01/2020"/>
    <x v="16"/>
    <s v="Female (F)"/>
    <s v="Other"/>
    <s v="0-4 years"/>
    <n v="43"/>
    <n v="37"/>
    <n v="0"/>
    <n v="0"/>
    <n v="0"/>
    <n v="0"/>
    <n v="0"/>
    <n v="0"/>
    <n v="0"/>
    <n v="0"/>
    <m/>
    <n v="0"/>
    <n v="0"/>
    <m/>
    <n v="0"/>
  </r>
  <r>
    <n v="2020"/>
    <n v="5"/>
    <s v="5/01/2020"/>
    <x v="16"/>
    <s v="Female (F)"/>
    <s v="Other"/>
    <s v="15-24 years"/>
    <n v="18"/>
    <m/>
    <n v="0"/>
    <n v="0"/>
    <n v="0"/>
    <n v="0"/>
    <n v="0"/>
    <n v="0"/>
    <n v="0"/>
    <n v="0"/>
    <m/>
    <m/>
    <n v="0"/>
    <m/>
    <n v="0"/>
  </r>
  <r>
    <n v="2020"/>
    <n v="5"/>
    <s v="5/01/2020"/>
    <x v="16"/>
    <s v="Female (F)"/>
    <s v="Other"/>
    <s v="25-34 years"/>
    <n v="42"/>
    <n v="19"/>
    <m/>
    <m/>
    <n v="0"/>
    <n v="0"/>
    <m/>
    <m/>
    <n v="0"/>
    <n v="0"/>
    <m/>
    <m/>
    <n v="0"/>
    <m/>
    <m/>
  </r>
  <r>
    <n v="2020"/>
    <n v="5"/>
    <s v="5/01/2020"/>
    <x v="16"/>
    <s v="Female (F)"/>
    <s v="Other"/>
    <s v="35-44 years"/>
    <n v="54"/>
    <n v="37"/>
    <m/>
    <m/>
    <m/>
    <n v="0"/>
    <n v="0"/>
    <n v="0"/>
    <n v="0"/>
    <n v="0"/>
    <m/>
    <m/>
    <m/>
    <m/>
    <m/>
  </r>
  <r>
    <n v="2020"/>
    <n v="5"/>
    <s v="5/01/2020"/>
    <x v="16"/>
    <s v="Female (F)"/>
    <s v="Other"/>
    <s v="45-54 years"/>
    <n v="79"/>
    <n v="66"/>
    <m/>
    <n v="19"/>
    <m/>
    <n v="0"/>
    <n v="0"/>
    <m/>
    <n v="0"/>
    <m/>
    <m/>
    <n v="12"/>
    <m/>
    <m/>
    <m/>
  </r>
  <r>
    <n v="2020"/>
    <n v="5"/>
    <s v="5/01/2020"/>
    <x v="16"/>
    <s v="Female (F)"/>
    <s v="Other"/>
    <s v="5-14 years"/>
    <m/>
    <m/>
    <n v="0"/>
    <m/>
    <n v="0"/>
    <n v="0"/>
    <n v="0"/>
    <m/>
    <n v="0"/>
    <n v="0"/>
    <n v="0"/>
    <n v="0"/>
    <n v="0"/>
    <n v="0"/>
    <n v="0"/>
  </r>
  <r>
    <n v="2020"/>
    <n v="5"/>
    <s v="5/01/2020"/>
    <x v="16"/>
    <s v="Female (F)"/>
    <s v="Other"/>
    <s v="55-64 years"/>
    <n v="162"/>
    <n v="156"/>
    <m/>
    <n v="39"/>
    <n v="12"/>
    <m/>
    <m/>
    <n v="11"/>
    <m/>
    <m/>
    <m/>
    <n v="22"/>
    <m/>
    <n v="23"/>
    <n v="22"/>
  </r>
  <r>
    <n v="2020"/>
    <n v="5"/>
    <s v="5/01/2020"/>
    <x v="16"/>
    <s v="Female (F)"/>
    <s v="Other"/>
    <s v="65-74 years"/>
    <n v="219"/>
    <n v="215"/>
    <m/>
    <n v="53"/>
    <m/>
    <m/>
    <m/>
    <n v="19"/>
    <m/>
    <m/>
    <m/>
    <n v="41"/>
    <m/>
    <n v="31"/>
    <n v="27"/>
  </r>
  <r>
    <n v="2020"/>
    <n v="5"/>
    <s v="5/01/2020"/>
    <x v="16"/>
    <s v="Female (F)"/>
    <s v="Other"/>
    <s v="75-84 years"/>
    <n v="178"/>
    <n v="175"/>
    <m/>
    <n v="24"/>
    <m/>
    <n v="10"/>
    <m/>
    <n v="14"/>
    <m/>
    <m/>
    <m/>
    <n v="48"/>
    <m/>
    <n v="25"/>
    <n v="23"/>
  </r>
  <r>
    <n v="2020"/>
    <n v="5"/>
    <s v="5/01/2020"/>
    <x v="16"/>
    <s v="Female (F)"/>
    <s v="Other"/>
    <s v="85 years and over"/>
    <n v="212"/>
    <n v="207"/>
    <m/>
    <n v="15"/>
    <m/>
    <n v="22"/>
    <m/>
    <m/>
    <m/>
    <n v="0"/>
    <m/>
    <n v="41"/>
    <n v="23"/>
    <n v="43"/>
    <n v="38"/>
  </r>
  <r>
    <n v="2020"/>
    <n v="5"/>
    <s v="5/01/2020"/>
    <x v="16"/>
    <s v="Male (M)"/>
    <s v="Hispanic"/>
    <s v="0-4 years"/>
    <n v="245"/>
    <n v="217"/>
    <m/>
    <m/>
    <n v="0"/>
    <n v="0"/>
    <n v="0"/>
    <n v="0"/>
    <m/>
    <m/>
    <n v="29"/>
    <m/>
    <m/>
    <n v="0"/>
    <n v="0"/>
  </r>
  <r>
    <n v="2020"/>
    <n v="5"/>
    <s v="5/01/2020"/>
    <x v="16"/>
    <s v="Male (M)"/>
    <s v="Hispanic"/>
    <s v="15-24 years"/>
    <n v="477"/>
    <n v="103"/>
    <m/>
    <n v="21"/>
    <m/>
    <n v="0"/>
    <m/>
    <n v="0"/>
    <m/>
    <m/>
    <n v="22"/>
    <m/>
    <m/>
    <n v="15"/>
    <n v="13"/>
  </r>
  <r>
    <n v="2020"/>
    <n v="5"/>
    <s v="5/01/2020"/>
    <x v="16"/>
    <s v="Male (M)"/>
    <s v="Hispanic"/>
    <s v="25-34 years"/>
    <n v="827"/>
    <n v="293"/>
    <m/>
    <n v="39"/>
    <m/>
    <n v="0"/>
    <m/>
    <m/>
    <m/>
    <m/>
    <n v="36"/>
    <n v="35"/>
    <m/>
    <n v="81"/>
    <n v="75"/>
  </r>
  <r>
    <n v="2020"/>
    <n v="5"/>
    <s v="5/01/2020"/>
    <x v="16"/>
    <s v="Male (M)"/>
    <s v="Hispanic"/>
    <s v="35-44 years"/>
    <n v="1124"/>
    <n v="687"/>
    <m/>
    <n v="69"/>
    <n v="35"/>
    <n v="0"/>
    <m/>
    <m/>
    <m/>
    <n v="12"/>
    <n v="41"/>
    <n v="96"/>
    <n v="21"/>
    <n v="239"/>
    <n v="222"/>
  </r>
  <r>
    <n v="2020"/>
    <n v="5"/>
    <s v="5/01/2020"/>
    <x v="16"/>
    <s v="Male (M)"/>
    <s v="Hispanic"/>
    <s v="45-54 years"/>
    <n v="1739"/>
    <n v="1458"/>
    <n v="14"/>
    <n v="160"/>
    <n v="57"/>
    <m/>
    <n v="13"/>
    <n v="10"/>
    <n v="15"/>
    <n v="17"/>
    <n v="46"/>
    <n v="256"/>
    <n v="42"/>
    <n v="549"/>
    <n v="526"/>
  </r>
  <r>
    <n v="2020"/>
    <n v="5"/>
    <s v="5/01/2020"/>
    <x v="16"/>
    <s v="Male (M)"/>
    <s v="Hispanic"/>
    <s v="5-14 years"/>
    <n v="58"/>
    <n v="30"/>
    <m/>
    <m/>
    <n v="0"/>
    <n v="0"/>
    <m/>
    <m/>
    <n v="0"/>
    <n v="0"/>
    <n v="0"/>
    <n v="0"/>
    <n v="0"/>
    <m/>
    <m/>
  </r>
  <r>
    <n v="2020"/>
    <n v="5"/>
    <s v="5/01/2020"/>
    <x v="16"/>
    <s v="Male (M)"/>
    <s v="Hispanic"/>
    <s v="55-64 years"/>
    <n v="2679"/>
    <n v="2485"/>
    <n v="26"/>
    <n v="392"/>
    <n v="129"/>
    <m/>
    <n v="25"/>
    <n v="29"/>
    <n v="32"/>
    <n v="44"/>
    <n v="35"/>
    <n v="409"/>
    <n v="77"/>
    <n v="951"/>
    <n v="915"/>
  </r>
  <r>
    <n v="2020"/>
    <n v="5"/>
    <s v="5/01/2020"/>
    <x v="16"/>
    <s v="Male (M)"/>
    <s v="Hispanic"/>
    <s v="65-74 years"/>
    <n v="2895"/>
    <n v="2798"/>
    <n v="23"/>
    <n v="487"/>
    <n v="154"/>
    <n v="22"/>
    <n v="45"/>
    <n v="70"/>
    <n v="39"/>
    <n v="50"/>
    <n v="31"/>
    <n v="474"/>
    <n v="89"/>
    <n v="997"/>
    <n v="955"/>
  </r>
  <r>
    <n v="2020"/>
    <n v="5"/>
    <s v="5/01/2020"/>
    <x v="16"/>
    <s v="Male (M)"/>
    <s v="Hispanic"/>
    <s v="75-84 years"/>
    <n v="2567"/>
    <n v="2505"/>
    <n v="20"/>
    <n v="449"/>
    <n v="111"/>
    <n v="66"/>
    <n v="36"/>
    <n v="79"/>
    <n v="36"/>
    <n v="45"/>
    <n v="13"/>
    <n v="494"/>
    <n v="119"/>
    <n v="715"/>
    <n v="678"/>
  </r>
  <r>
    <n v="2020"/>
    <n v="5"/>
    <s v="5/01/2020"/>
    <x v="16"/>
    <s v="Male (M)"/>
    <s v="Hispanic"/>
    <s v="85 years and over"/>
    <n v="2066"/>
    <n v="2021"/>
    <n v="16"/>
    <n v="250"/>
    <n v="70"/>
    <n v="118"/>
    <n v="37"/>
    <n v="88"/>
    <n v="30"/>
    <n v="42"/>
    <n v="12"/>
    <n v="464"/>
    <n v="129"/>
    <n v="420"/>
    <n v="394"/>
  </r>
  <r>
    <n v="2020"/>
    <n v="5"/>
    <s v="5/01/2020"/>
    <x v="16"/>
    <s v="Male (M)"/>
    <s v="Non-Hispanic American Indian or Alaska Native"/>
    <s v="0-4 years"/>
    <n v="10"/>
    <m/>
    <n v="0"/>
    <n v="0"/>
    <n v="0"/>
    <n v="0"/>
    <n v="0"/>
    <n v="0"/>
    <n v="0"/>
    <n v="0"/>
    <n v="0"/>
    <n v="0"/>
    <n v="0"/>
    <m/>
    <m/>
  </r>
  <r>
    <n v="2020"/>
    <n v="5"/>
    <s v="5/01/2020"/>
    <x v="16"/>
    <s v="Male (M)"/>
    <s v="Non-Hispanic American Indian or Alaska Native"/>
    <s v="15-24 years"/>
    <n v="43"/>
    <m/>
    <n v="0"/>
    <n v="0"/>
    <n v="0"/>
    <n v="0"/>
    <n v="0"/>
    <n v="0"/>
    <n v="0"/>
    <n v="0"/>
    <m/>
    <n v="0"/>
    <n v="0"/>
    <m/>
    <m/>
  </r>
  <r>
    <n v="2020"/>
    <n v="5"/>
    <s v="5/01/2020"/>
    <x v="16"/>
    <s v="Male (M)"/>
    <s v="Non-Hispanic American Indian or Alaska Native"/>
    <s v="25-34 years"/>
    <n v="98"/>
    <n v="47"/>
    <m/>
    <m/>
    <m/>
    <n v="0"/>
    <m/>
    <n v="0"/>
    <n v="0"/>
    <n v="0"/>
    <m/>
    <m/>
    <n v="0"/>
    <n v="14"/>
    <n v="14"/>
  </r>
  <r>
    <n v="2020"/>
    <n v="5"/>
    <s v="5/01/2020"/>
    <x v="16"/>
    <s v="Male (M)"/>
    <s v="Non-Hispanic American Indian or Alaska Native"/>
    <s v="35-44 years"/>
    <n v="100"/>
    <n v="53"/>
    <m/>
    <m/>
    <m/>
    <n v="0"/>
    <m/>
    <n v="0"/>
    <n v="0"/>
    <n v="0"/>
    <m/>
    <n v="11"/>
    <n v="0"/>
    <n v="12"/>
    <n v="10"/>
  </r>
  <r>
    <n v="2020"/>
    <n v="5"/>
    <s v="5/01/2020"/>
    <x v="16"/>
    <s v="Male (M)"/>
    <s v="Non-Hispanic American Indian or Alaska Native"/>
    <s v="45-54 years"/>
    <n v="144"/>
    <n v="111"/>
    <m/>
    <m/>
    <m/>
    <n v="0"/>
    <n v="0"/>
    <n v="0"/>
    <m/>
    <n v="0"/>
    <m/>
    <n v="20"/>
    <m/>
    <n v="42"/>
    <n v="39"/>
  </r>
  <r>
    <n v="2020"/>
    <n v="5"/>
    <s v="5/01/2020"/>
    <x v="16"/>
    <s v="Male (M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20"/>
    <n v="5"/>
    <s v="5/01/2020"/>
    <x v="16"/>
    <s v="Male (M)"/>
    <s v="Non-Hispanic American Indian or Alaska Native"/>
    <s v="55-64 years"/>
    <n v="218"/>
    <n v="191"/>
    <m/>
    <n v="30"/>
    <n v="13"/>
    <n v="0"/>
    <m/>
    <m/>
    <m/>
    <m/>
    <m/>
    <n v="41"/>
    <m/>
    <n v="47"/>
    <n v="42"/>
  </r>
  <r>
    <n v="2020"/>
    <n v="5"/>
    <s v="5/01/2020"/>
    <x v="16"/>
    <s v="Male (M)"/>
    <s v="Non-Hispanic American Indian or Alaska Native"/>
    <s v="65-74 years"/>
    <n v="204"/>
    <n v="195"/>
    <m/>
    <n v="40"/>
    <n v="14"/>
    <m/>
    <m/>
    <m/>
    <m/>
    <m/>
    <m/>
    <n v="42"/>
    <m/>
    <n v="50"/>
    <n v="46"/>
  </r>
  <r>
    <n v="2020"/>
    <n v="5"/>
    <s v="5/01/2020"/>
    <x v="16"/>
    <s v="Male (M)"/>
    <s v="Non-Hispanic American Indian or Alaska Native"/>
    <s v="75-84 years"/>
    <n v="172"/>
    <n v="163"/>
    <m/>
    <n v="29"/>
    <m/>
    <m/>
    <m/>
    <m/>
    <m/>
    <m/>
    <m/>
    <n v="35"/>
    <m/>
    <n v="34"/>
    <n v="34"/>
  </r>
  <r>
    <n v="2020"/>
    <n v="5"/>
    <s v="5/01/2020"/>
    <x v="16"/>
    <s v="Male (M)"/>
    <s v="Non-Hispanic American Indian or Alaska Native"/>
    <s v="85 years and over"/>
    <n v="97"/>
    <n v="95"/>
    <m/>
    <m/>
    <m/>
    <m/>
    <m/>
    <m/>
    <m/>
    <m/>
    <m/>
    <n v="24"/>
    <m/>
    <n v="27"/>
    <n v="26"/>
  </r>
  <r>
    <n v="2020"/>
    <n v="5"/>
    <s v="5/01/2020"/>
    <x v="16"/>
    <s v="Male (M)"/>
    <s v="Non-Hispanic Asian"/>
    <s v="0-4 years"/>
    <n v="30"/>
    <n v="28"/>
    <n v="0"/>
    <m/>
    <n v="0"/>
    <n v="0"/>
    <n v="0"/>
    <n v="0"/>
    <n v="0"/>
    <n v="0"/>
    <m/>
    <n v="0"/>
    <n v="0"/>
    <n v="0"/>
    <n v="0"/>
  </r>
  <r>
    <n v="2020"/>
    <n v="5"/>
    <s v="5/01/2020"/>
    <x v="16"/>
    <s v="Male (M)"/>
    <s v="Non-Hispanic Asian"/>
    <s v="15-24 years"/>
    <n v="47"/>
    <n v="10"/>
    <m/>
    <m/>
    <m/>
    <n v="0"/>
    <n v="0"/>
    <n v="0"/>
    <n v="0"/>
    <n v="0"/>
    <m/>
    <m/>
    <m/>
    <n v="0"/>
    <n v="0"/>
  </r>
  <r>
    <n v="2020"/>
    <n v="5"/>
    <s v="5/01/2020"/>
    <x v="16"/>
    <s v="Male (M)"/>
    <s v="Non-Hispanic Asian"/>
    <s v="25-34 years"/>
    <n v="87"/>
    <n v="41"/>
    <n v="0"/>
    <m/>
    <n v="0"/>
    <n v="0"/>
    <m/>
    <n v="0"/>
    <n v="0"/>
    <n v="0"/>
    <m/>
    <n v="14"/>
    <n v="0"/>
    <m/>
    <m/>
  </r>
  <r>
    <n v="2020"/>
    <n v="5"/>
    <s v="5/01/2020"/>
    <x v="16"/>
    <s v="Male (M)"/>
    <s v="Non-Hispanic Asian"/>
    <s v="35-44 years"/>
    <n v="152"/>
    <n v="106"/>
    <m/>
    <n v="19"/>
    <m/>
    <n v="0"/>
    <m/>
    <m/>
    <n v="0"/>
    <m/>
    <m/>
    <n v="23"/>
    <n v="10"/>
    <n v="20"/>
    <n v="19"/>
  </r>
  <r>
    <n v="2020"/>
    <n v="5"/>
    <s v="5/01/2020"/>
    <x v="16"/>
    <s v="Male (M)"/>
    <s v="Non-Hispanic Asian"/>
    <s v="45-54 years"/>
    <n v="325"/>
    <n v="297"/>
    <m/>
    <n v="66"/>
    <n v="18"/>
    <n v="0"/>
    <m/>
    <m/>
    <m/>
    <m/>
    <m/>
    <n v="66"/>
    <n v="15"/>
    <n v="68"/>
    <n v="65"/>
  </r>
  <r>
    <n v="2020"/>
    <n v="5"/>
    <s v="5/01/2020"/>
    <x v="16"/>
    <s v="Male (M)"/>
    <s v="Non-Hispanic Asian"/>
    <s v="5-14 years"/>
    <n v="11"/>
    <m/>
    <n v="0"/>
    <m/>
    <n v="0"/>
    <n v="0"/>
    <n v="0"/>
    <n v="0"/>
    <n v="0"/>
    <n v="0"/>
    <n v="0"/>
    <m/>
    <n v="0"/>
    <m/>
    <n v="0"/>
  </r>
  <r>
    <n v="2020"/>
    <n v="5"/>
    <s v="5/01/2020"/>
    <x v="16"/>
    <s v="Male (M)"/>
    <s v="Non-Hispanic Asian"/>
    <s v="55-64 years"/>
    <n v="537"/>
    <n v="507"/>
    <m/>
    <n v="138"/>
    <n v="25"/>
    <m/>
    <m/>
    <m/>
    <m/>
    <m/>
    <m/>
    <n v="104"/>
    <n v="22"/>
    <n v="137"/>
    <n v="129"/>
  </r>
  <r>
    <n v="2020"/>
    <n v="5"/>
    <s v="5/01/2020"/>
    <x v="16"/>
    <s v="Male (M)"/>
    <s v="Non-Hispanic Asian"/>
    <s v="65-74 years"/>
    <n v="853"/>
    <n v="832"/>
    <n v="10"/>
    <n v="207"/>
    <n v="42"/>
    <m/>
    <n v="11"/>
    <n v="20"/>
    <n v="11"/>
    <n v="11"/>
    <m/>
    <n v="138"/>
    <n v="31"/>
    <n v="253"/>
    <n v="252"/>
  </r>
  <r>
    <n v="2020"/>
    <n v="5"/>
    <s v="5/01/2020"/>
    <x v="16"/>
    <s v="Male (M)"/>
    <s v="Non-Hispanic Asian"/>
    <s v="75-84 years"/>
    <n v="983"/>
    <n v="952"/>
    <n v="13"/>
    <n v="183"/>
    <n v="46"/>
    <n v="19"/>
    <n v="21"/>
    <n v="31"/>
    <n v="18"/>
    <n v="11"/>
    <m/>
    <n v="156"/>
    <n v="73"/>
    <n v="237"/>
    <n v="220"/>
  </r>
  <r>
    <n v="2020"/>
    <n v="5"/>
    <s v="5/01/2020"/>
    <x v="16"/>
    <s v="Male (M)"/>
    <s v="Non-Hispanic Asian"/>
    <s v="85 years and over"/>
    <n v="1036"/>
    <n v="1008"/>
    <n v="12"/>
    <n v="123"/>
    <n v="32"/>
    <n v="43"/>
    <n v="39"/>
    <n v="32"/>
    <n v="14"/>
    <n v="16"/>
    <m/>
    <n v="230"/>
    <n v="82"/>
    <n v="200"/>
    <n v="191"/>
  </r>
  <r>
    <n v="2020"/>
    <n v="5"/>
    <s v="5/01/2020"/>
    <x v="16"/>
    <s v="Male (M)"/>
    <s v="Non-Hispanic Black"/>
    <s v="0-4 years"/>
    <n v="313"/>
    <n v="275"/>
    <m/>
    <n v="0"/>
    <n v="0"/>
    <n v="0"/>
    <m/>
    <n v="0"/>
    <m/>
    <m/>
    <n v="50"/>
    <m/>
    <m/>
    <n v="0"/>
    <n v="0"/>
  </r>
  <r>
    <n v="2020"/>
    <n v="5"/>
    <s v="5/01/2020"/>
    <x v="16"/>
    <s v="Male (M)"/>
    <s v="Non-Hispanic Black"/>
    <s v="15-24 years"/>
    <n v="614"/>
    <n v="83"/>
    <n v="0"/>
    <n v="12"/>
    <m/>
    <n v="0"/>
    <m/>
    <n v="0"/>
    <n v="0"/>
    <n v="0"/>
    <n v="22"/>
    <n v="10"/>
    <m/>
    <m/>
    <m/>
  </r>
  <r>
    <n v="2020"/>
    <n v="5"/>
    <s v="5/01/2020"/>
    <x v="16"/>
    <s v="Male (M)"/>
    <s v="Non-Hispanic Black"/>
    <s v="25-34 years"/>
    <n v="1102"/>
    <n v="312"/>
    <m/>
    <n v="13"/>
    <n v="22"/>
    <n v="0"/>
    <m/>
    <m/>
    <m/>
    <m/>
    <n v="41"/>
    <n v="72"/>
    <m/>
    <n v="36"/>
    <n v="33"/>
  </r>
  <r>
    <n v="2020"/>
    <n v="5"/>
    <s v="5/01/2020"/>
    <x v="16"/>
    <s v="Male (M)"/>
    <s v="Non-Hispanic Black"/>
    <s v="35-44 years"/>
    <n v="1240"/>
    <n v="678"/>
    <n v="11"/>
    <n v="69"/>
    <n v="46"/>
    <n v="0"/>
    <n v="16"/>
    <n v="10"/>
    <m/>
    <n v="11"/>
    <n v="41"/>
    <n v="196"/>
    <n v="18"/>
    <n v="91"/>
    <n v="78"/>
  </r>
  <r>
    <n v="2020"/>
    <n v="5"/>
    <s v="5/01/2020"/>
    <x v="16"/>
    <s v="Male (M)"/>
    <s v="Non-Hispanic Black"/>
    <s v="45-54 years"/>
    <n v="2123"/>
    <n v="1646"/>
    <n v="19"/>
    <n v="226"/>
    <n v="98"/>
    <n v="0"/>
    <n v="24"/>
    <n v="23"/>
    <n v="22"/>
    <n v="32"/>
    <n v="50"/>
    <n v="476"/>
    <n v="88"/>
    <n v="285"/>
    <n v="264"/>
  </r>
  <r>
    <n v="2020"/>
    <n v="5"/>
    <s v="5/01/2020"/>
    <x v="16"/>
    <s v="Male (M)"/>
    <s v="Non-Hispanic Black"/>
    <s v="5-14 years"/>
    <n v="75"/>
    <n v="40"/>
    <n v="0"/>
    <m/>
    <m/>
    <n v="0"/>
    <m/>
    <m/>
    <n v="0"/>
    <n v="0"/>
    <m/>
    <m/>
    <n v="0"/>
    <m/>
    <m/>
  </r>
  <r>
    <n v="2020"/>
    <n v="5"/>
    <s v="5/01/2020"/>
    <x v="16"/>
    <s v="Male (M)"/>
    <s v="Non-Hispanic Black"/>
    <s v="55-64 years"/>
    <n v="4326"/>
    <n v="3870"/>
    <n v="65"/>
    <n v="711"/>
    <n v="210"/>
    <m/>
    <n v="50"/>
    <n v="107"/>
    <n v="45"/>
    <n v="74"/>
    <n v="59"/>
    <n v="1038"/>
    <n v="179"/>
    <n v="745"/>
    <n v="687"/>
  </r>
  <r>
    <n v="2020"/>
    <n v="5"/>
    <s v="5/01/2020"/>
    <x v="16"/>
    <s v="Male (M)"/>
    <s v="Non-Hispanic Black"/>
    <s v="65-74 years"/>
    <n v="5173"/>
    <n v="4971"/>
    <n v="79"/>
    <n v="969"/>
    <n v="238"/>
    <n v="37"/>
    <n v="77"/>
    <n v="159"/>
    <n v="44"/>
    <n v="113"/>
    <n v="43"/>
    <n v="1063"/>
    <n v="248"/>
    <n v="1238"/>
    <n v="1169"/>
  </r>
  <r>
    <n v="2020"/>
    <n v="5"/>
    <s v="5/01/2020"/>
    <x v="16"/>
    <s v="Male (M)"/>
    <s v="Non-Hispanic Black"/>
    <s v="75-84 years"/>
    <n v="3920"/>
    <n v="3860"/>
    <n v="55"/>
    <n v="669"/>
    <n v="146"/>
    <n v="92"/>
    <n v="69"/>
    <n v="141"/>
    <n v="46"/>
    <n v="100"/>
    <n v="30"/>
    <n v="751"/>
    <n v="185"/>
    <n v="1063"/>
    <n v="989"/>
  </r>
  <r>
    <n v="2020"/>
    <n v="5"/>
    <s v="5/01/2020"/>
    <x v="16"/>
    <s v="Male (M)"/>
    <s v="Non-Hispanic Black"/>
    <s v="85 years and over"/>
    <n v="2411"/>
    <n v="2366"/>
    <n v="34"/>
    <n v="294"/>
    <n v="73"/>
    <n v="105"/>
    <n v="48"/>
    <n v="84"/>
    <n v="23"/>
    <n v="58"/>
    <n v="17"/>
    <n v="506"/>
    <n v="145"/>
    <n v="591"/>
    <n v="539"/>
  </r>
  <r>
    <n v="2020"/>
    <n v="5"/>
    <s v="5/01/2020"/>
    <x v="16"/>
    <s v="Male (M)"/>
    <s v="Non-Hispanic White"/>
    <s v="0-4 years"/>
    <n v="482"/>
    <n v="401"/>
    <m/>
    <n v="16"/>
    <n v="0"/>
    <n v="0"/>
    <m/>
    <m/>
    <m/>
    <n v="0"/>
    <n v="62"/>
    <m/>
    <m/>
    <m/>
    <m/>
  </r>
  <r>
    <n v="2020"/>
    <n v="5"/>
    <s v="5/01/2020"/>
    <x v="16"/>
    <s v="Male (M)"/>
    <s v="Non-Hispanic White"/>
    <s v="15-24 years"/>
    <n v="1053"/>
    <n v="168"/>
    <m/>
    <n v="25"/>
    <m/>
    <n v="0"/>
    <m/>
    <m/>
    <m/>
    <m/>
    <n v="32"/>
    <n v="17"/>
    <m/>
    <m/>
    <m/>
  </r>
  <r>
    <n v="2020"/>
    <n v="5"/>
    <s v="5/01/2020"/>
    <x v="16"/>
    <s v="Male (M)"/>
    <s v="Non-Hispanic White"/>
    <s v="25-34 years"/>
    <n v="2462"/>
    <n v="640"/>
    <n v="12"/>
    <n v="74"/>
    <n v="31"/>
    <n v="0"/>
    <n v="11"/>
    <m/>
    <m/>
    <m/>
    <n v="110"/>
    <n v="90"/>
    <n v="17"/>
    <n v="29"/>
    <n v="21"/>
  </r>
  <r>
    <n v="2020"/>
    <n v="5"/>
    <s v="5/01/2020"/>
    <x v="16"/>
    <s v="Male (M)"/>
    <s v="Non-Hispanic White"/>
    <s v="35-44 years"/>
    <n v="3454"/>
    <n v="1629"/>
    <n v="21"/>
    <n v="229"/>
    <n v="86"/>
    <n v="0"/>
    <n v="15"/>
    <n v="21"/>
    <m/>
    <n v="13"/>
    <n v="177"/>
    <n v="386"/>
    <n v="40"/>
    <n v="61"/>
    <n v="51"/>
  </r>
  <r>
    <n v="2020"/>
    <n v="5"/>
    <s v="5/01/2020"/>
    <x v="16"/>
    <s v="Male (M)"/>
    <s v="Non-Hispanic White"/>
    <s v="45-54 years"/>
    <n v="6120"/>
    <n v="4394"/>
    <n v="75"/>
    <n v="905"/>
    <n v="230"/>
    <m/>
    <n v="53"/>
    <n v="104"/>
    <n v="45"/>
    <n v="40"/>
    <n v="150"/>
    <n v="1266"/>
    <n v="127"/>
    <n v="224"/>
    <n v="205"/>
  </r>
  <r>
    <n v="2020"/>
    <n v="5"/>
    <s v="5/01/2020"/>
    <x v="16"/>
    <s v="Male (M)"/>
    <s v="Non-Hispanic White"/>
    <s v="5-14 years"/>
    <n v="146"/>
    <n v="66"/>
    <m/>
    <n v="22"/>
    <m/>
    <n v="0"/>
    <m/>
    <n v="0"/>
    <n v="0"/>
    <n v="0"/>
    <m/>
    <m/>
    <n v="0"/>
    <m/>
    <m/>
  </r>
  <r>
    <n v="2020"/>
    <n v="5"/>
    <s v="5/01/2020"/>
    <x v="16"/>
    <s v="Male (M)"/>
    <s v="Non-Hispanic White"/>
    <s v="55-64 years"/>
    <n v="14871"/>
    <n v="13170"/>
    <n v="181"/>
    <n v="3642"/>
    <n v="566"/>
    <n v="40"/>
    <n v="145"/>
    <n v="617"/>
    <n v="153"/>
    <n v="149"/>
    <n v="186"/>
    <n v="3474"/>
    <n v="404"/>
    <n v="924"/>
    <n v="848"/>
  </r>
  <r>
    <n v="2020"/>
    <n v="5"/>
    <s v="5/01/2020"/>
    <x v="16"/>
    <s v="Male (M)"/>
    <s v="Non-Hispanic White"/>
    <s v="65-74 years"/>
    <n v="22280"/>
    <n v="21208"/>
    <n v="262"/>
    <n v="6013"/>
    <n v="839"/>
    <n v="231"/>
    <n v="258"/>
    <n v="1320"/>
    <n v="367"/>
    <n v="273"/>
    <n v="178"/>
    <n v="5104"/>
    <n v="713"/>
    <n v="2058"/>
    <n v="1901"/>
  </r>
  <r>
    <n v="2020"/>
    <n v="5"/>
    <s v="5/01/2020"/>
    <x v="16"/>
    <s v="Male (M)"/>
    <s v="Non-Hispanic White"/>
    <s v="75-84 years"/>
    <n v="26487"/>
    <n v="25553"/>
    <n v="325"/>
    <n v="5766"/>
    <n v="755"/>
    <n v="872"/>
    <n v="395"/>
    <n v="1604"/>
    <n v="476"/>
    <n v="429"/>
    <n v="182"/>
    <n v="5911"/>
    <n v="1157"/>
    <n v="3034"/>
    <n v="2783"/>
  </r>
  <r>
    <n v="2020"/>
    <n v="5"/>
    <s v="5/01/2020"/>
    <x v="16"/>
    <s v="Male (M)"/>
    <s v="Non-Hispanic White"/>
    <s v="85 years and over"/>
    <n v="26007"/>
    <n v="25077"/>
    <n v="198"/>
    <n v="3279"/>
    <n v="471"/>
    <n v="1530"/>
    <n v="450"/>
    <n v="1116"/>
    <n v="345"/>
    <n v="497"/>
    <n v="263"/>
    <n v="7058"/>
    <n v="1368"/>
    <n v="3585"/>
    <n v="3254"/>
  </r>
  <r>
    <n v="2020"/>
    <n v="5"/>
    <s v="5/01/2020"/>
    <x v="16"/>
    <s v="Male (M)"/>
    <s v="Other"/>
    <s v="0-4 years"/>
    <n v="54"/>
    <n v="51"/>
    <m/>
    <m/>
    <n v="0"/>
    <n v="0"/>
    <n v="0"/>
    <n v="0"/>
    <m/>
    <n v="0"/>
    <m/>
    <m/>
    <n v="0"/>
    <n v="0"/>
    <n v="0"/>
  </r>
  <r>
    <n v="2020"/>
    <n v="5"/>
    <s v="5/01/2020"/>
    <x v="16"/>
    <s v="Male (M)"/>
    <s v="Other"/>
    <s v="15-24 years"/>
    <n v="51"/>
    <n v="10"/>
    <n v="0"/>
    <m/>
    <n v="0"/>
    <n v="0"/>
    <n v="0"/>
    <m/>
    <n v="0"/>
    <n v="0"/>
    <n v="0"/>
    <m/>
    <n v="0"/>
    <m/>
    <m/>
  </r>
  <r>
    <n v="2020"/>
    <n v="5"/>
    <s v="5/01/2020"/>
    <x v="16"/>
    <s v="Male (M)"/>
    <s v="Other"/>
    <s v="25-34 years"/>
    <n v="97"/>
    <n v="31"/>
    <n v="0"/>
    <m/>
    <m/>
    <n v="0"/>
    <n v="0"/>
    <m/>
    <n v="0"/>
    <n v="0"/>
    <m/>
    <m/>
    <m/>
    <m/>
    <m/>
  </r>
  <r>
    <n v="2020"/>
    <n v="5"/>
    <s v="5/01/2020"/>
    <x v="16"/>
    <s v="Male (M)"/>
    <s v="Other"/>
    <s v="35-44 years"/>
    <n v="111"/>
    <n v="60"/>
    <n v="0"/>
    <m/>
    <m/>
    <n v="0"/>
    <n v="0"/>
    <n v="0"/>
    <m/>
    <n v="0"/>
    <m/>
    <n v="12"/>
    <n v="0"/>
    <m/>
    <m/>
  </r>
  <r>
    <n v="2020"/>
    <n v="5"/>
    <s v="5/01/2020"/>
    <x v="16"/>
    <s v="Male (M)"/>
    <s v="Other"/>
    <s v="45-54 years"/>
    <n v="160"/>
    <n v="115"/>
    <m/>
    <n v="17"/>
    <m/>
    <n v="0"/>
    <m/>
    <m/>
    <m/>
    <n v="0"/>
    <m/>
    <n v="39"/>
    <m/>
    <m/>
    <m/>
  </r>
  <r>
    <n v="2020"/>
    <n v="5"/>
    <s v="5/01/2020"/>
    <x v="16"/>
    <s v="Male (M)"/>
    <s v="Other"/>
    <s v="5-14 years"/>
    <m/>
    <m/>
    <n v="0"/>
    <m/>
    <n v="0"/>
    <n v="0"/>
    <n v="0"/>
    <n v="0"/>
    <n v="0"/>
    <n v="0"/>
    <n v="0"/>
    <m/>
    <m/>
    <n v="0"/>
    <n v="0"/>
  </r>
  <r>
    <n v="2020"/>
    <n v="5"/>
    <s v="5/01/2020"/>
    <x v="16"/>
    <s v="Male (M)"/>
    <s v="Other"/>
    <s v="55-64 years"/>
    <n v="276"/>
    <n v="236"/>
    <m/>
    <n v="44"/>
    <m/>
    <n v="0"/>
    <m/>
    <m/>
    <m/>
    <m/>
    <m/>
    <n v="57"/>
    <n v="12"/>
    <n v="43"/>
    <n v="40"/>
  </r>
  <r>
    <n v="2020"/>
    <n v="5"/>
    <s v="5/01/2020"/>
    <x v="16"/>
    <s v="Male (M)"/>
    <s v="Other"/>
    <s v="65-74 years"/>
    <n v="311"/>
    <n v="291"/>
    <m/>
    <n v="49"/>
    <n v="13"/>
    <n v="0"/>
    <n v="12"/>
    <n v="15"/>
    <m/>
    <m/>
    <n v="11"/>
    <n v="79"/>
    <m/>
    <n v="60"/>
    <n v="56"/>
  </r>
  <r>
    <n v="2020"/>
    <n v="5"/>
    <s v="5/01/2020"/>
    <x v="16"/>
    <s v="Male (M)"/>
    <s v="Other"/>
    <s v="75-84 years"/>
    <n v="232"/>
    <n v="227"/>
    <n v="0"/>
    <n v="48"/>
    <m/>
    <m/>
    <m/>
    <m/>
    <m/>
    <m/>
    <m/>
    <n v="46"/>
    <n v="12"/>
    <n v="58"/>
    <n v="55"/>
  </r>
  <r>
    <n v="2020"/>
    <n v="5"/>
    <s v="5/01/2020"/>
    <x v="16"/>
    <s v="Male (M)"/>
    <s v="Other"/>
    <s v="85 years and over"/>
    <n v="142"/>
    <n v="136"/>
    <m/>
    <n v="19"/>
    <m/>
    <m/>
    <m/>
    <m/>
    <m/>
    <m/>
    <n v="0"/>
    <n v="48"/>
    <m/>
    <n v="28"/>
    <n v="27"/>
  </r>
  <r>
    <n v="2020"/>
    <n v="6"/>
    <s v="6/01/2020"/>
    <x v="17"/>
    <s v="Female (F)"/>
    <s v="Hispanic"/>
    <s v="0-4 years"/>
    <n v="187"/>
    <n v="161"/>
    <n v="0"/>
    <m/>
    <m/>
    <n v="0"/>
    <n v="0"/>
    <n v="0"/>
    <m/>
    <n v="0"/>
    <n v="23"/>
    <m/>
    <m/>
    <m/>
    <m/>
  </r>
  <r>
    <n v="2020"/>
    <n v="6"/>
    <s v="6/01/2020"/>
    <x v="17"/>
    <s v="Female (F)"/>
    <s v="Hispanic"/>
    <s v="15-24 years"/>
    <n v="152"/>
    <n v="42"/>
    <n v="0"/>
    <m/>
    <n v="0"/>
    <n v="0"/>
    <n v="0"/>
    <m/>
    <m/>
    <n v="0"/>
    <m/>
    <n v="0"/>
    <m/>
    <n v="10"/>
    <n v="10"/>
  </r>
  <r>
    <n v="2020"/>
    <n v="6"/>
    <s v="6/01/2020"/>
    <x v="17"/>
    <s v="Female (F)"/>
    <s v="Hispanic"/>
    <s v="25-34 years"/>
    <n v="276"/>
    <n v="150"/>
    <n v="0"/>
    <n v="26"/>
    <m/>
    <n v="0"/>
    <m/>
    <m/>
    <m/>
    <m/>
    <n v="11"/>
    <n v="22"/>
    <m/>
    <n v="26"/>
    <n v="25"/>
  </r>
  <r>
    <n v="2020"/>
    <n v="6"/>
    <s v="6/01/2020"/>
    <x v="17"/>
    <s v="Female (F)"/>
    <s v="Hispanic"/>
    <s v="35-44 years"/>
    <n v="431"/>
    <n v="320"/>
    <m/>
    <n v="104"/>
    <n v="10"/>
    <n v="0"/>
    <m/>
    <m/>
    <m/>
    <m/>
    <n v="17"/>
    <n v="25"/>
    <n v="11"/>
    <n v="56"/>
    <n v="50"/>
  </r>
  <r>
    <n v="2020"/>
    <n v="6"/>
    <s v="6/01/2020"/>
    <x v="17"/>
    <s v="Female (F)"/>
    <s v="Hispanic"/>
    <s v="45-54 years"/>
    <n v="676"/>
    <n v="608"/>
    <n v="13"/>
    <n v="191"/>
    <n v="28"/>
    <n v="0"/>
    <m/>
    <m/>
    <m/>
    <n v="10"/>
    <n v="11"/>
    <n v="60"/>
    <n v="23"/>
    <n v="128"/>
    <n v="119"/>
  </r>
  <r>
    <n v="2020"/>
    <n v="6"/>
    <s v="6/01/2020"/>
    <x v="17"/>
    <s v="Female (F)"/>
    <s v="Hispanic"/>
    <s v="5-14 years"/>
    <n v="46"/>
    <n v="25"/>
    <n v="0"/>
    <m/>
    <n v="0"/>
    <n v="0"/>
    <n v="0"/>
    <n v="0"/>
    <m/>
    <n v="0"/>
    <m/>
    <m/>
    <m/>
    <m/>
    <m/>
  </r>
  <r>
    <n v="2020"/>
    <n v="6"/>
    <s v="6/01/2020"/>
    <x v="17"/>
    <s v="Female (F)"/>
    <s v="Hispanic"/>
    <s v="55-64 years"/>
    <n v="1257"/>
    <n v="1193"/>
    <n v="14"/>
    <n v="355"/>
    <n v="70"/>
    <m/>
    <n v="19"/>
    <n v="22"/>
    <n v="15"/>
    <n v="19"/>
    <n v="16"/>
    <n v="169"/>
    <n v="47"/>
    <n v="260"/>
    <n v="242"/>
  </r>
  <r>
    <n v="2020"/>
    <n v="6"/>
    <s v="6/01/2020"/>
    <x v="17"/>
    <s v="Female (F)"/>
    <s v="Hispanic"/>
    <s v="65-74 years"/>
    <n v="1670"/>
    <n v="1630"/>
    <n v="31"/>
    <n v="421"/>
    <n v="98"/>
    <n v="28"/>
    <n v="34"/>
    <n v="41"/>
    <n v="33"/>
    <n v="44"/>
    <n v="12"/>
    <n v="218"/>
    <n v="84"/>
    <n v="340"/>
    <n v="321"/>
  </r>
  <r>
    <n v="2020"/>
    <n v="6"/>
    <s v="6/01/2020"/>
    <x v="17"/>
    <s v="Female (F)"/>
    <s v="Hispanic"/>
    <s v="75-84 years"/>
    <n v="2073"/>
    <n v="2035"/>
    <n v="24"/>
    <n v="351"/>
    <n v="98"/>
    <n v="129"/>
    <n v="40"/>
    <n v="54"/>
    <n v="39"/>
    <n v="51"/>
    <m/>
    <n v="384"/>
    <n v="134"/>
    <n v="323"/>
    <n v="300"/>
  </r>
  <r>
    <n v="2020"/>
    <n v="6"/>
    <s v="6/01/2020"/>
    <x v="17"/>
    <s v="Female (F)"/>
    <s v="Hispanic"/>
    <s v="85 years and over"/>
    <n v="2883"/>
    <n v="2825"/>
    <n v="35"/>
    <n v="261"/>
    <n v="84"/>
    <n v="337"/>
    <n v="36"/>
    <n v="93"/>
    <n v="36"/>
    <n v="53"/>
    <n v="21"/>
    <n v="674"/>
    <n v="246"/>
    <n v="370"/>
    <n v="321"/>
  </r>
  <r>
    <n v="2020"/>
    <n v="6"/>
    <s v="6/01/2020"/>
    <x v="17"/>
    <s v="Female (F)"/>
    <s v="Non-Hispanic American Indian or Alaska Native"/>
    <s v="0-4 years"/>
    <n v="10"/>
    <m/>
    <n v="0"/>
    <n v="0"/>
    <n v="0"/>
    <n v="0"/>
    <n v="0"/>
    <n v="0"/>
    <n v="0"/>
    <n v="0"/>
    <m/>
    <n v="0"/>
    <n v="0"/>
    <n v="0"/>
    <n v="0"/>
  </r>
  <r>
    <n v="2020"/>
    <n v="6"/>
    <s v="6/01/2020"/>
    <x v="17"/>
    <s v="Female (F)"/>
    <s v="Non-Hispanic American Indian or Alaska Native"/>
    <s v="15-24 years"/>
    <n v="18"/>
    <m/>
    <n v="0"/>
    <n v="0"/>
    <n v="0"/>
    <n v="0"/>
    <m/>
    <m/>
    <n v="0"/>
    <n v="0"/>
    <m/>
    <n v="0"/>
    <n v="0"/>
    <m/>
    <m/>
  </r>
  <r>
    <n v="2020"/>
    <n v="6"/>
    <s v="6/01/2020"/>
    <x v="17"/>
    <s v="Female (F)"/>
    <s v="Non-Hispanic American Indian or Alaska Native"/>
    <s v="25-34 years"/>
    <n v="61"/>
    <n v="41"/>
    <m/>
    <m/>
    <n v="0"/>
    <n v="0"/>
    <n v="0"/>
    <m/>
    <n v="0"/>
    <n v="0"/>
    <m/>
    <m/>
    <m/>
    <m/>
    <m/>
  </r>
  <r>
    <n v="2020"/>
    <n v="6"/>
    <s v="6/01/2020"/>
    <x v="17"/>
    <s v="Female (F)"/>
    <s v="Non-Hispanic American Indian or Alaska Native"/>
    <s v="35-44 years"/>
    <n v="58"/>
    <n v="35"/>
    <n v="0"/>
    <m/>
    <m/>
    <n v="0"/>
    <n v="0"/>
    <n v="0"/>
    <n v="0"/>
    <m/>
    <m/>
    <m/>
    <n v="0"/>
    <m/>
    <m/>
  </r>
  <r>
    <n v="2020"/>
    <n v="6"/>
    <s v="6/01/2020"/>
    <x v="17"/>
    <s v="Female (F)"/>
    <s v="Non-Hispanic American Indian or Alaska Native"/>
    <s v="45-54 years"/>
    <n v="97"/>
    <n v="83"/>
    <m/>
    <m/>
    <m/>
    <n v="0"/>
    <m/>
    <m/>
    <m/>
    <m/>
    <m/>
    <n v="12"/>
    <m/>
    <n v="29"/>
    <n v="26"/>
  </r>
  <r>
    <n v="2020"/>
    <n v="6"/>
    <s v="6/01/2020"/>
    <x v="17"/>
    <s v="Female (F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20"/>
    <n v="6"/>
    <s v="6/01/2020"/>
    <x v="17"/>
    <s v="Female (F)"/>
    <s v="Non-Hispanic American Indian or Alaska Native"/>
    <s v="55-64 years"/>
    <n v="152"/>
    <n v="142"/>
    <n v="0"/>
    <n v="25"/>
    <m/>
    <n v="0"/>
    <m/>
    <m/>
    <n v="0"/>
    <m/>
    <m/>
    <n v="21"/>
    <m/>
    <n v="35"/>
    <n v="35"/>
  </r>
  <r>
    <n v="2020"/>
    <n v="6"/>
    <s v="6/01/2020"/>
    <x v="17"/>
    <s v="Female (F)"/>
    <s v="Non-Hispanic American Indian or Alaska Native"/>
    <s v="65-74 years"/>
    <n v="181"/>
    <n v="172"/>
    <m/>
    <n v="37"/>
    <n v="10"/>
    <m/>
    <m/>
    <m/>
    <m/>
    <m/>
    <m/>
    <n v="24"/>
    <m/>
    <n v="42"/>
    <n v="41"/>
  </r>
  <r>
    <n v="2020"/>
    <n v="6"/>
    <s v="6/01/2020"/>
    <x v="17"/>
    <s v="Female (F)"/>
    <s v="Non-Hispanic American Indian or Alaska Native"/>
    <s v="75-84 years"/>
    <n v="192"/>
    <n v="187"/>
    <m/>
    <n v="23"/>
    <n v="13"/>
    <n v="10"/>
    <m/>
    <n v="10"/>
    <m/>
    <m/>
    <m/>
    <n v="37"/>
    <m/>
    <n v="35"/>
    <n v="33"/>
  </r>
  <r>
    <n v="2020"/>
    <n v="6"/>
    <s v="6/01/2020"/>
    <x v="17"/>
    <s v="Female (F)"/>
    <s v="Non-Hispanic American Indian or Alaska Native"/>
    <s v="85 years and over"/>
    <n v="128"/>
    <n v="124"/>
    <m/>
    <n v="13"/>
    <m/>
    <m/>
    <m/>
    <m/>
    <m/>
    <m/>
    <m/>
    <n v="20"/>
    <n v="11"/>
    <n v="14"/>
    <n v="13"/>
  </r>
  <r>
    <n v="2020"/>
    <n v="6"/>
    <s v="6/01/2020"/>
    <x v="17"/>
    <s v="Female (F)"/>
    <s v="Non-Hispanic Asian"/>
    <s v="0-4 years"/>
    <n v="30"/>
    <n v="26"/>
    <n v="0"/>
    <n v="0"/>
    <n v="0"/>
    <n v="0"/>
    <n v="0"/>
    <n v="0"/>
    <n v="0"/>
    <n v="0"/>
    <n v="0"/>
    <n v="0"/>
    <n v="0"/>
    <n v="0"/>
    <n v="0"/>
  </r>
  <r>
    <n v="2020"/>
    <n v="6"/>
    <s v="6/01/2020"/>
    <x v="17"/>
    <s v="Female (F)"/>
    <s v="Non-Hispanic Asian"/>
    <s v="15-24 years"/>
    <n v="20"/>
    <n v="12"/>
    <m/>
    <m/>
    <n v="0"/>
    <n v="0"/>
    <n v="0"/>
    <n v="0"/>
    <n v="0"/>
    <n v="0"/>
    <m/>
    <n v="0"/>
    <n v="0"/>
    <n v="0"/>
    <n v="0"/>
  </r>
  <r>
    <n v="2020"/>
    <n v="6"/>
    <s v="6/01/2020"/>
    <x v="17"/>
    <s v="Female (F)"/>
    <s v="Non-Hispanic Asian"/>
    <s v="25-34 years"/>
    <n v="42"/>
    <n v="30"/>
    <n v="0"/>
    <n v="10"/>
    <n v="0"/>
    <n v="0"/>
    <n v="0"/>
    <n v="0"/>
    <n v="0"/>
    <n v="0"/>
    <m/>
    <m/>
    <m/>
    <m/>
    <m/>
  </r>
  <r>
    <n v="2020"/>
    <n v="6"/>
    <s v="6/01/2020"/>
    <x v="17"/>
    <s v="Female (F)"/>
    <s v="Non-Hispanic Asian"/>
    <s v="35-44 years"/>
    <n v="78"/>
    <n v="64"/>
    <m/>
    <n v="32"/>
    <m/>
    <n v="0"/>
    <m/>
    <m/>
    <n v="0"/>
    <m/>
    <m/>
    <m/>
    <m/>
    <m/>
    <m/>
  </r>
  <r>
    <n v="2020"/>
    <n v="6"/>
    <s v="6/01/2020"/>
    <x v="17"/>
    <s v="Female (F)"/>
    <s v="Non-Hispanic Asian"/>
    <s v="45-54 years"/>
    <n v="164"/>
    <n v="147"/>
    <m/>
    <n v="82"/>
    <m/>
    <n v="0"/>
    <n v="0"/>
    <m/>
    <m/>
    <m/>
    <m/>
    <n v="13"/>
    <n v="13"/>
    <n v="14"/>
    <n v="13"/>
  </r>
  <r>
    <n v="2020"/>
    <n v="6"/>
    <s v="6/01/2020"/>
    <x v="17"/>
    <s v="Female (F)"/>
    <s v="Non-Hispanic Asian"/>
    <s v="5-14 years"/>
    <m/>
    <m/>
    <n v="0"/>
    <m/>
    <n v="0"/>
    <n v="0"/>
    <n v="0"/>
    <n v="0"/>
    <n v="0"/>
    <n v="0"/>
    <n v="0"/>
    <n v="0"/>
    <n v="0"/>
    <n v="0"/>
    <n v="0"/>
  </r>
  <r>
    <n v="2020"/>
    <n v="6"/>
    <s v="6/01/2020"/>
    <x v="17"/>
    <s v="Female (F)"/>
    <s v="Non-Hispanic Asian"/>
    <s v="55-64 years"/>
    <n v="280"/>
    <n v="268"/>
    <n v="0"/>
    <n v="128"/>
    <n v="10"/>
    <n v="0"/>
    <m/>
    <m/>
    <m/>
    <n v="0"/>
    <m/>
    <n v="34"/>
    <n v="15"/>
    <n v="28"/>
    <n v="27"/>
  </r>
  <r>
    <n v="2020"/>
    <n v="6"/>
    <s v="6/01/2020"/>
    <x v="17"/>
    <s v="Female (F)"/>
    <s v="Non-Hispanic Asian"/>
    <s v="65-74 years"/>
    <n v="498"/>
    <n v="482"/>
    <m/>
    <n v="175"/>
    <n v="23"/>
    <n v="10"/>
    <m/>
    <m/>
    <m/>
    <n v="11"/>
    <m/>
    <n v="69"/>
    <n v="36"/>
    <n v="58"/>
    <n v="52"/>
  </r>
  <r>
    <n v="2020"/>
    <n v="6"/>
    <s v="6/01/2020"/>
    <x v="17"/>
    <s v="Female (F)"/>
    <s v="Non-Hispanic Asian"/>
    <s v="75-84 years"/>
    <n v="774"/>
    <n v="756"/>
    <n v="10"/>
    <n v="184"/>
    <n v="35"/>
    <n v="33"/>
    <n v="11"/>
    <n v="18"/>
    <n v="12"/>
    <n v="18"/>
    <m/>
    <n v="146"/>
    <n v="80"/>
    <n v="78"/>
    <n v="69"/>
  </r>
  <r>
    <n v="2020"/>
    <n v="6"/>
    <s v="6/01/2020"/>
    <x v="17"/>
    <s v="Female (F)"/>
    <s v="Non-Hispanic Asian"/>
    <s v="85 years and over"/>
    <n v="1301"/>
    <n v="1284"/>
    <m/>
    <n v="145"/>
    <n v="50"/>
    <n v="137"/>
    <n v="23"/>
    <n v="26"/>
    <n v="11"/>
    <n v="28"/>
    <n v="17"/>
    <n v="298"/>
    <n v="115"/>
    <n v="132"/>
    <n v="121"/>
  </r>
  <r>
    <n v="2020"/>
    <n v="6"/>
    <s v="6/01/2020"/>
    <x v="17"/>
    <s v="Female (F)"/>
    <s v="Non-Hispanic Black"/>
    <s v="0-4 years"/>
    <n v="252"/>
    <n v="214"/>
    <m/>
    <m/>
    <n v="0"/>
    <n v="0"/>
    <n v="0"/>
    <n v="0"/>
    <m/>
    <m/>
    <n v="46"/>
    <m/>
    <m/>
    <n v="0"/>
    <n v="0"/>
  </r>
  <r>
    <n v="2020"/>
    <n v="6"/>
    <s v="6/01/2020"/>
    <x v="17"/>
    <s v="Female (F)"/>
    <s v="Non-Hispanic Black"/>
    <s v="15-24 years"/>
    <n v="234"/>
    <n v="78"/>
    <n v="0"/>
    <m/>
    <m/>
    <n v="0"/>
    <m/>
    <m/>
    <m/>
    <m/>
    <n v="10"/>
    <m/>
    <m/>
    <m/>
    <m/>
  </r>
  <r>
    <n v="2020"/>
    <n v="6"/>
    <s v="6/01/2020"/>
    <x v="17"/>
    <s v="Female (F)"/>
    <s v="Non-Hispanic Black"/>
    <s v="25-34 years"/>
    <n v="435"/>
    <n v="255"/>
    <m/>
    <n v="33"/>
    <n v="11"/>
    <n v="0"/>
    <m/>
    <m/>
    <m/>
    <m/>
    <n v="29"/>
    <n v="49"/>
    <m/>
    <n v="18"/>
    <n v="15"/>
  </r>
  <r>
    <n v="2020"/>
    <n v="6"/>
    <s v="6/01/2020"/>
    <x v="17"/>
    <s v="Female (F)"/>
    <s v="Non-Hispanic Black"/>
    <s v="35-44 years"/>
    <n v="668"/>
    <n v="496"/>
    <n v="11"/>
    <n v="97"/>
    <n v="26"/>
    <n v="0"/>
    <m/>
    <m/>
    <n v="10"/>
    <n v="10"/>
    <n v="31"/>
    <n v="96"/>
    <n v="16"/>
    <n v="55"/>
    <n v="46"/>
  </r>
  <r>
    <n v="2020"/>
    <n v="6"/>
    <s v="6/01/2020"/>
    <x v="17"/>
    <s v="Female (F)"/>
    <s v="Non-Hispanic Black"/>
    <s v="45-54 years"/>
    <n v="1222"/>
    <n v="1103"/>
    <n v="27"/>
    <n v="260"/>
    <n v="62"/>
    <m/>
    <n v="19"/>
    <n v="24"/>
    <n v="22"/>
    <n v="32"/>
    <n v="35"/>
    <n v="234"/>
    <n v="45"/>
    <n v="115"/>
    <n v="101"/>
  </r>
  <r>
    <n v="2020"/>
    <n v="6"/>
    <s v="6/01/2020"/>
    <x v="17"/>
    <s v="Female (F)"/>
    <s v="Non-Hispanic Black"/>
    <s v="5-14 years"/>
    <n v="54"/>
    <n v="25"/>
    <n v="0"/>
    <m/>
    <m/>
    <n v="0"/>
    <n v="0"/>
    <m/>
    <m/>
    <n v="0"/>
    <m/>
    <n v="0"/>
    <m/>
    <n v="0"/>
    <n v="0"/>
  </r>
  <r>
    <n v="2020"/>
    <n v="6"/>
    <s v="6/01/2020"/>
    <x v="17"/>
    <s v="Female (F)"/>
    <s v="Non-Hispanic Black"/>
    <s v="55-64 years"/>
    <n v="2509"/>
    <n v="2372"/>
    <n v="44"/>
    <n v="650"/>
    <n v="130"/>
    <m/>
    <n v="23"/>
    <n v="107"/>
    <n v="37"/>
    <n v="64"/>
    <n v="27"/>
    <n v="529"/>
    <n v="108"/>
    <n v="260"/>
    <n v="232"/>
  </r>
  <r>
    <n v="2020"/>
    <n v="6"/>
    <s v="6/01/2020"/>
    <x v="17"/>
    <s v="Female (F)"/>
    <s v="Non-Hispanic Black"/>
    <s v="65-74 years"/>
    <n v="3377"/>
    <n v="3305"/>
    <n v="74"/>
    <n v="843"/>
    <n v="171"/>
    <n v="39"/>
    <n v="55"/>
    <n v="118"/>
    <n v="48"/>
    <n v="86"/>
    <n v="31"/>
    <n v="741"/>
    <n v="176"/>
    <n v="399"/>
    <n v="351"/>
  </r>
  <r>
    <n v="2020"/>
    <n v="6"/>
    <s v="6/01/2020"/>
    <x v="17"/>
    <s v="Female (F)"/>
    <s v="Non-Hispanic Black"/>
    <s v="75-84 years"/>
    <n v="3411"/>
    <n v="3371"/>
    <n v="76"/>
    <n v="560"/>
    <n v="175"/>
    <n v="169"/>
    <n v="53"/>
    <n v="109"/>
    <n v="52"/>
    <n v="93"/>
    <n v="26"/>
    <n v="785"/>
    <n v="236"/>
    <n v="422"/>
    <n v="382"/>
  </r>
  <r>
    <n v="2020"/>
    <n v="6"/>
    <s v="6/01/2020"/>
    <x v="17"/>
    <s v="Female (F)"/>
    <s v="Non-Hispanic Black"/>
    <s v="85 years and over"/>
    <n v="3765"/>
    <n v="3716"/>
    <n v="55"/>
    <n v="353"/>
    <n v="129"/>
    <n v="387"/>
    <n v="52"/>
    <n v="90"/>
    <n v="35"/>
    <n v="92"/>
    <n v="51"/>
    <n v="900"/>
    <n v="279"/>
    <n v="439"/>
    <n v="358"/>
  </r>
  <r>
    <n v="2020"/>
    <n v="6"/>
    <s v="6/01/2020"/>
    <x v="17"/>
    <s v="Female (F)"/>
    <s v="Non-Hispanic White"/>
    <s v="0-4 years"/>
    <n v="334"/>
    <n v="294"/>
    <m/>
    <m/>
    <n v="0"/>
    <n v="0"/>
    <m/>
    <n v="0"/>
    <m/>
    <m/>
    <n v="29"/>
    <m/>
    <m/>
    <n v="0"/>
    <n v="0"/>
  </r>
  <r>
    <n v="2020"/>
    <n v="6"/>
    <s v="6/01/2020"/>
    <x v="17"/>
    <s v="Female (F)"/>
    <s v="Non-Hispanic White"/>
    <s v="15-24 years"/>
    <n v="395"/>
    <n v="114"/>
    <m/>
    <n v="16"/>
    <m/>
    <n v="0"/>
    <n v="0"/>
    <m/>
    <m/>
    <m/>
    <n v="27"/>
    <n v="12"/>
    <m/>
    <m/>
    <m/>
  </r>
  <r>
    <n v="2020"/>
    <n v="6"/>
    <s v="6/01/2020"/>
    <x v="17"/>
    <s v="Female (F)"/>
    <s v="Non-Hispanic White"/>
    <s v="25-34 years"/>
    <n v="1005"/>
    <n v="456"/>
    <n v="11"/>
    <n v="91"/>
    <n v="13"/>
    <n v="0"/>
    <m/>
    <m/>
    <m/>
    <m/>
    <n v="55"/>
    <n v="52"/>
    <n v="13"/>
    <m/>
    <m/>
  </r>
  <r>
    <n v="2020"/>
    <n v="6"/>
    <s v="6/01/2020"/>
    <x v="17"/>
    <s v="Female (F)"/>
    <s v="Non-Hispanic White"/>
    <s v="35-44 years"/>
    <n v="1649"/>
    <n v="1018"/>
    <n v="17"/>
    <n v="270"/>
    <n v="43"/>
    <n v="0"/>
    <n v="16"/>
    <n v="12"/>
    <n v="14"/>
    <m/>
    <n v="79"/>
    <n v="159"/>
    <n v="33"/>
    <n v="18"/>
    <n v="14"/>
  </r>
  <r>
    <n v="2020"/>
    <n v="6"/>
    <s v="6/01/2020"/>
    <x v="17"/>
    <s v="Female (F)"/>
    <s v="Non-Hispanic White"/>
    <s v="45-54 years"/>
    <n v="3502"/>
    <n v="2848"/>
    <n v="56"/>
    <n v="938"/>
    <n v="96"/>
    <m/>
    <n v="44"/>
    <n v="121"/>
    <n v="36"/>
    <n v="36"/>
    <n v="90"/>
    <n v="486"/>
    <n v="88"/>
    <n v="84"/>
    <n v="70"/>
  </r>
  <r>
    <n v="2020"/>
    <n v="6"/>
    <s v="6/01/2020"/>
    <x v="17"/>
    <s v="Female (F)"/>
    <s v="Non-Hispanic White"/>
    <s v="5-14 years"/>
    <n v="105"/>
    <n v="49"/>
    <m/>
    <n v="12"/>
    <n v="0"/>
    <n v="0"/>
    <n v="0"/>
    <n v="0"/>
    <m/>
    <n v="0"/>
    <m/>
    <m/>
    <m/>
    <n v="0"/>
    <n v="0"/>
  </r>
  <r>
    <n v="2020"/>
    <n v="6"/>
    <s v="6/01/2020"/>
    <x v="17"/>
    <s v="Female (F)"/>
    <s v="Non-Hispanic White"/>
    <s v="55-64 years"/>
    <n v="8480"/>
    <n v="7821"/>
    <n v="137"/>
    <n v="2792"/>
    <n v="300"/>
    <n v="40"/>
    <n v="100"/>
    <n v="532"/>
    <n v="108"/>
    <n v="81"/>
    <n v="119"/>
    <n v="1404"/>
    <n v="293"/>
    <n v="252"/>
    <n v="227"/>
  </r>
  <r>
    <n v="2020"/>
    <n v="6"/>
    <s v="6/01/2020"/>
    <x v="17"/>
    <s v="Female (F)"/>
    <s v="Non-Hispanic White"/>
    <s v="65-74 years"/>
    <n v="14907"/>
    <n v="14418"/>
    <n v="275"/>
    <n v="4893"/>
    <n v="500"/>
    <n v="306"/>
    <n v="164"/>
    <n v="1109"/>
    <n v="244"/>
    <n v="258"/>
    <n v="128"/>
    <n v="2560"/>
    <n v="632"/>
    <n v="611"/>
    <n v="525"/>
  </r>
  <r>
    <n v="2020"/>
    <n v="6"/>
    <s v="6/01/2020"/>
    <x v="17"/>
    <s v="Female (F)"/>
    <s v="Non-Hispanic White"/>
    <s v="75-84 years"/>
    <n v="21592"/>
    <n v="20972"/>
    <n v="296"/>
    <n v="4795"/>
    <n v="537"/>
    <n v="1421"/>
    <n v="267"/>
    <n v="1554"/>
    <n v="372"/>
    <n v="345"/>
    <n v="180"/>
    <n v="4140"/>
    <n v="1340"/>
    <n v="1270"/>
    <n v="1071"/>
  </r>
  <r>
    <n v="2020"/>
    <n v="6"/>
    <s v="6/01/2020"/>
    <x v="17"/>
    <s v="Female (F)"/>
    <s v="Non-Hispanic White"/>
    <s v="85 years and over"/>
    <n v="35668"/>
    <n v="34602"/>
    <n v="304"/>
    <n v="3264"/>
    <n v="537"/>
    <n v="3703"/>
    <n v="444"/>
    <n v="1488"/>
    <n v="387"/>
    <n v="536"/>
    <n v="541"/>
    <n v="9239"/>
    <n v="2750"/>
    <n v="2468"/>
    <n v="1990"/>
  </r>
  <r>
    <n v="2020"/>
    <n v="6"/>
    <s v="6/01/2020"/>
    <x v="17"/>
    <s v="Female (F)"/>
    <s v="Other"/>
    <s v="0-4 years"/>
    <n v="34"/>
    <n v="32"/>
    <n v="0"/>
    <m/>
    <n v="0"/>
    <n v="0"/>
    <m/>
    <n v="0"/>
    <n v="0"/>
    <n v="0"/>
    <m/>
    <n v="0"/>
    <n v="0"/>
    <m/>
    <m/>
  </r>
  <r>
    <n v="2020"/>
    <n v="6"/>
    <s v="6/01/2020"/>
    <x v="17"/>
    <s v="Female (F)"/>
    <s v="Other"/>
    <s v="15-24 years"/>
    <n v="21"/>
    <m/>
    <n v="0"/>
    <m/>
    <n v="0"/>
    <n v="0"/>
    <n v="0"/>
    <n v="0"/>
    <n v="0"/>
    <n v="0"/>
    <n v="0"/>
    <n v="0"/>
    <n v="0"/>
    <m/>
    <m/>
  </r>
  <r>
    <n v="2020"/>
    <n v="6"/>
    <s v="6/01/2020"/>
    <x v="17"/>
    <s v="Female (F)"/>
    <s v="Other"/>
    <s v="25-34 years"/>
    <n v="40"/>
    <n v="17"/>
    <n v="0"/>
    <m/>
    <m/>
    <n v="0"/>
    <n v="0"/>
    <n v="0"/>
    <n v="0"/>
    <n v="0"/>
    <m/>
    <m/>
    <n v="0"/>
    <m/>
    <m/>
  </r>
  <r>
    <n v="2020"/>
    <n v="6"/>
    <s v="6/01/2020"/>
    <x v="17"/>
    <s v="Female (F)"/>
    <s v="Other"/>
    <s v="35-44 years"/>
    <n v="52"/>
    <n v="37"/>
    <n v="0"/>
    <m/>
    <m/>
    <n v="0"/>
    <m/>
    <n v="0"/>
    <m/>
    <m/>
    <m/>
    <m/>
    <n v="0"/>
    <m/>
    <m/>
  </r>
  <r>
    <n v="2020"/>
    <n v="6"/>
    <s v="6/01/2020"/>
    <x v="17"/>
    <s v="Female (F)"/>
    <s v="Other"/>
    <s v="45-54 years"/>
    <n v="90"/>
    <n v="73"/>
    <n v="0"/>
    <n v="24"/>
    <m/>
    <n v="0"/>
    <m/>
    <m/>
    <n v="0"/>
    <n v="0"/>
    <m/>
    <m/>
    <m/>
    <m/>
    <m/>
  </r>
  <r>
    <n v="2020"/>
    <n v="6"/>
    <s v="6/01/2020"/>
    <x v="17"/>
    <s v="Female (F)"/>
    <s v="Other"/>
    <s v="5-14 years"/>
    <m/>
    <m/>
    <n v="0"/>
    <m/>
    <n v="0"/>
    <n v="0"/>
    <n v="0"/>
    <n v="0"/>
    <n v="0"/>
    <n v="0"/>
    <n v="0"/>
    <n v="0"/>
    <m/>
    <n v="0"/>
    <n v="0"/>
  </r>
  <r>
    <n v="2020"/>
    <n v="6"/>
    <s v="6/01/2020"/>
    <x v="17"/>
    <s v="Female (F)"/>
    <s v="Other"/>
    <s v="55-64 years"/>
    <n v="139"/>
    <n v="129"/>
    <m/>
    <n v="34"/>
    <m/>
    <n v="0"/>
    <m/>
    <m/>
    <n v="0"/>
    <m/>
    <m/>
    <n v="29"/>
    <m/>
    <m/>
    <m/>
  </r>
  <r>
    <n v="2020"/>
    <n v="6"/>
    <s v="6/01/2020"/>
    <x v="17"/>
    <s v="Female (F)"/>
    <s v="Other"/>
    <s v="65-74 years"/>
    <n v="187"/>
    <n v="182"/>
    <n v="0"/>
    <n v="48"/>
    <m/>
    <m/>
    <m/>
    <n v="17"/>
    <m/>
    <m/>
    <m/>
    <n v="35"/>
    <n v="10"/>
    <n v="17"/>
    <n v="17"/>
  </r>
  <r>
    <n v="2020"/>
    <n v="6"/>
    <s v="6/01/2020"/>
    <x v="17"/>
    <s v="Female (F)"/>
    <s v="Other"/>
    <s v="75-84 years"/>
    <n v="175"/>
    <n v="174"/>
    <m/>
    <n v="31"/>
    <m/>
    <n v="14"/>
    <m/>
    <m/>
    <n v="0"/>
    <m/>
    <m/>
    <n v="36"/>
    <n v="13"/>
    <n v="26"/>
    <n v="25"/>
  </r>
  <r>
    <n v="2020"/>
    <n v="6"/>
    <s v="6/01/2020"/>
    <x v="17"/>
    <s v="Female (F)"/>
    <s v="Other"/>
    <s v="85 years and over"/>
    <n v="159"/>
    <n v="155"/>
    <m/>
    <n v="15"/>
    <m/>
    <n v="15"/>
    <m/>
    <m/>
    <m/>
    <m/>
    <m/>
    <n v="45"/>
    <n v="11"/>
    <n v="12"/>
    <n v="11"/>
  </r>
  <r>
    <n v="2020"/>
    <n v="6"/>
    <s v="6/01/2020"/>
    <x v="17"/>
    <s v="Male (M)"/>
    <s v="Hispanic"/>
    <s v="0-4 years"/>
    <n v="235"/>
    <n v="210"/>
    <m/>
    <m/>
    <n v="0"/>
    <n v="0"/>
    <n v="0"/>
    <n v="0"/>
    <m/>
    <m/>
    <n v="25"/>
    <m/>
    <m/>
    <m/>
    <m/>
  </r>
  <r>
    <n v="2020"/>
    <n v="6"/>
    <s v="6/01/2020"/>
    <x v="17"/>
    <s v="Male (M)"/>
    <s v="Hispanic"/>
    <s v="15-24 years"/>
    <n v="537"/>
    <n v="102"/>
    <n v="0"/>
    <n v="21"/>
    <m/>
    <n v="0"/>
    <m/>
    <m/>
    <m/>
    <m/>
    <n v="29"/>
    <m/>
    <m/>
    <n v="13"/>
    <m/>
  </r>
  <r>
    <n v="2020"/>
    <n v="6"/>
    <s v="6/01/2020"/>
    <x v="17"/>
    <s v="Male (M)"/>
    <s v="Hispanic"/>
    <s v="25-34 years"/>
    <n v="850"/>
    <n v="273"/>
    <m/>
    <n v="25"/>
    <m/>
    <n v="0"/>
    <m/>
    <m/>
    <m/>
    <m/>
    <n v="50"/>
    <n v="33"/>
    <m/>
    <n v="62"/>
    <n v="55"/>
  </r>
  <r>
    <n v="2020"/>
    <n v="6"/>
    <s v="6/01/2020"/>
    <x v="17"/>
    <s v="Male (M)"/>
    <s v="Hispanic"/>
    <s v="35-44 years"/>
    <n v="1079"/>
    <n v="651"/>
    <m/>
    <n v="64"/>
    <n v="22"/>
    <n v="0"/>
    <m/>
    <m/>
    <m/>
    <m/>
    <n v="59"/>
    <n v="91"/>
    <n v="27"/>
    <n v="166"/>
    <n v="155"/>
  </r>
  <r>
    <n v="2020"/>
    <n v="6"/>
    <s v="6/01/2020"/>
    <x v="17"/>
    <s v="Male (M)"/>
    <s v="Hispanic"/>
    <s v="45-54 years"/>
    <n v="1660"/>
    <n v="1341"/>
    <n v="15"/>
    <n v="149"/>
    <n v="65"/>
    <m/>
    <n v="10"/>
    <m/>
    <n v="17"/>
    <n v="18"/>
    <n v="52"/>
    <n v="252"/>
    <n v="42"/>
    <n v="429"/>
    <n v="405"/>
  </r>
  <r>
    <n v="2020"/>
    <n v="6"/>
    <s v="6/01/2020"/>
    <x v="17"/>
    <s v="Male (M)"/>
    <s v="Hispanic"/>
    <s v="5-14 years"/>
    <n v="53"/>
    <n v="29"/>
    <m/>
    <m/>
    <n v="0"/>
    <n v="0"/>
    <n v="0"/>
    <m/>
    <m/>
    <n v="0"/>
    <m/>
    <n v="0"/>
    <m/>
    <m/>
    <n v="0"/>
  </r>
  <r>
    <n v="2020"/>
    <n v="6"/>
    <s v="6/01/2020"/>
    <x v="17"/>
    <s v="Male (M)"/>
    <s v="Hispanic"/>
    <s v="55-64 years"/>
    <n v="2402"/>
    <n v="2212"/>
    <n v="21"/>
    <n v="400"/>
    <n v="115"/>
    <m/>
    <n v="27"/>
    <n v="36"/>
    <n v="24"/>
    <n v="28"/>
    <n v="39"/>
    <n v="403"/>
    <n v="77"/>
    <n v="658"/>
    <n v="618"/>
  </r>
  <r>
    <n v="2020"/>
    <n v="6"/>
    <s v="6/01/2020"/>
    <x v="17"/>
    <s v="Male (M)"/>
    <s v="Hispanic"/>
    <s v="65-74 years"/>
    <n v="2510"/>
    <n v="2428"/>
    <n v="20"/>
    <n v="503"/>
    <n v="134"/>
    <n v="30"/>
    <n v="33"/>
    <n v="44"/>
    <n v="31"/>
    <n v="54"/>
    <n v="14"/>
    <n v="450"/>
    <n v="108"/>
    <n v="662"/>
    <n v="625"/>
  </r>
  <r>
    <n v="2020"/>
    <n v="6"/>
    <s v="6/01/2020"/>
    <x v="17"/>
    <s v="Male (M)"/>
    <s v="Hispanic"/>
    <s v="75-84 years"/>
    <n v="2248"/>
    <n v="2190"/>
    <n v="21"/>
    <n v="390"/>
    <n v="136"/>
    <n v="73"/>
    <n v="40"/>
    <n v="61"/>
    <n v="43"/>
    <n v="42"/>
    <n v="13"/>
    <n v="454"/>
    <n v="109"/>
    <n v="465"/>
    <n v="427"/>
  </r>
  <r>
    <n v="2020"/>
    <n v="6"/>
    <s v="6/01/2020"/>
    <x v="17"/>
    <s v="Male (M)"/>
    <s v="Hispanic"/>
    <s v="85 years and over"/>
    <n v="1878"/>
    <n v="1838"/>
    <n v="18"/>
    <n v="228"/>
    <n v="55"/>
    <n v="138"/>
    <n v="46"/>
    <n v="70"/>
    <n v="23"/>
    <n v="37"/>
    <n v="15"/>
    <n v="452"/>
    <n v="129"/>
    <n v="292"/>
    <n v="276"/>
  </r>
  <r>
    <n v="2020"/>
    <n v="6"/>
    <s v="6/01/2020"/>
    <x v="17"/>
    <s v="Male (M)"/>
    <s v="Non-Hispanic American Indian or Alaska Native"/>
    <s v="0-4 years"/>
    <n v="11"/>
    <m/>
    <n v="0"/>
    <n v="0"/>
    <n v="0"/>
    <n v="0"/>
    <n v="0"/>
    <n v="0"/>
    <n v="0"/>
    <n v="0"/>
    <m/>
    <n v="0"/>
    <n v="0"/>
    <n v="0"/>
    <n v="0"/>
  </r>
  <r>
    <n v="2020"/>
    <n v="6"/>
    <s v="6/01/2020"/>
    <x v="17"/>
    <s v="Male (M)"/>
    <s v="Non-Hispanic American Indian or Alaska Native"/>
    <s v="15-24 years"/>
    <n v="27"/>
    <m/>
    <n v="0"/>
    <m/>
    <n v="0"/>
    <n v="0"/>
    <m/>
    <n v="0"/>
    <n v="0"/>
    <n v="0"/>
    <m/>
    <n v="0"/>
    <n v="0"/>
    <m/>
    <m/>
  </r>
  <r>
    <n v="2020"/>
    <n v="6"/>
    <s v="6/01/2020"/>
    <x v="17"/>
    <s v="Male (M)"/>
    <s v="Non-Hispanic American Indian or Alaska Native"/>
    <s v="25-34 years"/>
    <n v="117"/>
    <n v="48"/>
    <m/>
    <n v="0"/>
    <m/>
    <n v="0"/>
    <n v="0"/>
    <n v="0"/>
    <m/>
    <n v="0"/>
    <n v="14"/>
    <m/>
    <n v="0"/>
    <m/>
    <m/>
  </r>
  <r>
    <n v="2020"/>
    <n v="6"/>
    <s v="6/01/2020"/>
    <x v="17"/>
    <s v="Male (M)"/>
    <s v="Non-Hispanic American Indian or Alaska Native"/>
    <s v="35-44 years"/>
    <n v="119"/>
    <n v="72"/>
    <m/>
    <m/>
    <m/>
    <n v="0"/>
    <m/>
    <n v="0"/>
    <n v="0"/>
    <m/>
    <m/>
    <n v="12"/>
    <m/>
    <n v="17"/>
    <n v="15"/>
  </r>
  <r>
    <n v="2020"/>
    <n v="6"/>
    <s v="6/01/2020"/>
    <x v="17"/>
    <s v="Male (M)"/>
    <s v="Non-Hispanic American Indian or Alaska Native"/>
    <s v="45-54 years"/>
    <n v="157"/>
    <n v="122"/>
    <m/>
    <m/>
    <n v="11"/>
    <n v="0"/>
    <m/>
    <m/>
    <n v="0"/>
    <m/>
    <m/>
    <n v="19"/>
    <m/>
    <n v="28"/>
    <n v="27"/>
  </r>
  <r>
    <n v="2020"/>
    <n v="6"/>
    <s v="6/01/2020"/>
    <x v="17"/>
    <s v="Male (M)"/>
    <s v="Non-Hispanic American Indian or Alaska Native"/>
    <s v="5-14 years"/>
    <m/>
    <m/>
    <n v="0"/>
    <n v="0"/>
    <n v="0"/>
    <n v="0"/>
    <n v="0"/>
    <n v="0"/>
    <n v="0"/>
    <n v="0"/>
    <n v="0"/>
    <m/>
    <n v="0"/>
    <n v="0"/>
    <n v="0"/>
  </r>
  <r>
    <n v="2020"/>
    <n v="6"/>
    <s v="6/01/2020"/>
    <x v="17"/>
    <s v="Male (M)"/>
    <s v="Non-Hispanic American Indian or Alaska Native"/>
    <s v="55-64 years"/>
    <n v="236"/>
    <n v="211"/>
    <m/>
    <n v="23"/>
    <n v="15"/>
    <n v="0"/>
    <m/>
    <m/>
    <m/>
    <m/>
    <m/>
    <n v="39"/>
    <m/>
    <n v="67"/>
    <n v="65"/>
  </r>
  <r>
    <n v="2020"/>
    <n v="6"/>
    <s v="6/01/2020"/>
    <x v="17"/>
    <s v="Male (M)"/>
    <s v="Non-Hispanic American Indian or Alaska Native"/>
    <s v="65-74 years"/>
    <n v="205"/>
    <n v="189"/>
    <m/>
    <n v="37"/>
    <n v="12"/>
    <n v="0"/>
    <m/>
    <m/>
    <m/>
    <m/>
    <m/>
    <n v="32"/>
    <m/>
    <n v="48"/>
    <n v="46"/>
  </r>
  <r>
    <n v="2020"/>
    <n v="6"/>
    <s v="6/01/2020"/>
    <x v="17"/>
    <s v="Male (M)"/>
    <s v="Non-Hispanic American Indian or Alaska Native"/>
    <s v="75-84 years"/>
    <n v="155"/>
    <n v="148"/>
    <m/>
    <n v="28"/>
    <m/>
    <m/>
    <m/>
    <m/>
    <m/>
    <m/>
    <n v="0"/>
    <n v="30"/>
    <m/>
    <n v="35"/>
    <n v="33"/>
  </r>
  <r>
    <n v="2020"/>
    <n v="6"/>
    <s v="6/01/2020"/>
    <x v="17"/>
    <s v="Male (M)"/>
    <s v="Non-Hispanic American Indian or Alaska Native"/>
    <s v="85 years and over"/>
    <n v="76"/>
    <n v="74"/>
    <m/>
    <n v="10"/>
    <m/>
    <m/>
    <m/>
    <m/>
    <n v="0"/>
    <m/>
    <n v="0"/>
    <n v="21"/>
    <m/>
    <n v="13"/>
    <n v="12"/>
  </r>
  <r>
    <n v="2020"/>
    <n v="6"/>
    <s v="6/01/2020"/>
    <x v="17"/>
    <s v="Male (M)"/>
    <s v="Non-Hispanic Asian"/>
    <s v="0-4 years"/>
    <n v="22"/>
    <n v="17"/>
    <n v="0"/>
    <n v="0"/>
    <n v="0"/>
    <n v="0"/>
    <n v="0"/>
    <n v="0"/>
    <n v="0"/>
    <n v="0"/>
    <m/>
    <n v="0"/>
    <n v="0"/>
    <n v="0"/>
    <n v="0"/>
  </r>
  <r>
    <n v="2020"/>
    <n v="6"/>
    <s v="6/01/2020"/>
    <x v="17"/>
    <s v="Male (M)"/>
    <s v="Non-Hispanic Asian"/>
    <s v="15-24 years"/>
    <n v="39"/>
    <n v="12"/>
    <n v="0"/>
    <m/>
    <m/>
    <n v="0"/>
    <n v="0"/>
    <n v="0"/>
    <n v="0"/>
    <n v="0"/>
    <m/>
    <m/>
    <n v="0"/>
    <n v="0"/>
    <n v="0"/>
  </r>
  <r>
    <n v="2020"/>
    <n v="6"/>
    <s v="6/01/2020"/>
    <x v="17"/>
    <s v="Male (M)"/>
    <s v="Non-Hispanic Asian"/>
    <s v="25-34 years"/>
    <n v="82"/>
    <n v="28"/>
    <n v="0"/>
    <m/>
    <m/>
    <n v="0"/>
    <n v="0"/>
    <n v="0"/>
    <m/>
    <n v="0"/>
    <m/>
    <m/>
    <m/>
    <m/>
    <m/>
  </r>
  <r>
    <n v="2020"/>
    <n v="6"/>
    <s v="6/01/2020"/>
    <x v="17"/>
    <s v="Male (M)"/>
    <s v="Non-Hispanic Asian"/>
    <s v="35-44 years"/>
    <n v="142"/>
    <n v="89"/>
    <m/>
    <n v="17"/>
    <m/>
    <n v="0"/>
    <m/>
    <m/>
    <m/>
    <m/>
    <n v="11"/>
    <n v="11"/>
    <m/>
    <n v="10"/>
    <n v="10"/>
  </r>
  <r>
    <n v="2020"/>
    <n v="6"/>
    <s v="6/01/2020"/>
    <x v="17"/>
    <s v="Male (M)"/>
    <s v="Non-Hispanic Asian"/>
    <s v="45-54 years"/>
    <n v="234"/>
    <n v="195"/>
    <m/>
    <n v="47"/>
    <m/>
    <m/>
    <m/>
    <m/>
    <m/>
    <m/>
    <m/>
    <n v="51"/>
    <n v="21"/>
    <n v="20"/>
    <n v="18"/>
  </r>
  <r>
    <n v="2020"/>
    <n v="6"/>
    <s v="6/01/2020"/>
    <x v="17"/>
    <s v="Male (M)"/>
    <s v="Non-Hispanic Asian"/>
    <s v="5-14 years"/>
    <m/>
    <m/>
    <n v="0"/>
    <n v="0"/>
    <n v="0"/>
    <n v="0"/>
    <m/>
    <n v="0"/>
    <n v="0"/>
    <n v="0"/>
    <n v="0"/>
    <n v="0"/>
    <n v="0"/>
    <n v="0"/>
    <n v="0"/>
  </r>
  <r>
    <n v="2020"/>
    <n v="6"/>
    <s v="6/01/2020"/>
    <x v="17"/>
    <s v="Male (M)"/>
    <s v="Non-Hispanic Asian"/>
    <s v="55-64 years"/>
    <n v="441"/>
    <n v="412"/>
    <m/>
    <n v="122"/>
    <n v="29"/>
    <m/>
    <m/>
    <m/>
    <m/>
    <m/>
    <m/>
    <n v="99"/>
    <n v="22"/>
    <n v="52"/>
    <n v="50"/>
  </r>
  <r>
    <n v="2020"/>
    <n v="6"/>
    <s v="6/01/2020"/>
    <x v="17"/>
    <s v="Male (M)"/>
    <s v="Non-Hispanic Asian"/>
    <s v="65-74 years"/>
    <n v="675"/>
    <n v="647"/>
    <m/>
    <n v="164"/>
    <n v="36"/>
    <m/>
    <n v="17"/>
    <n v="13"/>
    <m/>
    <n v="14"/>
    <m/>
    <n v="160"/>
    <n v="28"/>
    <n v="101"/>
    <n v="94"/>
  </r>
  <r>
    <n v="2020"/>
    <n v="6"/>
    <s v="6/01/2020"/>
    <x v="17"/>
    <s v="Male (M)"/>
    <s v="Non-Hispanic Asian"/>
    <s v="75-84 years"/>
    <n v="838"/>
    <n v="802"/>
    <n v="12"/>
    <n v="200"/>
    <n v="41"/>
    <n v="22"/>
    <n v="21"/>
    <n v="23"/>
    <n v="14"/>
    <n v="21"/>
    <n v="10"/>
    <n v="177"/>
    <n v="37"/>
    <n v="102"/>
    <n v="91"/>
  </r>
  <r>
    <n v="2020"/>
    <n v="6"/>
    <s v="6/01/2020"/>
    <x v="17"/>
    <s v="Male (M)"/>
    <s v="Non-Hispanic Asian"/>
    <s v="85 years and over"/>
    <n v="875"/>
    <n v="855"/>
    <m/>
    <n v="129"/>
    <n v="27"/>
    <n v="46"/>
    <n v="27"/>
    <n v="36"/>
    <m/>
    <n v="20"/>
    <m/>
    <n v="208"/>
    <n v="70"/>
    <n v="83"/>
    <n v="76"/>
  </r>
  <r>
    <n v="2020"/>
    <n v="6"/>
    <s v="6/01/2020"/>
    <x v="17"/>
    <s v="Male (M)"/>
    <s v="Non-Hispanic Black"/>
    <s v="0-4 years"/>
    <n v="293"/>
    <n v="249"/>
    <m/>
    <m/>
    <n v="0"/>
    <n v="0"/>
    <n v="0"/>
    <m/>
    <m/>
    <m/>
    <n v="52"/>
    <m/>
    <m/>
    <m/>
    <m/>
  </r>
  <r>
    <n v="2020"/>
    <n v="6"/>
    <s v="6/01/2020"/>
    <x v="17"/>
    <s v="Male (M)"/>
    <s v="Non-Hispanic Black"/>
    <s v="15-24 years"/>
    <n v="713"/>
    <n v="80"/>
    <m/>
    <m/>
    <m/>
    <n v="0"/>
    <n v="0"/>
    <m/>
    <m/>
    <m/>
    <n v="23"/>
    <m/>
    <n v="0"/>
    <m/>
    <m/>
  </r>
  <r>
    <n v="2020"/>
    <n v="6"/>
    <s v="6/01/2020"/>
    <x v="17"/>
    <s v="Male (M)"/>
    <s v="Non-Hispanic Black"/>
    <s v="25-34 years"/>
    <n v="1117"/>
    <n v="331"/>
    <m/>
    <n v="32"/>
    <n v="14"/>
    <n v="0"/>
    <m/>
    <m/>
    <m/>
    <m/>
    <n v="54"/>
    <n v="71"/>
    <m/>
    <n v="25"/>
    <n v="23"/>
  </r>
  <r>
    <n v="2020"/>
    <n v="6"/>
    <s v="6/01/2020"/>
    <x v="17"/>
    <s v="Male (M)"/>
    <s v="Non-Hispanic Black"/>
    <s v="35-44 years"/>
    <n v="1157"/>
    <n v="646"/>
    <n v="11"/>
    <n v="54"/>
    <n v="44"/>
    <n v="0"/>
    <n v="11"/>
    <n v="11"/>
    <n v="13"/>
    <n v="13"/>
    <n v="66"/>
    <n v="182"/>
    <n v="26"/>
    <n v="51"/>
    <n v="45"/>
  </r>
  <r>
    <n v="2020"/>
    <n v="6"/>
    <s v="6/01/2020"/>
    <x v="17"/>
    <s v="Male (M)"/>
    <s v="Non-Hispanic Black"/>
    <s v="45-54 years"/>
    <n v="1922"/>
    <n v="1473"/>
    <n v="23"/>
    <n v="195"/>
    <n v="104"/>
    <m/>
    <n v="20"/>
    <n v="16"/>
    <n v="21"/>
    <n v="43"/>
    <n v="75"/>
    <n v="469"/>
    <n v="66"/>
    <n v="150"/>
    <n v="134"/>
  </r>
  <r>
    <n v="2020"/>
    <n v="6"/>
    <s v="6/01/2020"/>
    <x v="17"/>
    <s v="Male (M)"/>
    <s v="Non-Hispanic Black"/>
    <s v="5-14 years"/>
    <n v="86"/>
    <n v="34"/>
    <n v="0"/>
    <m/>
    <n v="0"/>
    <n v="0"/>
    <n v="0"/>
    <m/>
    <n v="0"/>
    <n v="0"/>
    <m/>
    <m/>
    <m/>
    <n v="0"/>
    <n v="0"/>
  </r>
  <r>
    <n v="2020"/>
    <n v="6"/>
    <s v="6/01/2020"/>
    <x v="17"/>
    <s v="Male (M)"/>
    <s v="Non-Hispanic Black"/>
    <s v="55-64 years"/>
    <n v="3605"/>
    <n v="3170"/>
    <n v="52"/>
    <n v="674"/>
    <n v="171"/>
    <m/>
    <n v="36"/>
    <n v="66"/>
    <n v="38"/>
    <n v="94"/>
    <n v="62"/>
    <n v="934"/>
    <n v="161"/>
    <n v="324"/>
    <n v="288"/>
  </r>
  <r>
    <n v="2020"/>
    <n v="6"/>
    <s v="6/01/2020"/>
    <x v="17"/>
    <s v="Male (M)"/>
    <s v="Non-Hispanic Black"/>
    <s v="65-74 years"/>
    <n v="4180"/>
    <n v="3991"/>
    <n v="90"/>
    <n v="915"/>
    <n v="180"/>
    <n v="28"/>
    <n v="73"/>
    <n v="147"/>
    <n v="45"/>
    <n v="96"/>
    <n v="53"/>
    <n v="1015"/>
    <n v="239"/>
    <n v="504"/>
    <n v="449"/>
  </r>
  <r>
    <n v="2020"/>
    <n v="6"/>
    <s v="6/01/2020"/>
    <x v="17"/>
    <s v="Male (M)"/>
    <s v="Non-Hispanic Black"/>
    <s v="75-84 years"/>
    <n v="3072"/>
    <n v="3000"/>
    <n v="46"/>
    <n v="590"/>
    <n v="138"/>
    <n v="91"/>
    <n v="37"/>
    <n v="101"/>
    <n v="39"/>
    <n v="87"/>
    <n v="24"/>
    <n v="722"/>
    <n v="196"/>
    <n v="429"/>
    <n v="385"/>
  </r>
  <r>
    <n v="2020"/>
    <n v="6"/>
    <s v="6/01/2020"/>
    <x v="17"/>
    <s v="Male (M)"/>
    <s v="Non-Hispanic Black"/>
    <s v="85 years and over"/>
    <n v="1818"/>
    <n v="1787"/>
    <n v="29"/>
    <n v="264"/>
    <n v="56"/>
    <n v="114"/>
    <n v="27"/>
    <n v="57"/>
    <n v="22"/>
    <n v="53"/>
    <n v="18"/>
    <n v="435"/>
    <n v="123"/>
    <n v="204"/>
    <n v="190"/>
  </r>
  <r>
    <n v="2020"/>
    <n v="6"/>
    <s v="6/01/2020"/>
    <x v="17"/>
    <s v="Male (M)"/>
    <s v="Non-Hispanic White"/>
    <s v="0-4 years"/>
    <n v="456"/>
    <n v="387"/>
    <m/>
    <n v="10"/>
    <n v="0"/>
    <n v="0"/>
    <n v="0"/>
    <n v="0"/>
    <m/>
    <n v="0"/>
    <n v="53"/>
    <m/>
    <m/>
    <n v="0"/>
    <n v="0"/>
  </r>
  <r>
    <n v="2020"/>
    <n v="6"/>
    <s v="6/01/2020"/>
    <x v="17"/>
    <s v="Male (M)"/>
    <s v="Non-Hispanic White"/>
    <s v="15-24 years"/>
    <n v="1034"/>
    <n v="218"/>
    <m/>
    <n v="34"/>
    <n v="10"/>
    <n v="0"/>
    <m/>
    <m/>
    <m/>
    <n v="0"/>
    <n v="50"/>
    <n v="18"/>
    <m/>
    <m/>
    <m/>
  </r>
  <r>
    <n v="2020"/>
    <n v="6"/>
    <s v="6/01/2020"/>
    <x v="17"/>
    <s v="Male (M)"/>
    <s v="Non-Hispanic White"/>
    <s v="25-34 years"/>
    <n v="2443"/>
    <n v="737"/>
    <m/>
    <n v="100"/>
    <n v="23"/>
    <n v="0"/>
    <n v="11"/>
    <m/>
    <m/>
    <m/>
    <n v="161"/>
    <n v="125"/>
    <n v="23"/>
    <n v="15"/>
    <n v="14"/>
  </r>
  <r>
    <n v="2020"/>
    <n v="6"/>
    <s v="6/01/2020"/>
    <x v="17"/>
    <s v="Male (M)"/>
    <s v="Non-Hispanic White"/>
    <s v="35-44 years"/>
    <n v="3074"/>
    <n v="1444"/>
    <n v="24"/>
    <n v="206"/>
    <n v="53"/>
    <n v="0"/>
    <n v="16"/>
    <n v="18"/>
    <n v="14"/>
    <n v="15"/>
    <n v="153"/>
    <n v="368"/>
    <n v="35"/>
    <n v="33"/>
    <n v="29"/>
  </r>
  <r>
    <n v="2020"/>
    <n v="6"/>
    <s v="6/01/2020"/>
    <x v="17"/>
    <s v="Male (M)"/>
    <s v="Non-Hispanic White"/>
    <s v="45-54 years"/>
    <n v="5760"/>
    <n v="4179"/>
    <n v="61"/>
    <n v="884"/>
    <n v="187"/>
    <m/>
    <n v="38"/>
    <n v="96"/>
    <n v="43"/>
    <n v="49"/>
    <n v="178"/>
    <n v="1239"/>
    <n v="120"/>
    <n v="114"/>
    <n v="101"/>
  </r>
  <r>
    <n v="2020"/>
    <n v="6"/>
    <s v="6/01/2020"/>
    <x v="17"/>
    <s v="Male (M)"/>
    <s v="Non-Hispanic White"/>
    <s v="5-14 years"/>
    <n v="141"/>
    <n v="66"/>
    <m/>
    <n v="23"/>
    <m/>
    <n v="0"/>
    <n v="0"/>
    <n v="0"/>
    <m/>
    <n v="0"/>
    <m/>
    <m/>
    <m/>
    <n v="0"/>
    <n v="0"/>
  </r>
  <r>
    <n v="2020"/>
    <n v="6"/>
    <s v="6/01/2020"/>
    <x v="17"/>
    <s v="Male (M)"/>
    <s v="Non-Hispanic White"/>
    <s v="55-64 years"/>
    <n v="13934"/>
    <n v="12249"/>
    <n v="167"/>
    <n v="3488"/>
    <n v="484"/>
    <n v="26"/>
    <n v="119"/>
    <n v="577"/>
    <n v="146"/>
    <n v="154"/>
    <n v="215"/>
    <n v="3430"/>
    <n v="384"/>
    <n v="399"/>
    <n v="329"/>
  </r>
  <r>
    <n v="2020"/>
    <n v="6"/>
    <s v="6/01/2020"/>
    <x v="17"/>
    <s v="Male (M)"/>
    <s v="Non-Hispanic White"/>
    <s v="65-74 years"/>
    <n v="20868"/>
    <n v="19643"/>
    <n v="256"/>
    <n v="6014"/>
    <n v="826"/>
    <n v="203"/>
    <n v="221"/>
    <n v="1265"/>
    <n v="332"/>
    <n v="282"/>
    <n v="206"/>
    <n v="4891"/>
    <n v="704"/>
    <n v="936"/>
    <n v="820"/>
  </r>
  <r>
    <n v="2020"/>
    <n v="6"/>
    <s v="6/01/2020"/>
    <x v="17"/>
    <s v="Male (M)"/>
    <s v="Non-Hispanic White"/>
    <s v="75-84 years"/>
    <n v="23956"/>
    <n v="22963"/>
    <n v="300"/>
    <n v="5839"/>
    <n v="696"/>
    <n v="878"/>
    <n v="343"/>
    <n v="1485"/>
    <n v="431"/>
    <n v="450"/>
    <n v="177"/>
    <n v="5600"/>
    <n v="1160"/>
    <n v="1262"/>
    <n v="1105"/>
  </r>
  <r>
    <n v="2020"/>
    <n v="6"/>
    <s v="6/01/2020"/>
    <x v="17"/>
    <s v="Male (M)"/>
    <s v="Non-Hispanic White"/>
    <s v="85 years and over"/>
    <n v="22788"/>
    <n v="21932"/>
    <n v="240"/>
    <n v="3167"/>
    <n v="477"/>
    <n v="1432"/>
    <n v="384"/>
    <n v="1017"/>
    <n v="328"/>
    <n v="446"/>
    <n v="221"/>
    <n v="6618"/>
    <n v="1332"/>
    <n v="1430"/>
    <n v="1232"/>
  </r>
  <r>
    <n v="2020"/>
    <n v="6"/>
    <s v="6/01/2020"/>
    <x v="17"/>
    <s v="Male (M)"/>
    <s v="Other"/>
    <s v="0-4 years"/>
    <n v="58"/>
    <n v="50"/>
    <n v="0"/>
    <m/>
    <n v="0"/>
    <n v="0"/>
    <n v="0"/>
    <n v="0"/>
    <n v="0"/>
    <n v="0"/>
    <m/>
    <n v="0"/>
    <n v="0"/>
    <m/>
    <m/>
  </r>
  <r>
    <n v="2020"/>
    <n v="6"/>
    <s v="6/01/2020"/>
    <x v="17"/>
    <s v="Male (M)"/>
    <s v="Other"/>
    <s v="15-24 years"/>
    <n v="51"/>
    <m/>
    <n v="0"/>
    <m/>
    <n v="0"/>
    <n v="0"/>
    <n v="0"/>
    <n v="0"/>
    <n v="0"/>
    <n v="0"/>
    <m/>
    <m/>
    <n v="0"/>
    <n v="0"/>
    <n v="0"/>
  </r>
  <r>
    <n v="2020"/>
    <n v="6"/>
    <s v="6/01/2020"/>
    <x v="17"/>
    <s v="Male (M)"/>
    <s v="Other"/>
    <s v="25-34 years"/>
    <n v="84"/>
    <n v="32"/>
    <n v="0"/>
    <m/>
    <m/>
    <n v="0"/>
    <n v="0"/>
    <n v="0"/>
    <m/>
    <n v="0"/>
    <n v="10"/>
    <m/>
    <m/>
    <m/>
    <m/>
  </r>
  <r>
    <n v="2020"/>
    <n v="6"/>
    <s v="6/01/2020"/>
    <x v="17"/>
    <s v="Male (M)"/>
    <s v="Other"/>
    <s v="35-44 years"/>
    <n v="60"/>
    <n v="29"/>
    <n v="0"/>
    <m/>
    <m/>
    <n v="0"/>
    <n v="0"/>
    <n v="0"/>
    <n v="0"/>
    <m/>
    <m/>
    <m/>
    <m/>
    <m/>
    <m/>
  </r>
  <r>
    <n v="2020"/>
    <n v="6"/>
    <s v="6/01/2020"/>
    <x v="17"/>
    <s v="Male (M)"/>
    <s v="Other"/>
    <s v="45-54 years"/>
    <n v="153"/>
    <n v="124"/>
    <n v="0"/>
    <n v="20"/>
    <m/>
    <n v="0"/>
    <n v="0"/>
    <m/>
    <m/>
    <n v="0"/>
    <m/>
    <n v="37"/>
    <m/>
    <n v="13"/>
    <n v="12"/>
  </r>
  <r>
    <n v="2020"/>
    <n v="6"/>
    <s v="6/01/2020"/>
    <x v="17"/>
    <s v="Male (M)"/>
    <s v="Other"/>
    <s v="5-14 years"/>
    <m/>
    <m/>
    <n v="0"/>
    <m/>
    <n v="0"/>
    <n v="0"/>
    <m/>
    <n v="0"/>
    <n v="0"/>
    <n v="0"/>
    <n v="0"/>
    <n v="0"/>
    <m/>
    <n v="0"/>
    <n v="0"/>
  </r>
  <r>
    <n v="2020"/>
    <n v="6"/>
    <s v="6/01/2020"/>
    <x v="17"/>
    <s v="Male (M)"/>
    <s v="Other"/>
    <s v="55-64 years"/>
    <n v="283"/>
    <n v="240"/>
    <m/>
    <n v="43"/>
    <m/>
    <n v="0"/>
    <m/>
    <m/>
    <m/>
    <m/>
    <n v="15"/>
    <n v="76"/>
    <n v="12"/>
    <n v="20"/>
    <n v="18"/>
  </r>
  <r>
    <n v="2020"/>
    <n v="6"/>
    <s v="6/01/2020"/>
    <x v="17"/>
    <s v="Male (M)"/>
    <s v="Other"/>
    <s v="65-74 years"/>
    <n v="265"/>
    <n v="251"/>
    <m/>
    <n v="49"/>
    <m/>
    <n v="0"/>
    <m/>
    <n v="14"/>
    <m/>
    <m/>
    <m/>
    <n v="71"/>
    <m/>
    <n v="32"/>
    <n v="31"/>
  </r>
  <r>
    <n v="2020"/>
    <n v="6"/>
    <s v="6/01/2020"/>
    <x v="17"/>
    <s v="Male (M)"/>
    <s v="Other"/>
    <s v="75-84 years"/>
    <n v="189"/>
    <n v="182"/>
    <m/>
    <n v="43"/>
    <m/>
    <m/>
    <n v="0"/>
    <m/>
    <m/>
    <m/>
    <m/>
    <n v="53"/>
    <n v="14"/>
    <n v="16"/>
    <n v="16"/>
  </r>
  <r>
    <n v="2020"/>
    <n v="6"/>
    <s v="6/01/2020"/>
    <x v="17"/>
    <s v="Male (M)"/>
    <s v="Other"/>
    <s v="85 years and over"/>
    <n v="113"/>
    <n v="108"/>
    <n v="0"/>
    <n v="10"/>
    <m/>
    <m/>
    <m/>
    <m/>
    <n v="0"/>
    <m/>
    <m/>
    <n v="34"/>
    <m/>
    <n v="12"/>
    <n v="11"/>
  </r>
  <r>
    <n v="2020"/>
    <n v="7"/>
    <s v="7/01/2020"/>
    <x v="18"/>
    <s v="Female (F)"/>
    <s v="Hispanic"/>
    <s v="0-4 years"/>
    <n v="197"/>
    <n v="177"/>
    <m/>
    <m/>
    <n v="0"/>
    <n v="0"/>
    <m/>
    <n v="0"/>
    <m/>
    <n v="0"/>
    <n v="18"/>
    <m/>
    <m/>
    <n v="0"/>
    <n v="0"/>
  </r>
  <r>
    <n v="2020"/>
    <n v="7"/>
    <s v="7/01/2020"/>
    <x v="18"/>
    <s v="Female (F)"/>
    <s v="Hispanic"/>
    <s v="15-24 years"/>
    <n v="183"/>
    <n v="84"/>
    <n v="0"/>
    <n v="10"/>
    <m/>
    <n v="0"/>
    <n v="0"/>
    <m/>
    <m/>
    <n v="0"/>
    <n v="15"/>
    <m/>
    <m/>
    <n v="22"/>
    <n v="22"/>
  </r>
  <r>
    <n v="2020"/>
    <n v="7"/>
    <s v="7/01/2020"/>
    <x v="18"/>
    <s v="Female (F)"/>
    <s v="Hispanic"/>
    <s v="25-34 years"/>
    <n v="281"/>
    <n v="171"/>
    <m/>
    <n v="25"/>
    <n v="10"/>
    <n v="0"/>
    <m/>
    <m/>
    <n v="0"/>
    <m/>
    <n v="14"/>
    <n v="13"/>
    <m/>
    <n v="52"/>
    <n v="48"/>
  </r>
  <r>
    <n v="2020"/>
    <n v="7"/>
    <s v="7/01/2020"/>
    <x v="18"/>
    <s v="Female (F)"/>
    <s v="Hispanic"/>
    <s v="35-44 years"/>
    <n v="501"/>
    <n v="418"/>
    <m/>
    <n v="84"/>
    <n v="22"/>
    <n v="0"/>
    <m/>
    <m/>
    <m/>
    <m/>
    <n v="16"/>
    <n v="37"/>
    <m/>
    <n v="137"/>
    <n v="130"/>
  </r>
  <r>
    <n v="2020"/>
    <n v="7"/>
    <s v="7/01/2020"/>
    <x v="18"/>
    <s v="Female (F)"/>
    <s v="Hispanic"/>
    <s v="45-54 years"/>
    <n v="915"/>
    <n v="841"/>
    <m/>
    <n v="205"/>
    <n v="32"/>
    <n v="0"/>
    <m/>
    <m/>
    <m/>
    <n v="14"/>
    <n v="23"/>
    <n v="71"/>
    <n v="26"/>
    <n v="303"/>
    <n v="292"/>
  </r>
  <r>
    <n v="2020"/>
    <n v="7"/>
    <s v="7/01/2020"/>
    <x v="18"/>
    <s v="Female (F)"/>
    <s v="Hispanic"/>
    <s v="5-14 years"/>
    <n v="50"/>
    <n v="24"/>
    <n v="0"/>
    <n v="10"/>
    <n v="0"/>
    <n v="0"/>
    <n v="0"/>
    <n v="0"/>
    <n v="0"/>
    <n v="0"/>
    <m/>
    <m/>
    <n v="0"/>
    <m/>
    <m/>
  </r>
  <r>
    <n v="2020"/>
    <n v="7"/>
    <s v="7/01/2020"/>
    <x v="18"/>
    <s v="Female (F)"/>
    <s v="Hispanic"/>
    <s v="55-64 years"/>
    <n v="1648"/>
    <n v="1592"/>
    <n v="21"/>
    <n v="347"/>
    <n v="94"/>
    <m/>
    <n v="17"/>
    <n v="22"/>
    <n v="19"/>
    <n v="18"/>
    <n v="23"/>
    <n v="179"/>
    <n v="48"/>
    <n v="619"/>
    <n v="596"/>
  </r>
  <r>
    <n v="2020"/>
    <n v="7"/>
    <s v="7/01/2020"/>
    <x v="18"/>
    <s v="Female (F)"/>
    <s v="Hispanic"/>
    <s v="65-74 years"/>
    <n v="2333"/>
    <n v="2287"/>
    <n v="32"/>
    <n v="444"/>
    <n v="124"/>
    <n v="29"/>
    <n v="25"/>
    <n v="33"/>
    <n v="31"/>
    <n v="42"/>
    <n v="17"/>
    <n v="291"/>
    <n v="77"/>
    <n v="877"/>
    <n v="828"/>
  </r>
  <r>
    <n v="2020"/>
    <n v="7"/>
    <s v="7/01/2020"/>
    <x v="18"/>
    <s v="Female (F)"/>
    <s v="Hispanic"/>
    <s v="75-84 years"/>
    <n v="2878"/>
    <n v="2833"/>
    <n v="25"/>
    <n v="398"/>
    <n v="150"/>
    <n v="162"/>
    <n v="48"/>
    <n v="58"/>
    <n v="44"/>
    <n v="45"/>
    <n v="20"/>
    <n v="455"/>
    <n v="155"/>
    <n v="901"/>
    <n v="849"/>
  </r>
  <r>
    <n v="2020"/>
    <n v="7"/>
    <s v="7/01/2020"/>
    <x v="18"/>
    <s v="Female (F)"/>
    <s v="Hispanic"/>
    <s v="85 years and over"/>
    <n v="3640"/>
    <n v="3587"/>
    <n v="19"/>
    <n v="269"/>
    <n v="122"/>
    <n v="427"/>
    <n v="44"/>
    <n v="83"/>
    <n v="32"/>
    <n v="36"/>
    <n v="31"/>
    <n v="734"/>
    <n v="288"/>
    <n v="859"/>
    <n v="786"/>
  </r>
  <r>
    <n v="2020"/>
    <n v="7"/>
    <s v="7/01/2020"/>
    <x v="18"/>
    <s v="Female (F)"/>
    <s v="Non-Hispanic American Indian or Alaska Native"/>
    <s v="0-4 years"/>
    <n v="12"/>
    <m/>
    <m/>
    <n v="0"/>
    <n v="0"/>
    <n v="0"/>
    <n v="0"/>
    <n v="0"/>
    <n v="0"/>
    <n v="0"/>
    <m/>
    <n v="0"/>
    <n v="0"/>
    <n v="0"/>
    <n v="0"/>
  </r>
  <r>
    <n v="2020"/>
    <n v="7"/>
    <s v="7/01/2020"/>
    <x v="18"/>
    <s v="Female (F)"/>
    <s v="Non-Hispanic American Indian or Alaska Native"/>
    <s v="15-24 years"/>
    <n v="17"/>
    <m/>
    <n v="0"/>
    <m/>
    <n v="0"/>
    <n v="0"/>
    <n v="0"/>
    <n v="0"/>
    <n v="0"/>
    <n v="0"/>
    <m/>
    <n v="0"/>
    <n v="0"/>
    <n v="0"/>
    <n v="0"/>
  </r>
  <r>
    <n v="2020"/>
    <n v="7"/>
    <s v="7/01/2020"/>
    <x v="18"/>
    <s v="Female (F)"/>
    <s v="Non-Hispanic American Indian or Alaska Native"/>
    <s v="25-34 years"/>
    <n v="66"/>
    <n v="49"/>
    <n v="0"/>
    <m/>
    <n v="0"/>
    <n v="0"/>
    <n v="0"/>
    <m/>
    <n v="0"/>
    <n v="0"/>
    <m/>
    <m/>
    <m/>
    <n v="12"/>
    <n v="11"/>
  </r>
  <r>
    <n v="2020"/>
    <n v="7"/>
    <s v="7/01/2020"/>
    <x v="18"/>
    <s v="Female (F)"/>
    <s v="Non-Hispanic American Indian or Alaska Native"/>
    <s v="35-44 years"/>
    <n v="80"/>
    <n v="56"/>
    <n v="0"/>
    <m/>
    <n v="0"/>
    <n v="0"/>
    <n v="0"/>
    <m/>
    <n v="0"/>
    <n v="0"/>
    <m/>
    <m/>
    <n v="0"/>
    <n v="14"/>
    <n v="12"/>
  </r>
  <r>
    <n v="2020"/>
    <n v="7"/>
    <s v="7/01/2020"/>
    <x v="18"/>
    <s v="Female (F)"/>
    <s v="Non-Hispanic American Indian or Alaska Native"/>
    <s v="45-54 years"/>
    <n v="98"/>
    <n v="84"/>
    <m/>
    <n v="12"/>
    <m/>
    <n v="0"/>
    <m/>
    <m/>
    <m/>
    <m/>
    <m/>
    <m/>
    <m/>
    <n v="18"/>
    <n v="18"/>
  </r>
  <r>
    <n v="2020"/>
    <n v="7"/>
    <s v="7/01/2020"/>
    <x v="18"/>
    <s v="Female (F)"/>
    <s v="Non-Hispanic American Indian or Alaska Native"/>
    <s v="5-14 years"/>
    <m/>
    <n v="0"/>
    <n v="0"/>
    <n v="0"/>
    <n v="0"/>
    <n v="0"/>
    <n v="0"/>
    <n v="0"/>
    <n v="0"/>
    <n v="0"/>
    <n v="0"/>
    <n v="0"/>
    <n v="0"/>
    <n v="0"/>
    <n v="0"/>
  </r>
  <r>
    <n v="2020"/>
    <n v="7"/>
    <s v="7/01/2020"/>
    <x v="18"/>
    <s v="Female (F)"/>
    <s v="Non-Hispanic American Indian or Alaska Native"/>
    <s v="55-64 years"/>
    <n v="198"/>
    <n v="186"/>
    <m/>
    <n v="31"/>
    <m/>
    <n v="0"/>
    <m/>
    <n v="12"/>
    <m/>
    <m/>
    <m/>
    <n v="18"/>
    <m/>
    <n v="43"/>
    <n v="41"/>
  </r>
  <r>
    <n v="2020"/>
    <n v="7"/>
    <s v="7/01/2020"/>
    <x v="18"/>
    <s v="Female (F)"/>
    <s v="Non-Hispanic American Indian or Alaska Native"/>
    <s v="65-74 years"/>
    <n v="195"/>
    <n v="189"/>
    <m/>
    <n v="31"/>
    <n v="25"/>
    <m/>
    <m/>
    <n v="10"/>
    <m/>
    <m/>
    <m/>
    <n v="20"/>
    <m/>
    <n v="53"/>
    <n v="50"/>
  </r>
  <r>
    <n v="2020"/>
    <n v="7"/>
    <s v="7/01/2020"/>
    <x v="18"/>
    <s v="Female (F)"/>
    <s v="Non-Hispanic American Indian or Alaska Native"/>
    <s v="75-84 years"/>
    <n v="169"/>
    <n v="166"/>
    <m/>
    <n v="35"/>
    <m/>
    <m/>
    <m/>
    <m/>
    <m/>
    <m/>
    <n v="0"/>
    <n v="23"/>
    <n v="10"/>
    <n v="38"/>
    <n v="35"/>
  </r>
  <r>
    <n v="2020"/>
    <n v="7"/>
    <s v="7/01/2020"/>
    <x v="18"/>
    <s v="Female (F)"/>
    <s v="Non-Hispanic American Indian or Alaska Native"/>
    <s v="85 years and over"/>
    <n v="134"/>
    <n v="133"/>
    <m/>
    <m/>
    <m/>
    <n v="12"/>
    <m/>
    <m/>
    <m/>
    <m/>
    <m/>
    <n v="29"/>
    <m/>
    <n v="29"/>
    <n v="26"/>
  </r>
  <r>
    <n v="2020"/>
    <n v="7"/>
    <s v="7/01/2020"/>
    <x v="18"/>
    <s v="Female (F)"/>
    <s v="Non-Hispanic Asian"/>
    <s v="0-4 years"/>
    <n v="18"/>
    <n v="18"/>
    <n v="0"/>
    <n v="0"/>
    <n v="0"/>
    <n v="0"/>
    <n v="0"/>
    <n v="0"/>
    <m/>
    <n v="0"/>
    <m/>
    <n v="0"/>
    <n v="0"/>
    <n v="0"/>
    <n v="0"/>
  </r>
  <r>
    <n v="2020"/>
    <n v="7"/>
    <s v="7/01/2020"/>
    <x v="18"/>
    <s v="Female (F)"/>
    <s v="Non-Hispanic Asian"/>
    <s v="15-24 years"/>
    <n v="29"/>
    <n v="11"/>
    <n v="0"/>
    <m/>
    <n v="0"/>
    <n v="0"/>
    <n v="0"/>
    <n v="0"/>
    <n v="0"/>
    <n v="0"/>
    <m/>
    <m/>
    <m/>
    <m/>
    <m/>
  </r>
  <r>
    <n v="2020"/>
    <n v="7"/>
    <s v="7/01/2020"/>
    <x v="18"/>
    <s v="Female (F)"/>
    <s v="Non-Hispanic Asian"/>
    <s v="25-34 years"/>
    <n v="47"/>
    <n v="27"/>
    <n v="0"/>
    <m/>
    <n v="0"/>
    <n v="0"/>
    <n v="0"/>
    <m/>
    <m/>
    <n v="0"/>
    <m/>
    <m/>
    <m/>
    <m/>
    <m/>
  </r>
  <r>
    <n v="2020"/>
    <n v="7"/>
    <s v="7/01/2020"/>
    <x v="18"/>
    <s v="Female (F)"/>
    <s v="Non-Hispanic Asian"/>
    <s v="35-44 years"/>
    <n v="65"/>
    <n v="54"/>
    <n v="0"/>
    <n v="23"/>
    <m/>
    <n v="0"/>
    <n v="0"/>
    <m/>
    <m/>
    <m/>
    <m/>
    <m/>
    <m/>
    <m/>
    <m/>
  </r>
  <r>
    <n v="2020"/>
    <n v="7"/>
    <s v="7/01/2020"/>
    <x v="18"/>
    <s v="Female (F)"/>
    <s v="Non-Hispanic Asian"/>
    <s v="45-54 years"/>
    <n v="144"/>
    <n v="130"/>
    <n v="0"/>
    <n v="69"/>
    <m/>
    <n v="0"/>
    <n v="0"/>
    <m/>
    <n v="0"/>
    <m/>
    <m/>
    <m/>
    <n v="11"/>
    <n v="13"/>
    <n v="13"/>
  </r>
  <r>
    <n v="2020"/>
    <n v="7"/>
    <s v="7/01/2020"/>
    <x v="18"/>
    <s v="Female (F)"/>
    <s v="Non-Hispanic Asian"/>
    <s v="5-14 years"/>
    <m/>
    <m/>
    <n v="0"/>
    <m/>
    <n v="0"/>
    <n v="0"/>
    <n v="0"/>
    <n v="0"/>
    <n v="0"/>
    <n v="0"/>
    <n v="0"/>
    <m/>
    <n v="0"/>
    <n v="0"/>
    <n v="0"/>
  </r>
  <r>
    <n v="2020"/>
    <n v="7"/>
    <s v="7/01/2020"/>
    <x v="18"/>
    <s v="Female (F)"/>
    <s v="Non-Hispanic Asian"/>
    <s v="55-64 years"/>
    <n v="264"/>
    <n v="251"/>
    <m/>
    <n v="126"/>
    <n v="10"/>
    <m/>
    <m/>
    <m/>
    <m/>
    <m/>
    <m/>
    <n v="24"/>
    <n v="13"/>
    <n v="30"/>
    <n v="29"/>
  </r>
  <r>
    <n v="2020"/>
    <n v="7"/>
    <s v="7/01/2020"/>
    <x v="18"/>
    <s v="Female (F)"/>
    <s v="Non-Hispanic Asian"/>
    <s v="65-74 years"/>
    <n v="545"/>
    <n v="529"/>
    <n v="13"/>
    <n v="201"/>
    <n v="25"/>
    <m/>
    <m/>
    <m/>
    <m/>
    <m/>
    <m/>
    <n v="73"/>
    <n v="36"/>
    <n v="79"/>
    <n v="73"/>
  </r>
  <r>
    <n v="2020"/>
    <n v="7"/>
    <s v="7/01/2020"/>
    <x v="18"/>
    <s v="Female (F)"/>
    <s v="Non-Hispanic Asian"/>
    <s v="75-84 years"/>
    <n v="789"/>
    <n v="762"/>
    <m/>
    <n v="185"/>
    <n v="30"/>
    <n v="28"/>
    <n v="17"/>
    <n v="20"/>
    <n v="11"/>
    <n v="19"/>
    <m/>
    <n v="160"/>
    <n v="51"/>
    <n v="77"/>
    <n v="66"/>
  </r>
  <r>
    <n v="2020"/>
    <n v="7"/>
    <s v="7/01/2020"/>
    <x v="18"/>
    <s v="Female (F)"/>
    <s v="Non-Hispanic Asian"/>
    <s v="85 years and over"/>
    <n v="1382"/>
    <n v="1345"/>
    <n v="11"/>
    <n v="129"/>
    <n v="50"/>
    <n v="134"/>
    <n v="25"/>
    <n v="27"/>
    <m/>
    <n v="25"/>
    <n v="18"/>
    <n v="304"/>
    <n v="152"/>
    <n v="157"/>
    <n v="143"/>
  </r>
  <r>
    <n v="2020"/>
    <n v="7"/>
    <s v="7/01/2020"/>
    <x v="18"/>
    <s v="Female (F)"/>
    <s v="Non-Hispanic Black"/>
    <s v="0-4 years"/>
    <n v="240"/>
    <n v="213"/>
    <m/>
    <m/>
    <n v="0"/>
    <n v="0"/>
    <n v="0"/>
    <n v="0"/>
    <m/>
    <n v="0"/>
    <n v="39"/>
    <m/>
    <m/>
    <m/>
    <n v="0"/>
  </r>
  <r>
    <n v="2020"/>
    <n v="7"/>
    <s v="7/01/2020"/>
    <x v="18"/>
    <s v="Female (F)"/>
    <s v="Non-Hispanic Black"/>
    <s v="15-24 years"/>
    <n v="221"/>
    <n v="78"/>
    <m/>
    <m/>
    <m/>
    <n v="0"/>
    <m/>
    <m/>
    <n v="0"/>
    <m/>
    <n v="18"/>
    <m/>
    <m/>
    <n v="11"/>
    <m/>
  </r>
  <r>
    <n v="2020"/>
    <n v="7"/>
    <s v="7/01/2020"/>
    <x v="18"/>
    <s v="Female (F)"/>
    <s v="Non-Hispanic Black"/>
    <s v="25-34 years"/>
    <n v="468"/>
    <n v="259"/>
    <m/>
    <n v="33"/>
    <n v="13"/>
    <n v="0"/>
    <m/>
    <m/>
    <m/>
    <m/>
    <n v="34"/>
    <n v="46"/>
    <m/>
    <n v="31"/>
    <n v="29"/>
  </r>
  <r>
    <n v="2020"/>
    <n v="7"/>
    <s v="7/01/2020"/>
    <x v="18"/>
    <s v="Female (F)"/>
    <s v="Non-Hispanic Black"/>
    <s v="35-44 years"/>
    <n v="767"/>
    <n v="619"/>
    <n v="11"/>
    <n v="107"/>
    <n v="33"/>
    <n v="0"/>
    <m/>
    <n v="13"/>
    <n v="11"/>
    <n v="21"/>
    <n v="36"/>
    <n v="112"/>
    <n v="23"/>
    <n v="101"/>
    <n v="86"/>
  </r>
  <r>
    <n v="2020"/>
    <n v="7"/>
    <s v="7/01/2020"/>
    <x v="18"/>
    <s v="Female (F)"/>
    <s v="Non-Hispanic Black"/>
    <s v="45-54 years"/>
    <n v="1385"/>
    <n v="1246"/>
    <n v="23"/>
    <n v="269"/>
    <n v="63"/>
    <m/>
    <n v="13"/>
    <n v="25"/>
    <n v="15"/>
    <n v="28"/>
    <n v="48"/>
    <n v="271"/>
    <n v="60"/>
    <n v="204"/>
    <n v="197"/>
  </r>
  <r>
    <n v="2020"/>
    <n v="7"/>
    <s v="7/01/2020"/>
    <x v="18"/>
    <s v="Female (F)"/>
    <s v="Non-Hispanic Black"/>
    <s v="5-14 years"/>
    <n v="58"/>
    <n v="27"/>
    <n v="0"/>
    <m/>
    <m/>
    <n v="0"/>
    <n v="0"/>
    <m/>
    <n v="0"/>
    <n v="0"/>
    <m/>
    <m/>
    <m/>
    <m/>
    <m/>
  </r>
  <r>
    <n v="2020"/>
    <n v="7"/>
    <s v="7/01/2020"/>
    <x v="18"/>
    <s v="Female (F)"/>
    <s v="Non-Hispanic Black"/>
    <s v="55-64 years"/>
    <n v="2901"/>
    <n v="2791"/>
    <n v="51"/>
    <n v="693"/>
    <n v="166"/>
    <m/>
    <n v="39"/>
    <n v="91"/>
    <n v="36"/>
    <n v="87"/>
    <n v="48"/>
    <n v="549"/>
    <n v="133"/>
    <n v="443"/>
    <n v="407"/>
  </r>
  <r>
    <n v="2020"/>
    <n v="7"/>
    <s v="7/01/2020"/>
    <x v="18"/>
    <s v="Female (F)"/>
    <s v="Non-Hispanic Black"/>
    <s v="65-74 years"/>
    <n v="3825"/>
    <n v="3739"/>
    <n v="77"/>
    <n v="893"/>
    <n v="199"/>
    <n v="43"/>
    <n v="58"/>
    <n v="121"/>
    <n v="45"/>
    <n v="102"/>
    <n v="40"/>
    <n v="762"/>
    <n v="206"/>
    <n v="660"/>
    <n v="604"/>
  </r>
  <r>
    <n v="2020"/>
    <n v="7"/>
    <s v="7/01/2020"/>
    <x v="18"/>
    <s v="Female (F)"/>
    <s v="Non-Hispanic Black"/>
    <s v="75-84 years"/>
    <n v="3766"/>
    <n v="3726"/>
    <n v="65"/>
    <n v="610"/>
    <n v="169"/>
    <n v="173"/>
    <n v="51"/>
    <n v="133"/>
    <n v="40"/>
    <n v="121"/>
    <n v="26"/>
    <n v="774"/>
    <n v="257"/>
    <n v="627"/>
    <n v="569"/>
  </r>
  <r>
    <n v="2020"/>
    <n v="7"/>
    <s v="7/01/2020"/>
    <x v="18"/>
    <s v="Female (F)"/>
    <s v="Non-Hispanic Black"/>
    <s v="85 years and over"/>
    <n v="4196"/>
    <n v="4147"/>
    <n v="64"/>
    <n v="371"/>
    <n v="137"/>
    <n v="411"/>
    <n v="63"/>
    <n v="78"/>
    <n v="43"/>
    <n v="91"/>
    <n v="53"/>
    <n v="973"/>
    <n v="333"/>
    <n v="578"/>
    <n v="504"/>
  </r>
  <r>
    <n v="2020"/>
    <n v="7"/>
    <s v="7/01/2020"/>
    <x v="18"/>
    <s v="Female (F)"/>
    <s v="Non-Hispanic White"/>
    <s v="0-4 years"/>
    <n v="338"/>
    <n v="270"/>
    <m/>
    <m/>
    <n v="0"/>
    <n v="0"/>
    <m/>
    <n v="0"/>
    <m/>
    <n v="0"/>
    <n v="38"/>
    <m/>
    <m/>
    <n v="0"/>
    <n v="0"/>
  </r>
  <r>
    <n v="2020"/>
    <n v="7"/>
    <s v="7/01/2020"/>
    <x v="18"/>
    <s v="Female (F)"/>
    <s v="Non-Hispanic White"/>
    <s v="15-24 years"/>
    <n v="393"/>
    <n v="126"/>
    <n v="0"/>
    <n v="15"/>
    <m/>
    <n v="0"/>
    <n v="0"/>
    <m/>
    <n v="0"/>
    <m/>
    <n v="27"/>
    <n v="21"/>
    <m/>
    <m/>
    <m/>
  </r>
  <r>
    <n v="2020"/>
    <n v="7"/>
    <s v="7/01/2020"/>
    <x v="18"/>
    <s v="Female (F)"/>
    <s v="Non-Hispanic White"/>
    <s v="25-34 years"/>
    <n v="1095"/>
    <n v="521"/>
    <n v="19"/>
    <n v="81"/>
    <n v="15"/>
    <n v="0"/>
    <m/>
    <m/>
    <m/>
    <m/>
    <n v="92"/>
    <n v="69"/>
    <n v="10"/>
    <n v="21"/>
    <n v="16"/>
  </r>
  <r>
    <n v="2020"/>
    <n v="7"/>
    <s v="7/01/2020"/>
    <x v="18"/>
    <s v="Female (F)"/>
    <s v="Non-Hispanic White"/>
    <s v="35-44 years"/>
    <n v="1788"/>
    <n v="1118"/>
    <n v="18"/>
    <n v="279"/>
    <n v="47"/>
    <n v="0"/>
    <n v="14"/>
    <n v="16"/>
    <n v="12"/>
    <n v="14"/>
    <n v="108"/>
    <n v="191"/>
    <n v="28"/>
    <n v="41"/>
    <n v="33"/>
  </r>
  <r>
    <n v="2020"/>
    <n v="7"/>
    <s v="7/01/2020"/>
    <x v="18"/>
    <s v="Female (F)"/>
    <s v="Non-Hispanic White"/>
    <s v="45-54 years"/>
    <n v="3712"/>
    <n v="3085"/>
    <n v="60"/>
    <n v="961"/>
    <n v="105"/>
    <m/>
    <n v="49"/>
    <n v="148"/>
    <n v="32"/>
    <n v="41"/>
    <n v="144"/>
    <n v="514"/>
    <n v="103"/>
    <n v="129"/>
    <n v="113"/>
  </r>
  <r>
    <n v="2020"/>
    <n v="7"/>
    <s v="7/01/2020"/>
    <x v="18"/>
    <s v="Female (F)"/>
    <s v="Non-Hispanic White"/>
    <s v="5-14 years"/>
    <n v="98"/>
    <n v="51"/>
    <m/>
    <n v="17"/>
    <m/>
    <n v="0"/>
    <n v="0"/>
    <n v="0"/>
    <n v="0"/>
    <n v="0"/>
    <m/>
    <m/>
    <m/>
    <m/>
    <n v="0"/>
  </r>
  <r>
    <n v="2020"/>
    <n v="7"/>
    <s v="7/01/2020"/>
    <x v="18"/>
    <s v="Female (F)"/>
    <s v="Non-Hispanic White"/>
    <s v="55-64 years"/>
    <n v="9321"/>
    <n v="8625"/>
    <n v="162"/>
    <n v="3026"/>
    <n v="304"/>
    <n v="33"/>
    <n v="119"/>
    <n v="591"/>
    <n v="96"/>
    <n v="118"/>
    <n v="199"/>
    <n v="1478"/>
    <n v="300"/>
    <n v="449"/>
    <n v="408"/>
  </r>
  <r>
    <n v="2020"/>
    <n v="7"/>
    <s v="7/01/2020"/>
    <x v="18"/>
    <s v="Female (F)"/>
    <s v="Non-Hispanic White"/>
    <s v="65-74 years"/>
    <n v="16204"/>
    <n v="15702"/>
    <n v="277"/>
    <n v="5012"/>
    <n v="572"/>
    <n v="350"/>
    <n v="183"/>
    <n v="1174"/>
    <n v="248"/>
    <n v="238"/>
    <n v="163"/>
    <n v="2781"/>
    <n v="697"/>
    <n v="1070"/>
    <n v="964"/>
  </r>
  <r>
    <n v="2020"/>
    <n v="7"/>
    <s v="7/01/2020"/>
    <x v="18"/>
    <s v="Female (F)"/>
    <s v="Non-Hispanic White"/>
    <s v="75-84 years"/>
    <n v="23675"/>
    <n v="23029"/>
    <n v="287"/>
    <n v="5084"/>
    <n v="587"/>
    <n v="1603"/>
    <n v="304"/>
    <n v="1675"/>
    <n v="365"/>
    <n v="388"/>
    <n v="233"/>
    <n v="4504"/>
    <n v="1402"/>
    <n v="1782"/>
    <n v="1566"/>
  </r>
  <r>
    <n v="2020"/>
    <n v="7"/>
    <s v="7/01/2020"/>
    <x v="18"/>
    <s v="Female (F)"/>
    <s v="Non-Hispanic White"/>
    <s v="85 years and over"/>
    <n v="38188"/>
    <n v="37046"/>
    <n v="318"/>
    <n v="3550"/>
    <n v="510"/>
    <n v="4094"/>
    <n v="421"/>
    <n v="1514"/>
    <n v="441"/>
    <n v="526"/>
    <n v="614"/>
    <n v="9630"/>
    <n v="2909"/>
    <n v="2965"/>
    <n v="2489"/>
  </r>
  <r>
    <n v="2020"/>
    <n v="7"/>
    <s v="7/01/2020"/>
    <x v="18"/>
    <s v="Female (F)"/>
    <s v="Other"/>
    <s v="0-4 years"/>
    <n v="44"/>
    <n v="40"/>
    <n v="0"/>
    <n v="0"/>
    <n v="0"/>
    <n v="0"/>
    <n v="0"/>
    <n v="0"/>
    <n v="0"/>
    <m/>
    <m/>
    <m/>
    <m/>
    <n v="0"/>
    <n v="0"/>
  </r>
  <r>
    <n v="2020"/>
    <n v="7"/>
    <s v="7/01/2020"/>
    <x v="18"/>
    <s v="Female (F)"/>
    <s v="Other"/>
    <s v="15-24 years"/>
    <n v="21"/>
    <m/>
    <n v="0"/>
    <m/>
    <n v="0"/>
    <n v="0"/>
    <n v="0"/>
    <n v="0"/>
    <n v="0"/>
    <n v="0"/>
    <n v="0"/>
    <n v="0"/>
    <n v="0"/>
    <m/>
    <m/>
  </r>
  <r>
    <n v="2020"/>
    <n v="7"/>
    <s v="7/01/2020"/>
    <x v="18"/>
    <s v="Female (F)"/>
    <s v="Other"/>
    <s v="25-34 years"/>
    <n v="47"/>
    <n v="28"/>
    <n v="0"/>
    <m/>
    <m/>
    <n v="0"/>
    <n v="0"/>
    <n v="0"/>
    <n v="0"/>
    <m/>
    <m/>
    <m/>
    <n v="0"/>
    <m/>
    <m/>
  </r>
  <r>
    <n v="2020"/>
    <n v="7"/>
    <s v="7/01/2020"/>
    <x v="18"/>
    <s v="Female (F)"/>
    <s v="Other"/>
    <s v="35-44 years"/>
    <n v="55"/>
    <n v="44"/>
    <n v="0"/>
    <m/>
    <m/>
    <n v="0"/>
    <n v="0"/>
    <m/>
    <m/>
    <m/>
    <m/>
    <n v="10"/>
    <m/>
    <m/>
    <m/>
  </r>
  <r>
    <n v="2020"/>
    <n v="7"/>
    <s v="7/01/2020"/>
    <x v="18"/>
    <s v="Female (F)"/>
    <s v="Other"/>
    <s v="45-54 years"/>
    <n v="83"/>
    <n v="73"/>
    <n v="0"/>
    <n v="21"/>
    <m/>
    <n v="0"/>
    <m/>
    <m/>
    <n v="0"/>
    <n v="0"/>
    <m/>
    <n v="12"/>
    <m/>
    <m/>
    <m/>
  </r>
  <r>
    <n v="2020"/>
    <n v="7"/>
    <s v="7/01/2020"/>
    <x v="18"/>
    <s v="Female (F)"/>
    <s v="Other"/>
    <s v="5-14 years"/>
    <m/>
    <m/>
    <n v="0"/>
    <n v="0"/>
    <n v="0"/>
    <n v="0"/>
    <n v="0"/>
    <n v="0"/>
    <n v="0"/>
    <n v="0"/>
    <m/>
    <n v="0"/>
    <n v="0"/>
    <n v="0"/>
    <n v="0"/>
  </r>
  <r>
    <n v="2020"/>
    <n v="7"/>
    <s v="7/01/2020"/>
    <x v="18"/>
    <s v="Female (F)"/>
    <s v="Other"/>
    <s v="55-64 years"/>
    <n v="161"/>
    <n v="143"/>
    <m/>
    <n v="40"/>
    <m/>
    <n v="0"/>
    <m/>
    <m/>
    <m/>
    <m/>
    <m/>
    <n v="30"/>
    <m/>
    <n v="19"/>
    <n v="17"/>
  </r>
  <r>
    <n v="2020"/>
    <n v="7"/>
    <s v="7/01/2020"/>
    <x v="18"/>
    <s v="Female (F)"/>
    <s v="Other"/>
    <s v="65-74 years"/>
    <n v="205"/>
    <n v="200"/>
    <m/>
    <n v="50"/>
    <n v="10"/>
    <n v="0"/>
    <m/>
    <m/>
    <m/>
    <m/>
    <m/>
    <n v="43"/>
    <n v="12"/>
    <n v="24"/>
    <n v="24"/>
  </r>
  <r>
    <n v="2020"/>
    <n v="7"/>
    <s v="7/01/2020"/>
    <x v="18"/>
    <s v="Female (F)"/>
    <s v="Other"/>
    <s v="75-84 years"/>
    <n v="151"/>
    <n v="149"/>
    <m/>
    <n v="34"/>
    <m/>
    <m/>
    <m/>
    <m/>
    <m/>
    <m/>
    <m/>
    <n v="28"/>
    <n v="13"/>
    <n v="15"/>
    <n v="14"/>
  </r>
  <r>
    <n v="2020"/>
    <n v="7"/>
    <s v="7/01/2020"/>
    <x v="18"/>
    <s v="Female (F)"/>
    <s v="Other"/>
    <s v="85 years and over"/>
    <n v="178"/>
    <n v="172"/>
    <n v="0"/>
    <n v="16"/>
    <m/>
    <n v="18"/>
    <n v="0"/>
    <n v="11"/>
    <m/>
    <m/>
    <m/>
    <n v="53"/>
    <n v="10"/>
    <n v="15"/>
    <n v="12"/>
  </r>
  <r>
    <n v="2020"/>
    <n v="7"/>
    <s v="7/01/2020"/>
    <x v="18"/>
    <s v="Male (M)"/>
    <s v="Hispanic"/>
    <s v="0-4 years"/>
    <n v="240"/>
    <n v="204"/>
    <n v="0"/>
    <m/>
    <n v="0"/>
    <n v="0"/>
    <n v="0"/>
    <n v="0"/>
    <n v="0"/>
    <n v="0"/>
    <n v="45"/>
    <m/>
    <n v="0"/>
    <m/>
    <m/>
  </r>
  <r>
    <n v="2020"/>
    <n v="7"/>
    <s v="7/01/2020"/>
    <x v="18"/>
    <s v="Male (M)"/>
    <s v="Hispanic"/>
    <s v="15-24 years"/>
    <n v="577"/>
    <n v="149"/>
    <m/>
    <n v="19"/>
    <m/>
    <n v="0"/>
    <n v="0"/>
    <m/>
    <m/>
    <m/>
    <n v="38"/>
    <m/>
    <m/>
    <n v="30"/>
    <n v="25"/>
  </r>
  <r>
    <n v="2020"/>
    <n v="7"/>
    <s v="7/01/2020"/>
    <x v="18"/>
    <s v="Male (M)"/>
    <s v="Hispanic"/>
    <s v="25-34 years"/>
    <n v="950"/>
    <n v="370"/>
    <m/>
    <n v="29"/>
    <m/>
    <n v="0"/>
    <m/>
    <m/>
    <m/>
    <m/>
    <n v="77"/>
    <n v="32"/>
    <m/>
    <n v="111"/>
    <n v="105"/>
  </r>
  <r>
    <n v="2020"/>
    <n v="7"/>
    <s v="7/01/2020"/>
    <x v="18"/>
    <s v="Male (M)"/>
    <s v="Hispanic"/>
    <s v="35-44 years"/>
    <n v="1326"/>
    <n v="892"/>
    <m/>
    <n v="69"/>
    <n v="25"/>
    <n v="0"/>
    <m/>
    <m/>
    <m/>
    <n v="10"/>
    <n v="82"/>
    <n v="102"/>
    <n v="20"/>
    <n v="359"/>
    <n v="336"/>
  </r>
  <r>
    <n v="2020"/>
    <n v="7"/>
    <s v="7/01/2020"/>
    <x v="18"/>
    <s v="Male (M)"/>
    <s v="Hispanic"/>
    <s v="45-54 years"/>
    <n v="2090"/>
    <n v="1758"/>
    <n v="12"/>
    <n v="180"/>
    <n v="90"/>
    <n v="0"/>
    <n v="12"/>
    <n v="10"/>
    <n v="11"/>
    <n v="20"/>
    <n v="80"/>
    <n v="255"/>
    <n v="66"/>
    <n v="740"/>
    <n v="699"/>
  </r>
  <r>
    <n v="2020"/>
    <n v="7"/>
    <s v="7/01/2020"/>
    <x v="18"/>
    <s v="Male (M)"/>
    <s v="Hispanic"/>
    <s v="5-14 years"/>
    <n v="64"/>
    <n v="25"/>
    <m/>
    <m/>
    <m/>
    <n v="0"/>
    <n v="0"/>
    <n v="0"/>
    <n v="0"/>
    <n v="0"/>
    <m/>
    <m/>
    <m/>
    <m/>
    <m/>
  </r>
  <r>
    <n v="2020"/>
    <n v="7"/>
    <s v="7/01/2020"/>
    <x v="18"/>
    <s v="Male (M)"/>
    <s v="Hispanic"/>
    <s v="55-64 years"/>
    <n v="3195"/>
    <n v="2972"/>
    <n v="27"/>
    <n v="402"/>
    <n v="132"/>
    <m/>
    <n v="31"/>
    <n v="28"/>
    <n v="36"/>
    <n v="40"/>
    <n v="64"/>
    <n v="464"/>
    <n v="89"/>
    <n v="1290"/>
    <n v="1223"/>
  </r>
  <r>
    <n v="2020"/>
    <n v="7"/>
    <s v="7/01/2020"/>
    <x v="18"/>
    <s v="Male (M)"/>
    <s v="Hispanic"/>
    <s v="65-74 years"/>
    <n v="3693"/>
    <n v="3566"/>
    <n v="21"/>
    <n v="488"/>
    <n v="182"/>
    <n v="21"/>
    <n v="42"/>
    <n v="69"/>
    <n v="42"/>
    <n v="53"/>
    <n v="32"/>
    <n v="578"/>
    <n v="107"/>
    <n v="1574"/>
    <n v="1506"/>
  </r>
  <r>
    <n v="2020"/>
    <n v="7"/>
    <s v="7/01/2020"/>
    <x v="18"/>
    <s v="Male (M)"/>
    <s v="Hispanic"/>
    <s v="75-84 years"/>
    <n v="3276"/>
    <n v="3217"/>
    <n v="39"/>
    <n v="447"/>
    <n v="135"/>
    <n v="101"/>
    <n v="51"/>
    <n v="83"/>
    <n v="45"/>
    <n v="39"/>
    <n v="24"/>
    <n v="553"/>
    <n v="129"/>
    <n v="1272"/>
    <n v="1189"/>
  </r>
  <r>
    <n v="2020"/>
    <n v="7"/>
    <s v="7/01/2020"/>
    <x v="18"/>
    <s v="Male (M)"/>
    <s v="Hispanic"/>
    <s v="85 years and over"/>
    <n v="2571"/>
    <n v="2524"/>
    <n v="14"/>
    <n v="251"/>
    <n v="64"/>
    <n v="185"/>
    <n v="38"/>
    <n v="81"/>
    <n v="25"/>
    <n v="33"/>
    <n v="17"/>
    <n v="529"/>
    <n v="141"/>
    <n v="805"/>
    <n v="740"/>
  </r>
  <r>
    <n v="2020"/>
    <n v="7"/>
    <s v="7/01/2020"/>
    <x v="18"/>
    <s v="Male (M)"/>
    <s v="Non-Hispanic American Indian or Alaska Native"/>
    <s v="0-4 years"/>
    <n v="14"/>
    <n v="12"/>
    <n v="0"/>
    <n v="0"/>
    <n v="0"/>
    <n v="0"/>
    <n v="0"/>
    <m/>
    <m/>
    <n v="0"/>
    <m/>
    <n v="0"/>
    <n v="0"/>
    <n v="0"/>
    <n v="0"/>
  </r>
  <r>
    <n v="2020"/>
    <n v="7"/>
    <s v="7/01/2020"/>
    <x v="18"/>
    <s v="Male (M)"/>
    <s v="Non-Hispanic American Indian or Alaska Native"/>
    <s v="15-24 years"/>
    <n v="38"/>
    <m/>
    <n v="0"/>
    <m/>
    <n v="0"/>
    <n v="0"/>
    <n v="0"/>
    <n v="0"/>
    <n v="0"/>
    <n v="0"/>
    <m/>
    <n v="0"/>
    <n v="0"/>
    <m/>
    <m/>
  </r>
  <r>
    <n v="2020"/>
    <n v="7"/>
    <s v="7/01/2020"/>
    <x v="18"/>
    <s v="Male (M)"/>
    <s v="Non-Hispanic American Indian or Alaska Native"/>
    <s v="25-34 years"/>
    <n v="110"/>
    <n v="57"/>
    <m/>
    <n v="0"/>
    <m/>
    <n v="0"/>
    <n v="0"/>
    <n v="0"/>
    <n v="0"/>
    <m/>
    <m/>
    <m/>
    <n v="0"/>
    <n v="11"/>
    <n v="10"/>
  </r>
  <r>
    <n v="2020"/>
    <n v="7"/>
    <s v="7/01/2020"/>
    <x v="18"/>
    <s v="Male (M)"/>
    <s v="Non-Hispanic American Indian or Alaska Native"/>
    <s v="35-44 years"/>
    <n v="138"/>
    <n v="90"/>
    <n v="0"/>
    <m/>
    <m/>
    <n v="0"/>
    <m/>
    <m/>
    <m/>
    <m/>
    <n v="10"/>
    <m/>
    <m/>
    <n v="13"/>
    <m/>
  </r>
  <r>
    <n v="2020"/>
    <n v="7"/>
    <s v="7/01/2020"/>
    <x v="18"/>
    <s v="Male (M)"/>
    <s v="Non-Hispanic American Indian or Alaska Native"/>
    <s v="45-54 years"/>
    <n v="163"/>
    <n v="135"/>
    <m/>
    <n v="11"/>
    <m/>
    <n v="0"/>
    <m/>
    <m/>
    <m/>
    <m/>
    <n v="10"/>
    <n v="25"/>
    <m/>
    <n v="34"/>
    <n v="29"/>
  </r>
  <r>
    <n v="2020"/>
    <n v="7"/>
    <s v="7/01/2020"/>
    <x v="18"/>
    <s v="Male (M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20"/>
    <n v="7"/>
    <s v="7/01/2020"/>
    <x v="18"/>
    <s v="Male (M)"/>
    <s v="Non-Hispanic American Indian or Alaska Native"/>
    <s v="55-64 years"/>
    <n v="250"/>
    <n v="223"/>
    <m/>
    <n v="42"/>
    <n v="22"/>
    <n v="0"/>
    <m/>
    <m/>
    <m/>
    <m/>
    <n v="10"/>
    <n v="36"/>
    <m/>
    <n v="42"/>
    <n v="37"/>
  </r>
  <r>
    <n v="2020"/>
    <n v="7"/>
    <s v="7/01/2020"/>
    <x v="18"/>
    <s v="Male (M)"/>
    <s v="Non-Hispanic American Indian or Alaska Native"/>
    <s v="65-74 years"/>
    <n v="229"/>
    <n v="215"/>
    <m/>
    <n v="38"/>
    <n v="14"/>
    <m/>
    <m/>
    <m/>
    <m/>
    <m/>
    <m/>
    <n v="44"/>
    <m/>
    <n v="56"/>
    <n v="52"/>
  </r>
  <r>
    <n v="2020"/>
    <n v="7"/>
    <s v="7/01/2020"/>
    <x v="18"/>
    <s v="Male (M)"/>
    <s v="Non-Hispanic American Indian or Alaska Native"/>
    <s v="75-84 years"/>
    <n v="164"/>
    <n v="161"/>
    <n v="0"/>
    <n v="26"/>
    <n v="15"/>
    <m/>
    <m/>
    <n v="11"/>
    <n v="0"/>
    <m/>
    <m/>
    <n v="29"/>
    <m/>
    <n v="41"/>
    <n v="39"/>
  </r>
  <r>
    <n v="2020"/>
    <n v="7"/>
    <s v="7/01/2020"/>
    <x v="18"/>
    <s v="Male (M)"/>
    <s v="Non-Hispanic American Indian or Alaska Native"/>
    <s v="85 years and over"/>
    <n v="76"/>
    <n v="71"/>
    <n v="0"/>
    <m/>
    <m/>
    <m/>
    <m/>
    <m/>
    <m/>
    <m/>
    <n v="0"/>
    <m/>
    <m/>
    <n v="21"/>
    <n v="20"/>
  </r>
  <r>
    <n v="2020"/>
    <n v="7"/>
    <s v="7/01/2020"/>
    <x v="18"/>
    <s v="Male (M)"/>
    <s v="Non-Hispanic Asian"/>
    <s v="0-4 years"/>
    <n v="34"/>
    <n v="28"/>
    <n v="0"/>
    <n v="0"/>
    <n v="0"/>
    <n v="0"/>
    <n v="0"/>
    <n v="0"/>
    <m/>
    <n v="0"/>
    <m/>
    <n v="0"/>
    <n v="0"/>
    <m/>
    <n v="0"/>
  </r>
  <r>
    <n v="2020"/>
    <n v="7"/>
    <s v="7/01/2020"/>
    <x v="18"/>
    <s v="Male (M)"/>
    <s v="Non-Hispanic Asian"/>
    <s v="15-24 years"/>
    <n v="44"/>
    <n v="14"/>
    <m/>
    <m/>
    <m/>
    <n v="0"/>
    <n v="0"/>
    <n v="0"/>
    <n v="0"/>
    <n v="0"/>
    <m/>
    <n v="0"/>
    <n v="0"/>
    <m/>
    <m/>
  </r>
  <r>
    <n v="2020"/>
    <n v="7"/>
    <s v="7/01/2020"/>
    <x v="18"/>
    <s v="Male (M)"/>
    <s v="Non-Hispanic Asian"/>
    <s v="25-34 years"/>
    <n v="100"/>
    <n v="44"/>
    <n v="0"/>
    <m/>
    <n v="0"/>
    <n v="0"/>
    <m/>
    <n v="0"/>
    <n v="0"/>
    <m/>
    <n v="10"/>
    <m/>
    <n v="0"/>
    <m/>
    <m/>
  </r>
  <r>
    <n v="2020"/>
    <n v="7"/>
    <s v="7/01/2020"/>
    <x v="18"/>
    <s v="Male (M)"/>
    <s v="Non-Hispanic Asian"/>
    <s v="35-44 years"/>
    <n v="129"/>
    <n v="93"/>
    <m/>
    <n v="19"/>
    <m/>
    <n v="0"/>
    <n v="0"/>
    <m/>
    <m/>
    <m/>
    <m/>
    <n v="16"/>
    <m/>
    <n v="12"/>
    <m/>
  </r>
  <r>
    <n v="2020"/>
    <n v="7"/>
    <s v="7/01/2020"/>
    <x v="18"/>
    <s v="Male (M)"/>
    <s v="Non-Hispanic Asian"/>
    <s v="45-54 years"/>
    <n v="239"/>
    <n v="203"/>
    <m/>
    <n v="46"/>
    <m/>
    <n v="0"/>
    <n v="0"/>
    <m/>
    <m/>
    <m/>
    <n v="14"/>
    <n v="56"/>
    <n v="11"/>
    <n v="22"/>
    <n v="20"/>
  </r>
  <r>
    <n v="2020"/>
    <n v="7"/>
    <s v="7/01/2020"/>
    <x v="18"/>
    <s v="Male (M)"/>
    <s v="Non-Hispanic Asian"/>
    <s v="5-14 years"/>
    <m/>
    <m/>
    <n v="0"/>
    <m/>
    <n v="0"/>
    <n v="0"/>
    <n v="0"/>
    <n v="0"/>
    <n v="0"/>
    <n v="0"/>
    <n v="0"/>
    <n v="0"/>
    <n v="0"/>
    <m/>
    <n v="0"/>
  </r>
  <r>
    <n v="2020"/>
    <n v="7"/>
    <s v="7/01/2020"/>
    <x v="18"/>
    <s v="Male (M)"/>
    <s v="Non-Hispanic Asian"/>
    <s v="55-64 years"/>
    <n v="504"/>
    <n v="462"/>
    <m/>
    <n v="125"/>
    <n v="32"/>
    <m/>
    <m/>
    <m/>
    <m/>
    <m/>
    <m/>
    <n v="102"/>
    <n v="19"/>
    <n v="96"/>
    <n v="91"/>
  </r>
  <r>
    <n v="2020"/>
    <n v="7"/>
    <s v="7/01/2020"/>
    <x v="18"/>
    <s v="Male (M)"/>
    <s v="Non-Hispanic Asian"/>
    <s v="65-74 years"/>
    <n v="735"/>
    <n v="710"/>
    <m/>
    <n v="192"/>
    <n v="40"/>
    <m/>
    <n v="18"/>
    <n v="15"/>
    <n v="12"/>
    <n v="14"/>
    <m/>
    <n v="146"/>
    <n v="54"/>
    <n v="115"/>
    <n v="109"/>
  </r>
  <r>
    <n v="2020"/>
    <n v="7"/>
    <s v="7/01/2020"/>
    <x v="18"/>
    <s v="Male (M)"/>
    <s v="Non-Hispanic Asian"/>
    <s v="75-84 years"/>
    <n v="893"/>
    <n v="866"/>
    <n v="14"/>
    <n v="213"/>
    <n v="42"/>
    <n v="20"/>
    <n v="14"/>
    <n v="32"/>
    <n v="14"/>
    <n v="24"/>
    <m/>
    <n v="155"/>
    <n v="58"/>
    <n v="131"/>
    <n v="117"/>
  </r>
  <r>
    <n v="2020"/>
    <n v="7"/>
    <s v="7/01/2020"/>
    <x v="18"/>
    <s v="Male (M)"/>
    <s v="Non-Hispanic Asian"/>
    <s v="85 years and over"/>
    <n v="886"/>
    <n v="860"/>
    <m/>
    <n v="114"/>
    <n v="38"/>
    <n v="46"/>
    <n v="36"/>
    <n v="29"/>
    <n v="13"/>
    <n v="20"/>
    <m/>
    <n v="205"/>
    <n v="76"/>
    <n v="97"/>
    <n v="93"/>
  </r>
  <r>
    <n v="2020"/>
    <n v="7"/>
    <s v="7/01/2020"/>
    <x v="18"/>
    <s v="Male (M)"/>
    <s v="Non-Hispanic Black"/>
    <s v="0-4 years"/>
    <n v="284"/>
    <n v="244"/>
    <m/>
    <m/>
    <n v="0"/>
    <n v="0"/>
    <m/>
    <n v="0"/>
    <n v="0"/>
    <n v="0"/>
    <n v="50"/>
    <m/>
    <m/>
    <n v="0"/>
    <n v="0"/>
  </r>
  <r>
    <n v="2020"/>
    <n v="7"/>
    <s v="7/01/2020"/>
    <x v="18"/>
    <s v="Male (M)"/>
    <s v="Non-Hispanic Black"/>
    <s v="15-24 years"/>
    <n v="792"/>
    <n v="102"/>
    <m/>
    <m/>
    <m/>
    <n v="0"/>
    <m/>
    <m/>
    <m/>
    <n v="0"/>
    <n v="26"/>
    <n v="12"/>
    <m/>
    <n v="12"/>
    <n v="11"/>
  </r>
  <r>
    <n v="2020"/>
    <n v="7"/>
    <s v="7/01/2020"/>
    <x v="18"/>
    <s v="Male (M)"/>
    <s v="Non-Hispanic Black"/>
    <s v="25-34 years"/>
    <n v="1167"/>
    <n v="370"/>
    <m/>
    <n v="29"/>
    <n v="17"/>
    <n v="0"/>
    <m/>
    <m/>
    <m/>
    <m/>
    <n v="63"/>
    <n v="71"/>
    <n v="11"/>
    <n v="56"/>
    <n v="49"/>
  </r>
  <r>
    <n v="2020"/>
    <n v="7"/>
    <s v="7/01/2020"/>
    <x v="18"/>
    <s v="Male (M)"/>
    <s v="Non-Hispanic Black"/>
    <s v="35-44 years"/>
    <n v="1276"/>
    <n v="724"/>
    <m/>
    <n v="72"/>
    <n v="48"/>
    <n v="0"/>
    <m/>
    <n v="11"/>
    <m/>
    <n v="11"/>
    <n v="74"/>
    <n v="185"/>
    <n v="29"/>
    <n v="107"/>
    <n v="98"/>
  </r>
  <r>
    <n v="2020"/>
    <n v="7"/>
    <s v="7/01/2020"/>
    <x v="18"/>
    <s v="Male (M)"/>
    <s v="Non-Hispanic Black"/>
    <s v="45-54 years"/>
    <n v="2044"/>
    <n v="1593"/>
    <n v="15"/>
    <n v="196"/>
    <n v="105"/>
    <n v="0"/>
    <n v="22"/>
    <n v="27"/>
    <n v="16"/>
    <n v="41"/>
    <n v="92"/>
    <n v="437"/>
    <n v="70"/>
    <n v="268"/>
    <n v="235"/>
  </r>
  <r>
    <n v="2020"/>
    <n v="7"/>
    <s v="7/01/2020"/>
    <x v="18"/>
    <s v="Male (M)"/>
    <s v="Non-Hispanic Black"/>
    <s v="5-14 years"/>
    <n v="93"/>
    <n v="33"/>
    <n v="0"/>
    <m/>
    <n v="0"/>
    <n v="0"/>
    <n v="0"/>
    <m/>
    <m/>
    <n v="0"/>
    <n v="10"/>
    <m/>
    <m/>
    <m/>
    <m/>
  </r>
  <r>
    <n v="2020"/>
    <n v="7"/>
    <s v="7/01/2020"/>
    <x v="18"/>
    <s v="Male (M)"/>
    <s v="Non-Hispanic Black"/>
    <s v="55-64 years"/>
    <n v="4287"/>
    <n v="3886"/>
    <n v="54"/>
    <n v="777"/>
    <n v="218"/>
    <m/>
    <n v="51"/>
    <n v="116"/>
    <n v="39"/>
    <n v="92"/>
    <n v="127"/>
    <n v="1022"/>
    <n v="185"/>
    <n v="606"/>
    <n v="544"/>
  </r>
  <r>
    <n v="2020"/>
    <n v="7"/>
    <s v="7/01/2020"/>
    <x v="18"/>
    <s v="Male (M)"/>
    <s v="Non-Hispanic Black"/>
    <s v="65-74 years"/>
    <n v="4879"/>
    <n v="4683"/>
    <n v="77"/>
    <n v="1073"/>
    <n v="234"/>
    <n v="32"/>
    <n v="60"/>
    <n v="150"/>
    <n v="59"/>
    <n v="129"/>
    <n v="68"/>
    <n v="1097"/>
    <n v="215"/>
    <n v="827"/>
    <n v="769"/>
  </r>
  <r>
    <n v="2020"/>
    <n v="7"/>
    <s v="7/01/2020"/>
    <x v="18"/>
    <s v="Male (M)"/>
    <s v="Non-Hispanic Black"/>
    <s v="75-84 years"/>
    <n v="3433"/>
    <n v="3367"/>
    <n v="50"/>
    <n v="608"/>
    <n v="166"/>
    <n v="98"/>
    <n v="54"/>
    <n v="131"/>
    <n v="36"/>
    <n v="98"/>
    <n v="40"/>
    <n v="750"/>
    <n v="211"/>
    <n v="604"/>
    <n v="554"/>
  </r>
  <r>
    <n v="2020"/>
    <n v="7"/>
    <s v="7/01/2020"/>
    <x v="18"/>
    <s v="Male (M)"/>
    <s v="Non-Hispanic Black"/>
    <s v="85 years and over"/>
    <n v="2150"/>
    <n v="2116"/>
    <n v="31"/>
    <n v="307"/>
    <n v="82"/>
    <n v="134"/>
    <n v="37"/>
    <n v="58"/>
    <n v="15"/>
    <n v="55"/>
    <n v="30"/>
    <n v="498"/>
    <n v="119"/>
    <n v="357"/>
    <n v="331"/>
  </r>
  <r>
    <n v="2020"/>
    <n v="7"/>
    <s v="7/01/2020"/>
    <x v="18"/>
    <s v="Male (M)"/>
    <s v="Non-Hispanic White"/>
    <s v="0-4 years"/>
    <n v="450"/>
    <n v="374"/>
    <m/>
    <m/>
    <n v="0"/>
    <n v="0"/>
    <m/>
    <n v="0"/>
    <m/>
    <n v="0"/>
    <n v="64"/>
    <m/>
    <m/>
    <n v="0"/>
    <n v="0"/>
  </r>
  <r>
    <n v="2020"/>
    <n v="7"/>
    <s v="7/01/2020"/>
    <x v="18"/>
    <s v="Male (M)"/>
    <s v="Non-Hispanic White"/>
    <s v="15-24 years"/>
    <n v="1104"/>
    <n v="226"/>
    <n v="0"/>
    <n v="32"/>
    <m/>
    <n v="0"/>
    <m/>
    <m/>
    <m/>
    <m/>
    <n v="74"/>
    <n v="20"/>
    <m/>
    <n v="11"/>
    <n v="10"/>
  </r>
  <r>
    <n v="2020"/>
    <n v="7"/>
    <s v="7/01/2020"/>
    <x v="18"/>
    <s v="Male (M)"/>
    <s v="Non-Hispanic White"/>
    <s v="25-34 years"/>
    <n v="2419"/>
    <n v="732"/>
    <m/>
    <n v="80"/>
    <n v="28"/>
    <n v="0"/>
    <n v="10"/>
    <m/>
    <m/>
    <m/>
    <n v="205"/>
    <n v="114"/>
    <n v="10"/>
    <n v="30"/>
    <n v="26"/>
  </r>
  <r>
    <n v="2020"/>
    <n v="7"/>
    <s v="7/01/2020"/>
    <x v="18"/>
    <s v="Male (M)"/>
    <s v="Non-Hispanic White"/>
    <s v="35-44 years"/>
    <n v="3617"/>
    <n v="1793"/>
    <n v="34"/>
    <n v="241"/>
    <n v="67"/>
    <n v="0"/>
    <m/>
    <n v="22"/>
    <n v="18"/>
    <n v="23"/>
    <n v="248"/>
    <n v="403"/>
    <n v="42"/>
    <n v="82"/>
    <n v="72"/>
  </r>
  <r>
    <n v="2020"/>
    <n v="7"/>
    <s v="7/01/2020"/>
    <x v="18"/>
    <s v="Male (M)"/>
    <s v="Non-Hispanic White"/>
    <s v="45-54 years"/>
    <n v="6071"/>
    <n v="4459"/>
    <n v="64"/>
    <n v="927"/>
    <n v="205"/>
    <m/>
    <n v="55"/>
    <n v="91"/>
    <n v="29"/>
    <n v="48"/>
    <n v="233"/>
    <n v="1252"/>
    <n v="119"/>
    <n v="204"/>
    <n v="184"/>
  </r>
  <r>
    <n v="2020"/>
    <n v="7"/>
    <s v="7/01/2020"/>
    <x v="18"/>
    <s v="Male (M)"/>
    <s v="Non-Hispanic White"/>
    <s v="5-14 years"/>
    <n v="131"/>
    <n v="54"/>
    <n v="0"/>
    <n v="15"/>
    <m/>
    <n v="0"/>
    <n v="0"/>
    <m/>
    <n v="0"/>
    <n v="0"/>
    <m/>
    <m/>
    <m/>
    <n v="0"/>
    <n v="0"/>
  </r>
  <r>
    <n v="2020"/>
    <n v="7"/>
    <s v="7/01/2020"/>
    <x v="18"/>
    <s v="Male (M)"/>
    <s v="Non-Hispanic White"/>
    <s v="55-64 years"/>
    <n v="15082"/>
    <n v="13287"/>
    <n v="161"/>
    <n v="3665"/>
    <n v="545"/>
    <n v="37"/>
    <n v="138"/>
    <n v="600"/>
    <n v="137"/>
    <n v="145"/>
    <n v="327"/>
    <n v="3593"/>
    <n v="419"/>
    <n v="759"/>
    <n v="668"/>
  </r>
  <r>
    <n v="2020"/>
    <n v="7"/>
    <s v="7/01/2020"/>
    <x v="18"/>
    <s v="Male (M)"/>
    <s v="Non-Hispanic White"/>
    <s v="65-74 years"/>
    <n v="22841"/>
    <n v="21592"/>
    <n v="286"/>
    <n v="6285"/>
    <n v="932"/>
    <n v="218"/>
    <n v="281"/>
    <n v="1323"/>
    <n v="347"/>
    <n v="317"/>
    <n v="271"/>
    <n v="5201"/>
    <n v="741"/>
    <n v="1629"/>
    <n v="1494"/>
  </r>
  <r>
    <n v="2020"/>
    <n v="7"/>
    <s v="7/01/2020"/>
    <x v="18"/>
    <s v="Male (M)"/>
    <s v="Non-Hispanic White"/>
    <s v="75-84 years"/>
    <n v="26494"/>
    <n v="25510"/>
    <n v="306"/>
    <n v="5950"/>
    <n v="789"/>
    <n v="945"/>
    <n v="342"/>
    <n v="1625"/>
    <n v="439"/>
    <n v="480"/>
    <n v="202"/>
    <n v="6040"/>
    <n v="1167"/>
    <n v="2473"/>
    <n v="2241"/>
  </r>
  <r>
    <n v="2020"/>
    <n v="7"/>
    <s v="7/01/2020"/>
    <x v="18"/>
    <s v="Male (M)"/>
    <s v="Non-Hispanic White"/>
    <s v="85 years and over"/>
    <n v="24679"/>
    <n v="23778"/>
    <n v="235"/>
    <n v="3452"/>
    <n v="476"/>
    <n v="1546"/>
    <n v="391"/>
    <n v="1079"/>
    <n v="316"/>
    <n v="462"/>
    <n v="297"/>
    <n v="6902"/>
    <n v="1362"/>
    <n v="2169"/>
    <n v="1914"/>
  </r>
  <r>
    <n v="2020"/>
    <n v="7"/>
    <s v="7/01/2020"/>
    <x v="18"/>
    <s v="Male (M)"/>
    <s v="Other"/>
    <s v="0-4 years"/>
    <n v="58"/>
    <n v="43"/>
    <n v="0"/>
    <m/>
    <n v="0"/>
    <n v="0"/>
    <n v="0"/>
    <n v="0"/>
    <n v="0"/>
    <n v="0"/>
    <m/>
    <n v="0"/>
    <n v="0"/>
    <n v="0"/>
    <n v="0"/>
  </r>
  <r>
    <n v="2020"/>
    <n v="7"/>
    <s v="7/01/2020"/>
    <x v="18"/>
    <s v="Male (M)"/>
    <s v="Other"/>
    <s v="15-24 years"/>
    <n v="59"/>
    <n v="11"/>
    <m/>
    <m/>
    <n v="0"/>
    <n v="0"/>
    <n v="0"/>
    <n v="0"/>
    <n v="0"/>
    <n v="0"/>
    <m/>
    <m/>
    <n v="0"/>
    <m/>
    <m/>
  </r>
  <r>
    <n v="2020"/>
    <n v="7"/>
    <s v="7/01/2020"/>
    <x v="18"/>
    <s v="Male (M)"/>
    <s v="Other"/>
    <s v="25-34 years"/>
    <n v="100"/>
    <n v="37"/>
    <n v="0"/>
    <m/>
    <n v="0"/>
    <n v="0"/>
    <m/>
    <m/>
    <n v="0"/>
    <n v="0"/>
    <m/>
    <m/>
    <m/>
    <m/>
    <m/>
  </r>
  <r>
    <n v="2020"/>
    <n v="7"/>
    <s v="7/01/2020"/>
    <x v="18"/>
    <s v="Male (M)"/>
    <s v="Other"/>
    <s v="35-44 years"/>
    <n v="112"/>
    <n v="66"/>
    <m/>
    <m/>
    <m/>
    <n v="0"/>
    <m/>
    <n v="0"/>
    <n v="0"/>
    <n v="0"/>
    <m/>
    <n v="16"/>
    <m/>
    <n v="12"/>
    <n v="10"/>
  </r>
  <r>
    <n v="2020"/>
    <n v="7"/>
    <s v="7/01/2020"/>
    <x v="18"/>
    <s v="Male (M)"/>
    <s v="Other"/>
    <s v="45-54 years"/>
    <n v="169"/>
    <n v="122"/>
    <m/>
    <n v="15"/>
    <m/>
    <n v="0"/>
    <m/>
    <n v="0"/>
    <m/>
    <m/>
    <m/>
    <n v="32"/>
    <m/>
    <n v="24"/>
    <n v="23"/>
  </r>
  <r>
    <n v="2020"/>
    <n v="7"/>
    <s v="7/01/2020"/>
    <x v="18"/>
    <s v="Male (M)"/>
    <s v="Other"/>
    <s v="5-14 years"/>
    <n v="14"/>
    <m/>
    <n v="0"/>
    <m/>
    <n v="0"/>
    <n v="0"/>
    <n v="0"/>
    <n v="0"/>
    <n v="0"/>
    <n v="0"/>
    <m/>
    <n v="0"/>
    <n v="0"/>
    <n v="0"/>
    <n v="0"/>
  </r>
  <r>
    <n v="2020"/>
    <n v="7"/>
    <s v="7/01/2020"/>
    <x v="18"/>
    <s v="Male (M)"/>
    <s v="Other"/>
    <s v="55-64 years"/>
    <n v="290"/>
    <n v="238"/>
    <m/>
    <n v="42"/>
    <n v="20"/>
    <n v="0"/>
    <m/>
    <n v="10"/>
    <m/>
    <m/>
    <n v="11"/>
    <n v="57"/>
    <m/>
    <n v="47"/>
    <n v="44"/>
  </r>
  <r>
    <n v="2020"/>
    <n v="7"/>
    <s v="7/01/2020"/>
    <x v="18"/>
    <s v="Male (M)"/>
    <s v="Other"/>
    <s v="65-74 years"/>
    <n v="313"/>
    <n v="295"/>
    <m/>
    <n v="64"/>
    <n v="23"/>
    <m/>
    <m/>
    <m/>
    <m/>
    <m/>
    <m/>
    <n v="82"/>
    <m/>
    <n v="33"/>
    <n v="32"/>
  </r>
  <r>
    <n v="2020"/>
    <n v="7"/>
    <s v="7/01/2020"/>
    <x v="18"/>
    <s v="Male (M)"/>
    <s v="Other"/>
    <s v="75-84 years"/>
    <n v="225"/>
    <n v="215"/>
    <m/>
    <n v="41"/>
    <m/>
    <m/>
    <m/>
    <n v="16"/>
    <n v="0"/>
    <m/>
    <m/>
    <n v="65"/>
    <m/>
    <n v="31"/>
    <n v="30"/>
  </r>
  <r>
    <n v="2020"/>
    <n v="7"/>
    <s v="7/01/2020"/>
    <x v="18"/>
    <s v="Male (M)"/>
    <s v="Other"/>
    <s v="85 years and over"/>
    <n v="128"/>
    <n v="127"/>
    <m/>
    <n v="14"/>
    <m/>
    <m/>
    <m/>
    <m/>
    <m/>
    <n v="0"/>
    <n v="0"/>
    <n v="38"/>
    <m/>
    <n v="17"/>
    <n v="16"/>
  </r>
  <r>
    <n v="2020"/>
    <n v="8"/>
    <s v="8/01/2020"/>
    <x v="19"/>
    <s v="Female (F)"/>
    <s v="Hispanic"/>
    <s v="0-4 years"/>
    <n v="200"/>
    <n v="183"/>
    <m/>
    <m/>
    <n v="0"/>
    <n v="0"/>
    <m/>
    <n v="0"/>
    <m/>
    <n v="0"/>
    <n v="41"/>
    <m/>
    <m/>
    <m/>
    <m/>
  </r>
  <r>
    <n v="2020"/>
    <n v="8"/>
    <s v="8/01/2020"/>
    <x v="19"/>
    <s v="Female (F)"/>
    <s v="Hispanic"/>
    <s v="15-24 years"/>
    <n v="203"/>
    <n v="75"/>
    <n v="0"/>
    <n v="14"/>
    <m/>
    <n v="0"/>
    <m/>
    <m/>
    <n v="0"/>
    <n v="0"/>
    <n v="20"/>
    <m/>
    <m/>
    <m/>
    <m/>
  </r>
  <r>
    <n v="2020"/>
    <n v="8"/>
    <s v="8/01/2020"/>
    <x v="19"/>
    <s v="Female (F)"/>
    <s v="Hispanic"/>
    <s v="25-34 years"/>
    <n v="297"/>
    <n v="172"/>
    <m/>
    <n v="37"/>
    <m/>
    <n v="0"/>
    <m/>
    <m/>
    <m/>
    <m/>
    <n v="19"/>
    <n v="17"/>
    <m/>
    <n v="28"/>
    <n v="26"/>
  </r>
  <r>
    <n v="2020"/>
    <n v="8"/>
    <s v="8/01/2020"/>
    <x v="19"/>
    <s v="Female (F)"/>
    <s v="Hispanic"/>
    <s v="35-44 years"/>
    <n v="449"/>
    <n v="372"/>
    <m/>
    <n v="92"/>
    <n v="15"/>
    <n v="0"/>
    <m/>
    <m/>
    <m/>
    <m/>
    <n v="31"/>
    <n v="32"/>
    <m/>
    <n v="95"/>
    <n v="89"/>
  </r>
  <r>
    <n v="2020"/>
    <n v="8"/>
    <s v="8/01/2020"/>
    <x v="19"/>
    <s v="Female (F)"/>
    <s v="Hispanic"/>
    <s v="45-54 years"/>
    <n v="874"/>
    <n v="787"/>
    <n v="10"/>
    <n v="204"/>
    <n v="34"/>
    <m/>
    <m/>
    <m/>
    <m/>
    <n v="12"/>
    <n v="29"/>
    <n v="78"/>
    <n v="22"/>
    <n v="259"/>
    <n v="248"/>
  </r>
  <r>
    <n v="2020"/>
    <n v="8"/>
    <s v="8/01/2020"/>
    <x v="19"/>
    <s v="Female (F)"/>
    <s v="Hispanic"/>
    <s v="5-14 years"/>
    <n v="48"/>
    <n v="26"/>
    <n v="0"/>
    <m/>
    <n v="0"/>
    <n v="0"/>
    <n v="0"/>
    <n v="0"/>
    <n v="0"/>
    <n v="0"/>
    <m/>
    <m/>
    <n v="0"/>
    <m/>
    <m/>
  </r>
  <r>
    <n v="2020"/>
    <n v="8"/>
    <s v="8/01/2020"/>
    <x v="19"/>
    <s v="Female (F)"/>
    <s v="Hispanic"/>
    <s v="55-64 years"/>
    <n v="1561"/>
    <n v="1500"/>
    <n v="20"/>
    <n v="385"/>
    <n v="61"/>
    <m/>
    <n v="18"/>
    <n v="15"/>
    <n v="16"/>
    <n v="25"/>
    <n v="30"/>
    <n v="145"/>
    <n v="59"/>
    <n v="504"/>
    <n v="482"/>
  </r>
  <r>
    <n v="2020"/>
    <n v="8"/>
    <s v="8/01/2020"/>
    <x v="19"/>
    <s v="Female (F)"/>
    <s v="Hispanic"/>
    <s v="65-74 years"/>
    <n v="2161"/>
    <n v="2121"/>
    <n v="26"/>
    <n v="404"/>
    <n v="112"/>
    <n v="40"/>
    <n v="38"/>
    <n v="36"/>
    <n v="32"/>
    <n v="39"/>
    <n v="22"/>
    <n v="268"/>
    <n v="75"/>
    <n v="759"/>
    <n v="730"/>
  </r>
  <r>
    <n v="2020"/>
    <n v="8"/>
    <s v="8/01/2020"/>
    <x v="19"/>
    <s v="Female (F)"/>
    <s v="Hispanic"/>
    <s v="75-84 years"/>
    <n v="2667"/>
    <n v="2618"/>
    <n v="26"/>
    <n v="387"/>
    <n v="124"/>
    <n v="146"/>
    <n v="33"/>
    <n v="67"/>
    <n v="39"/>
    <n v="50"/>
    <n v="16"/>
    <n v="414"/>
    <n v="153"/>
    <n v="748"/>
    <n v="704"/>
  </r>
  <r>
    <n v="2020"/>
    <n v="8"/>
    <s v="8/01/2020"/>
    <x v="19"/>
    <s v="Female (F)"/>
    <s v="Hispanic"/>
    <s v="85 years and over"/>
    <n v="3220"/>
    <n v="3175"/>
    <n v="27"/>
    <n v="246"/>
    <n v="92"/>
    <n v="412"/>
    <n v="41"/>
    <n v="80"/>
    <n v="35"/>
    <n v="55"/>
    <n v="32"/>
    <n v="653"/>
    <n v="256"/>
    <n v="628"/>
    <n v="566"/>
  </r>
  <r>
    <n v="2020"/>
    <n v="8"/>
    <s v="8/01/2020"/>
    <x v="19"/>
    <s v="Female (F)"/>
    <s v="Non-Hispanic American Indian or Alaska Native"/>
    <s v="0-4 years"/>
    <m/>
    <m/>
    <n v="0"/>
    <m/>
    <n v="0"/>
    <n v="0"/>
    <n v="0"/>
    <n v="0"/>
    <n v="0"/>
    <n v="0"/>
    <m/>
    <n v="0"/>
    <n v="0"/>
    <n v="0"/>
    <n v="0"/>
  </r>
  <r>
    <n v="2020"/>
    <n v="8"/>
    <s v="8/01/2020"/>
    <x v="19"/>
    <s v="Female (F)"/>
    <s v="Non-Hispanic American Indian or Alaska Native"/>
    <s v="15-24 years"/>
    <n v="18"/>
    <m/>
    <n v="0"/>
    <n v="0"/>
    <n v="0"/>
    <n v="0"/>
    <n v="0"/>
    <n v="0"/>
    <n v="0"/>
    <n v="0"/>
    <m/>
    <n v="0"/>
    <n v="0"/>
    <n v="0"/>
    <n v="0"/>
  </r>
  <r>
    <n v="2020"/>
    <n v="8"/>
    <s v="8/01/2020"/>
    <x v="19"/>
    <s v="Female (F)"/>
    <s v="Non-Hispanic American Indian or Alaska Native"/>
    <s v="25-34 years"/>
    <n v="52"/>
    <n v="26"/>
    <n v="0"/>
    <n v="0"/>
    <m/>
    <n v="0"/>
    <n v="0"/>
    <n v="0"/>
    <n v="0"/>
    <n v="0"/>
    <m/>
    <n v="0"/>
    <n v="0"/>
    <m/>
    <m/>
  </r>
  <r>
    <n v="2020"/>
    <n v="8"/>
    <s v="8/01/2020"/>
    <x v="19"/>
    <s v="Female (F)"/>
    <s v="Non-Hispanic American Indian or Alaska Native"/>
    <s v="35-44 years"/>
    <n v="74"/>
    <n v="58"/>
    <m/>
    <m/>
    <m/>
    <n v="0"/>
    <n v="0"/>
    <n v="0"/>
    <m/>
    <n v="0"/>
    <m/>
    <m/>
    <m/>
    <n v="10"/>
    <m/>
  </r>
  <r>
    <n v="2020"/>
    <n v="8"/>
    <s v="8/01/2020"/>
    <x v="19"/>
    <s v="Female (F)"/>
    <s v="Non-Hispanic American Indian or Alaska Native"/>
    <s v="45-54 years"/>
    <n v="109"/>
    <n v="95"/>
    <m/>
    <n v="11"/>
    <m/>
    <m/>
    <m/>
    <m/>
    <m/>
    <m/>
    <m/>
    <m/>
    <m/>
    <n v="18"/>
    <n v="17"/>
  </r>
  <r>
    <n v="2020"/>
    <n v="8"/>
    <s v="8/01/2020"/>
    <x v="19"/>
    <s v="Female (F)"/>
    <s v="Non-Hispanic American Indian or Alaska Native"/>
    <s v="5-14 years"/>
    <m/>
    <m/>
    <n v="0"/>
    <n v="0"/>
    <n v="0"/>
    <n v="0"/>
    <n v="0"/>
    <n v="0"/>
    <n v="0"/>
    <n v="0"/>
    <m/>
    <n v="0"/>
    <n v="0"/>
    <n v="0"/>
    <n v="0"/>
  </r>
  <r>
    <n v="2020"/>
    <n v="8"/>
    <s v="8/01/2020"/>
    <x v="19"/>
    <s v="Female (F)"/>
    <s v="Non-Hispanic American Indian or Alaska Native"/>
    <s v="55-64 years"/>
    <n v="149"/>
    <n v="139"/>
    <m/>
    <n v="33"/>
    <m/>
    <n v="0"/>
    <m/>
    <n v="10"/>
    <m/>
    <m/>
    <m/>
    <n v="19"/>
    <m/>
    <n v="25"/>
    <n v="22"/>
  </r>
  <r>
    <n v="2020"/>
    <n v="8"/>
    <s v="8/01/2020"/>
    <x v="19"/>
    <s v="Female (F)"/>
    <s v="Non-Hispanic American Indian or Alaska Native"/>
    <s v="65-74 years"/>
    <n v="184"/>
    <n v="181"/>
    <m/>
    <n v="34"/>
    <n v="10"/>
    <n v="0"/>
    <m/>
    <m/>
    <m/>
    <m/>
    <m/>
    <n v="27"/>
    <n v="13"/>
    <n v="45"/>
    <n v="43"/>
  </r>
  <r>
    <n v="2020"/>
    <n v="8"/>
    <s v="8/01/2020"/>
    <x v="19"/>
    <s v="Female (F)"/>
    <s v="Non-Hispanic American Indian or Alaska Native"/>
    <s v="75-84 years"/>
    <n v="177"/>
    <n v="173"/>
    <m/>
    <n v="33"/>
    <n v="15"/>
    <n v="12"/>
    <m/>
    <m/>
    <m/>
    <m/>
    <m/>
    <n v="24"/>
    <m/>
    <n v="26"/>
    <n v="25"/>
  </r>
  <r>
    <n v="2020"/>
    <n v="8"/>
    <s v="8/01/2020"/>
    <x v="19"/>
    <s v="Female (F)"/>
    <s v="Non-Hispanic American Indian or Alaska Native"/>
    <s v="85 years and over"/>
    <n v="142"/>
    <n v="137"/>
    <m/>
    <n v="11"/>
    <m/>
    <n v="11"/>
    <m/>
    <m/>
    <m/>
    <m/>
    <n v="0"/>
    <n v="23"/>
    <m/>
    <n v="21"/>
    <n v="17"/>
  </r>
  <r>
    <n v="2020"/>
    <n v="8"/>
    <s v="8/01/2020"/>
    <x v="19"/>
    <s v="Female (F)"/>
    <s v="Non-Hispanic Asian"/>
    <s v="0-4 years"/>
    <n v="17"/>
    <n v="15"/>
    <n v="0"/>
    <n v="0"/>
    <n v="0"/>
    <n v="0"/>
    <n v="0"/>
    <n v="0"/>
    <n v="0"/>
    <n v="0"/>
    <m/>
    <n v="0"/>
    <n v="0"/>
    <n v="0"/>
    <n v="0"/>
  </r>
  <r>
    <n v="2020"/>
    <n v="8"/>
    <s v="8/01/2020"/>
    <x v="19"/>
    <s v="Female (F)"/>
    <s v="Non-Hispanic Asian"/>
    <s v="15-24 years"/>
    <n v="21"/>
    <m/>
    <n v="0"/>
    <m/>
    <n v="0"/>
    <n v="0"/>
    <n v="0"/>
    <n v="0"/>
    <n v="0"/>
    <n v="0"/>
    <m/>
    <n v="0"/>
    <n v="0"/>
    <m/>
    <n v="0"/>
  </r>
  <r>
    <n v="2020"/>
    <n v="8"/>
    <s v="8/01/2020"/>
    <x v="19"/>
    <s v="Female (F)"/>
    <s v="Non-Hispanic Asian"/>
    <s v="25-34 years"/>
    <n v="37"/>
    <n v="26"/>
    <n v="0"/>
    <n v="10"/>
    <n v="0"/>
    <n v="0"/>
    <n v="0"/>
    <n v="0"/>
    <m/>
    <n v="0"/>
    <m/>
    <m/>
    <m/>
    <n v="0"/>
    <n v="0"/>
  </r>
  <r>
    <n v="2020"/>
    <n v="8"/>
    <s v="8/01/2020"/>
    <x v="19"/>
    <s v="Female (F)"/>
    <s v="Non-Hispanic Asian"/>
    <s v="35-44 years"/>
    <n v="56"/>
    <n v="42"/>
    <n v="0"/>
    <n v="13"/>
    <m/>
    <n v="0"/>
    <m/>
    <m/>
    <m/>
    <n v="0"/>
    <m/>
    <m/>
    <m/>
    <m/>
    <m/>
  </r>
  <r>
    <n v="2020"/>
    <n v="8"/>
    <s v="8/01/2020"/>
    <x v="19"/>
    <s v="Female (F)"/>
    <s v="Non-Hispanic Asian"/>
    <s v="45-54 years"/>
    <n v="133"/>
    <n v="123"/>
    <m/>
    <n v="66"/>
    <m/>
    <n v="0"/>
    <n v="0"/>
    <m/>
    <m/>
    <m/>
    <m/>
    <n v="18"/>
    <m/>
    <m/>
    <m/>
  </r>
  <r>
    <n v="2020"/>
    <n v="8"/>
    <s v="8/01/2020"/>
    <x v="19"/>
    <s v="Female (F)"/>
    <s v="Non-Hispanic Asian"/>
    <s v="5-14 years"/>
    <m/>
    <m/>
    <n v="0"/>
    <m/>
    <n v="0"/>
    <n v="0"/>
    <n v="0"/>
    <n v="0"/>
    <n v="0"/>
    <n v="0"/>
    <n v="0"/>
    <n v="0"/>
    <n v="0"/>
    <n v="0"/>
    <n v="0"/>
  </r>
  <r>
    <n v="2020"/>
    <n v="8"/>
    <s v="8/01/2020"/>
    <x v="19"/>
    <s v="Female (F)"/>
    <s v="Non-Hispanic Asian"/>
    <s v="55-64 years"/>
    <n v="295"/>
    <n v="282"/>
    <m/>
    <n v="137"/>
    <m/>
    <m/>
    <m/>
    <m/>
    <m/>
    <m/>
    <m/>
    <n v="35"/>
    <n v="16"/>
    <n v="18"/>
    <n v="18"/>
  </r>
  <r>
    <n v="2020"/>
    <n v="8"/>
    <s v="8/01/2020"/>
    <x v="19"/>
    <s v="Female (F)"/>
    <s v="Non-Hispanic Asian"/>
    <s v="65-74 years"/>
    <n v="565"/>
    <n v="547"/>
    <m/>
    <n v="214"/>
    <n v="17"/>
    <m/>
    <m/>
    <m/>
    <m/>
    <n v="10"/>
    <m/>
    <n v="74"/>
    <n v="44"/>
    <n v="76"/>
    <n v="73"/>
  </r>
  <r>
    <n v="2020"/>
    <n v="8"/>
    <s v="8/01/2020"/>
    <x v="19"/>
    <s v="Female (F)"/>
    <s v="Non-Hispanic Asian"/>
    <s v="75-84 years"/>
    <n v="829"/>
    <n v="817"/>
    <n v="10"/>
    <n v="211"/>
    <n v="31"/>
    <n v="43"/>
    <n v="19"/>
    <n v="15"/>
    <n v="11"/>
    <n v="17"/>
    <m/>
    <n v="147"/>
    <n v="77"/>
    <n v="74"/>
    <n v="66"/>
  </r>
  <r>
    <n v="2020"/>
    <n v="8"/>
    <s v="8/01/2020"/>
    <x v="19"/>
    <s v="Female (F)"/>
    <s v="Non-Hispanic Asian"/>
    <s v="85 years and over"/>
    <n v="1422"/>
    <n v="1385"/>
    <n v="20"/>
    <n v="124"/>
    <n v="56"/>
    <n v="152"/>
    <n v="29"/>
    <n v="34"/>
    <n v="18"/>
    <n v="22"/>
    <n v="17"/>
    <n v="316"/>
    <n v="134"/>
    <n v="152"/>
    <n v="138"/>
  </r>
  <r>
    <n v="2020"/>
    <n v="8"/>
    <s v="8/01/2020"/>
    <x v="19"/>
    <s v="Female (F)"/>
    <s v="Non-Hispanic Black"/>
    <s v="0-4 years"/>
    <n v="223"/>
    <n v="190"/>
    <n v="0"/>
    <m/>
    <m/>
    <n v="0"/>
    <n v="0"/>
    <n v="0"/>
    <m/>
    <n v="0"/>
    <n v="35"/>
    <m/>
    <m/>
    <m/>
    <n v="0"/>
  </r>
  <r>
    <n v="2020"/>
    <n v="8"/>
    <s v="8/01/2020"/>
    <x v="19"/>
    <s v="Female (F)"/>
    <s v="Non-Hispanic Black"/>
    <s v="15-24 years"/>
    <n v="191"/>
    <n v="87"/>
    <m/>
    <m/>
    <m/>
    <n v="0"/>
    <m/>
    <m/>
    <n v="0"/>
    <m/>
    <n v="20"/>
    <m/>
    <n v="0"/>
    <n v="10"/>
    <m/>
  </r>
  <r>
    <n v="2020"/>
    <n v="8"/>
    <s v="8/01/2020"/>
    <x v="19"/>
    <s v="Female (F)"/>
    <s v="Non-Hispanic Black"/>
    <s v="25-34 years"/>
    <n v="438"/>
    <n v="254"/>
    <m/>
    <n v="25"/>
    <n v="14"/>
    <n v="0"/>
    <m/>
    <m/>
    <m/>
    <m/>
    <n v="37"/>
    <n v="41"/>
    <m/>
    <n v="35"/>
    <n v="32"/>
  </r>
  <r>
    <n v="2020"/>
    <n v="8"/>
    <s v="8/01/2020"/>
    <x v="19"/>
    <s v="Female (F)"/>
    <s v="Non-Hispanic Black"/>
    <s v="35-44 years"/>
    <n v="735"/>
    <n v="595"/>
    <n v="12"/>
    <n v="100"/>
    <n v="34"/>
    <n v="0"/>
    <m/>
    <n v="11"/>
    <m/>
    <n v="16"/>
    <n v="52"/>
    <n v="111"/>
    <n v="24"/>
    <n v="74"/>
    <n v="64"/>
  </r>
  <r>
    <n v="2020"/>
    <n v="8"/>
    <s v="8/01/2020"/>
    <x v="19"/>
    <s v="Female (F)"/>
    <s v="Non-Hispanic Black"/>
    <s v="45-54 years"/>
    <n v="1283"/>
    <n v="1156"/>
    <n v="25"/>
    <n v="243"/>
    <n v="67"/>
    <m/>
    <n v="13"/>
    <n v="25"/>
    <n v="20"/>
    <n v="30"/>
    <n v="58"/>
    <n v="229"/>
    <n v="59"/>
    <n v="149"/>
    <n v="130"/>
  </r>
  <r>
    <n v="2020"/>
    <n v="8"/>
    <s v="8/01/2020"/>
    <x v="19"/>
    <s v="Female (F)"/>
    <s v="Non-Hispanic Black"/>
    <s v="5-14 years"/>
    <n v="41"/>
    <n v="18"/>
    <n v="0"/>
    <m/>
    <n v="0"/>
    <n v="0"/>
    <n v="0"/>
    <m/>
    <n v="0"/>
    <n v="0"/>
    <m/>
    <n v="0"/>
    <m/>
    <n v="0"/>
    <n v="0"/>
  </r>
  <r>
    <n v="2020"/>
    <n v="8"/>
    <s v="8/01/2020"/>
    <x v="19"/>
    <s v="Female (F)"/>
    <s v="Non-Hispanic Black"/>
    <s v="55-64 years"/>
    <n v="2802"/>
    <n v="2661"/>
    <n v="53"/>
    <n v="652"/>
    <n v="126"/>
    <m/>
    <n v="32"/>
    <n v="84"/>
    <n v="44"/>
    <n v="70"/>
    <n v="55"/>
    <n v="555"/>
    <n v="118"/>
    <n v="453"/>
    <n v="414"/>
  </r>
  <r>
    <n v="2020"/>
    <n v="8"/>
    <s v="8/01/2020"/>
    <x v="19"/>
    <s v="Female (F)"/>
    <s v="Non-Hispanic Black"/>
    <s v="65-74 years"/>
    <n v="3772"/>
    <n v="3710"/>
    <n v="65"/>
    <n v="846"/>
    <n v="210"/>
    <n v="58"/>
    <n v="45"/>
    <n v="116"/>
    <n v="56"/>
    <n v="124"/>
    <n v="51"/>
    <n v="745"/>
    <n v="187"/>
    <n v="640"/>
    <n v="578"/>
  </r>
  <r>
    <n v="2020"/>
    <n v="8"/>
    <s v="8/01/2020"/>
    <x v="19"/>
    <s v="Female (F)"/>
    <s v="Non-Hispanic Black"/>
    <s v="75-84 years"/>
    <n v="3647"/>
    <n v="3592"/>
    <n v="65"/>
    <n v="610"/>
    <n v="158"/>
    <n v="182"/>
    <n v="41"/>
    <n v="126"/>
    <n v="47"/>
    <n v="105"/>
    <n v="29"/>
    <n v="726"/>
    <n v="232"/>
    <n v="639"/>
    <n v="573"/>
  </r>
  <r>
    <n v="2020"/>
    <n v="8"/>
    <s v="8/01/2020"/>
    <x v="19"/>
    <s v="Female (F)"/>
    <s v="Non-Hispanic Black"/>
    <s v="85 years and over"/>
    <n v="4232"/>
    <n v="4193"/>
    <n v="65"/>
    <n v="376"/>
    <n v="135"/>
    <n v="393"/>
    <n v="56"/>
    <n v="103"/>
    <n v="31"/>
    <n v="108"/>
    <n v="58"/>
    <n v="966"/>
    <n v="318"/>
    <n v="569"/>
    <n v="485"/>
  </r>
  <r>
    <n v="2020"/>
    <n v="8"/>
    <s v="8/01/2020"/>
    <x v="19"/>
    <s v="Female (F)"/>
    <s v="Non-Hispanic White"/>
    <s v="0-4 years"/>
    <n v="358"/>
    <n v="322"/>
    <m/>
    <m/>
    <n v="0"/>
    <n v="0"/>
    <n v="0"/>
    <n v="0"/>
    <m/>
    <n v="0"/>
    <n v="53"/>
    <m/>
    <m/>
    <m/>
    <n v="0"/>
  </r>
  <r>
    <n v="2020"/>
    <n v="8"/>
    <s v="8/01/2020"/>
    <x v="19"/>
    <s v="Female (F)"/>
    <s v="Non-Hispanic White"/>
    <s v="15-24 years"/>
    <n v="425"/>
    <n v="160"/>
    <m/>
    <n v="30"/>
    <m/>
    <n v="0"/>
    <n v="0"/>
    <m/>
    <m/>
    <m/>
    <n v="35"/>
    <n v="19"/>
    <m/>
    <m/>
    <m/>
  </r>
  <r>
    <n v="2020"/>
    <n v="8"/>
    <s v="8/01/2020"/>
    <x v="19"/>
    <s v="Female (F)"/>
    <s v="Non-Hispanic White"/>
    <s v="25-34 years"/>
    <n v="1020"/>
    <n v="512"/>
    <m/>
    <n v="98"/>
    <n v="23"/>
    <n v="0"/>
    <m/>
    <m/>
    <m/>
    <m/>
    <n v="129"/>
    <n v="48"/>
    <m/>
    <n v="18"/>
    <n v="18"/>
  </r>
  <r>
    <n v="2020"/>
    <n v="8"/>
    <s v="8/01/2020"/>
    <x v="19"/>
    <s v="Female (F)"/>
    <s v="Non-Hispanic White"/>
    <s v="35-44 years"/>
    <n v="1762"/>
    <n v="1184"/>
    <n v="20"/>
    <n v="278"/>
    <n v="36"/>
    <n v="0"/>
    <n v="16"/>
    <n v="10"/>
    <n v="10"/>
    <m/>
    <n v="178"/>
    <n v="160"/>
    <n v="38"/>
    <n v="36"/>
    <n v="35"/>
  </r>
  <r>
    <n v="2020"/>
    <n v="8"/>
    <s v="8/01/2020"/>
    <x v="19"/>
    <s v="Female (F)"/>
    <s v="Non-Hispanic White"/>
    <s v="45-54 years"/>
    <n v="3643"/>
    <n v="3071"/>
    <n v="56"/>
    <n v="968"/>
    <n v="103"/>
    <m/>
    <n v="37"/>
    <n v="100"/>
    <n v="36"/>
    <n v="38"/>
    <n v="189"/>
    <n v="472"/>
    <n v="102"/>
    <n v="147"/>
    <n v="131"/>
  </r>
  <r>
    <n v="2020"/>
    <n v="8"/>
    <s v="8/01/2020"/>
    <x v="19"/>
    <s v="Female (F)"/>
    <s v="Non-Hispanic White"/>
    <s v="5-14 years"/>
    <n v="76"/>
    <n v="43"/>
    <n v="0"/>
    <n v="14"/>
    <m/>
    <n v="0"/>
    <n v="0"/>
    <m/>
    <n v="0"/>
    <n v="0"/>
    <m/>
    <m/>
    <m/>
    <m/>
    <m/>
  </r>
  <r>
    <n v="2020"/>
    <n v="8"/>
    <s v="8/01/2020"/>
    <x v="19"/>
    <s v="Female (F)"/>
    <s v="Non-Hispanic White"/>
    <s v="55-64 years"/>
    <n v="9410"/>
    <n v="8797"/>
    <n v="151"/>
    <n v="3149"/>
    <n v="298"/>
    <n v="54"/>
    <n v="90"/>
    <n v="583"/>
    <n v="137"/>
    <n v="113"/>
    <n v="225"/>
    <n v="1353"/>
    <n v="297"/>
    <n v="547"/>
    <n v="492"/>
  </r>
  <r>
    <n v="2020"/>
    <n v="8"/>
    <s v="8/01/2020"/>
    <x v="19"/>
    <s v="Female (F)"/>
    <s v="Non-Hispanic White"/>
    <s v="65-74 years"/>
    <n v="16299"/>
    <n v="15778"/>
    <n v="280"/>
    <n v="4979"/>
    <n v="522"/>
    <n v="377"/>
    <n v="188"/>
    <n v="1170"/>
    <n v="238"/>
    <n v="265"/>
    <n v="216"/>
    <n v="2709"/>
    <n v="677"/>
    <n v="1174"/>
    <n v="1057"/>
  </r>
  <r>
    <n v="2020"/>
    <n v="8"/>
    <s v="8/01/2020"/>
    <x v="19"/>
    <s v="Female (F)"/>
    <s v="Non-Hispanic White"/>
    <s v="75-84 years"/>
    <n v="24330"/>
    <n v="23619"/>
    <n v="334"/>
    <n v="5175"/>
    <n v="603"/>
    <n v="1528"/>
    <n v="309"/>
    <n v="1690"/>
    <n v="403"/>
    <n v="372"/>
    <n v="251"/>
    <n v="4549"/>
    <n v="1433"/>
    <n v="2030"/>
    <n v="1774"/>
  </r>
  <r>
    <n v="2020"/>
    <n v="8"/>
    <s v="8/01/2020"/>
    <x v="19"/>
    <s v="Female (F)"/>
    <s v="Non-Hispanic White"/>
    <s v="85 years and over"/>
    <n v="38733"/>
    <n v="37612"/>
    <n v="347"/>
    <n v="3689"/>
    <n v="591"/>
    <n v="4127"/>
    <n v="430"/>
    <n v="1569"/>
    <n v="394"/>
    <n v="538"/>
    <n v="584"/>
    <n v="9641"/>
    <n v="2879"/>
    <n v="3220"/>
    <n v="2686"/>
  </r>
  <r>
    <n v="2020"/>
    <n v="8"/>
    <s v="8/01/2020"/>
    <x v="19"/>
    <s v="Female (F)"/>
    <s v="Other"/>
    <s v="0-4 years"/>
    <n v="39"/>
    <n v="37"/>
    <n v="0"/>
    <n v="0"/>
    <n v="0"/>
    <n v="0"/>
    <n v="0"/>
    <n v="0"/>
    <n v="0"/>
    <n v="0"/>
    <m/>
    <m/>
    <n v="0"/>
    <n v="0"/>
    <n v="0"/>
  </r>
  <r>
    <n v="2020"/>
    <n v="8"/>
    <s v="8/01/2020"/>
    <x v="19"/>
    <s v="Female (F)"/>
    <s v="Other"/>
    <s v="15-24 years"/>
    <n v="17"/>
    <m/>
    <n v="0"/>
    <m/>
    <n v="0"/>
    <n v="0"/>
    <n v="0"/>
    <n v="0"/>
    <n v="0"/>
    <n v="0"/>
    <m/>
    <n v="0"/>
    <n v="0"/>
    <n v="0"/>
    <n v="0"/>
  </r>
  <r>
    <n v="2020"/>
    <n v="8"/>
    <s v="8/01/2020"/>
    <x v="19"/>
    <s v="Female (F)"/>
    <s v="Other"/>
    <s v="25-34 years"/>
    <n v="40"/>
    <n v="16"/>
    <n v="0"/>
    <m/>
    <n v="0"/>
    <n v="0"/>
    <n v="0"/>
    <n v="0"/>
    <n v="0"/>
    <n v="0"/>
    <m/>
    <m/>
    <m/>
    <m/>
    <m/>
  </r>
  <r>
    <n v="2020"/>
    <n v="8"/>
    <s v="8/01/2020"/>
    <x v="19"/>
    <s v="Female (F)"/>
    <s v="Other"/>
    <s v="35-44 years"/>
    <n v="41"/>
    <n v="32"/>
    <m/>
    <m/>
    <m/>
    <n v="0"/>
    <m/>
    <n v="0"/>
    <n v="0"/>
    <n v="0"/>
    <m/>
    <m/>
    <m/>
    <m/>
    <m/>
  </r>
  <r>
    <n v="2020"/>
    <n v="8"/>
    <s v="8/01/2020"/>
    <x v="19"/>
    <s v="Female (F)"/>
    <s v="Other"/>
    <s v="45-54 years"/>
    <n v="73"/>
    <n v="64"/>
    <m/>
    <n v="15"/>
    <m/>
    <n v="0"/>
    <m/>
    <n v="0"/>
    <n v="0"/>
    <m/>
    <n v="10"/>
    <n v="11"/>
    <m/>
    <m/>
    <m/>
  </r>
  <r>
    <n v="2020"/>
    <n v="8"/>
    <s v="8/01/2020"/>
    <x v="19"/>
    <s v="Female (F)"/>
    <s v="Other"/>
    <s v="5-14 years"/>
    <m/>
    <m/>
    <n v="0"/>
    <m/>
    <n v="0"/>
    <n v="0"/>
    <n v="0"/>
    <n v="0"/>
    <n v="0"/>
    <n v="0"/>
    <m/>
    <n v="0"/>
    <n v="0"/>
    <n v="0"/>
    <n v="0"/>
  </r>
  <r>
    <n v="2020"/>
    <n v="8"/>
    <s v="8/01/2020"/>
    <x v="19"/>
    <s v="Female (F)"/>
    <s v="Other"/>
    <s v="55-64 years"/>
    <n v="138"/>
    <n v="131"/>
    <n v="0"/>
    <n v="42"/>
    <n v="10"/>
    <n v="0"/>
    <n v="0"/>
    <m/>
    <m/>
    <n v="0"/>
    <m/>
    <n v="23"/>
    <m/>
    <n v="15"/>
    <n v="12"/>
  </r>
  <r>
    <n v="2020"/>
    <n v="8"/>
    <s v="8/01/2020"/>
    <x v="19"/>
    <s v="Female (F)"/>
    <s v="Other"/>
    <s v="65-74 years"/>
    <n v="185"/>
    <n v="179"/>
    <n v="0"/>
    <n v="49"/>
    <n v="12"/>
    <m/>
    <m/>
    <m/>
    <m/>
    <m/>
    <m/>
    <n v="38"/>
    <n v="10"/>
    <n v="12"/>
    <n v="12"/>
  </r>
  <r>
    <n v="2020"/>
    <n v="8"/>
    <s v="8/01/2020"/>
    <x v="19"/>
    <s v="Female (F)"/>
    <s v="Other"/>
    <s v="75-84 years"/>
    <n v="182"/>
    <n v="175"/>
    <m/>
    <n v="27"/>
    <m/>
    <n v="10"/>
    <m/>
    <m/>
    <n v="0"/>
    <m/>
    <m/>
    <n v="42"/>
    <n v="19"/>
    <n v="24"/>
    <n v="23"/>
  </r>
  <r>
    <n v="2020"/>
    <n v="8"/>
    <s v="8/01/2020"/>
    <x v="19"/>
    <s v="Female (F)"/>
    <s v="Other"/>
    <s v="85 years and over"/>
    <n v="200"/>
    <n v="198"/>
    <m/>
    <n v="20"/>
    <m/>
    <n v="30"/>
    <m/>
    <m/>
    <n v="0"/>
    <m/>
    <m/>
    <n v="44"/>
    <n v="17"/>
    <n v="19"/>
    <n v="17"/>
  </r>
  <r>
    <n v="2020"/>
    <n v="8"/>
    <s v="8/01/2020"/>
    <x v="19"/>
    <s v="Male (M)"/>
    <s v="Hispanic"/>
    <s v="0-4 years"/>
    <n v="226"/>
    <n v="207"/>
    <m/>
    <m/>
    <n v="0"/>
    <n v="0"/>
    <m/>
    <n v="0"/>
    <m/>
    <m/>
    <n v="29"/>
    <m/>
    <m/>
    <n v="0"/>
    <n v="0"/>
  </r>
  <r>
    <n v="2020"/>
    <n v="8"/>
    <s v="8/01/2020"/>
    <x v="19"/>
    <s v="Male (M)"/>
    <s v="Hispanic"/>
    <s v="15-24 years"/>
    <n v="600"/>
    <n v="141"/>
    <n v="0"/>
    <n v="18"/>
    <n v="0"/>
    <n v="0"/>
    <n v="0"/>
    <n v="0"/>
    <m/>
    <n v="0"/>
    <n v="67"/>
    <n v="10"/>
    <m/>
    <n v="18"/>
    <n v="15"/>
  </r>
  <r>
    <n v="2020"/>
    <n v="8"/>
    <s v="8/01/2020"/>
    <x v="19"/>
    <s v="Male (M)"/>
    <s v="Hispanic"/>
    <s v="25-34 years"/>
    <n v="913"/>
    <n v="332"/>
    <m/>
    <n v="28"/>
    <m/>
    <n v="0"/>
    <m/>
    <m/>
    <m/>
    <m/>
    <n v="103"/>
    <n v="31"/>
    <m/>
    <n v="67"/>
    <n v="59"/>
  </r>
  <r>
    <n v="2020"/>
    <n v="8"/>
    <s v="8/01/2020"/>
    <x v="19"/>
    <s v="Male (M)"/>
    <s v="Hispanic"/>
    <s v="35-44 years"/>
    <n v="1228"/>
    <n v="796"/>
    <m/>
    <n v="76"/>
    <n v="32"/>
    <n v="0"/>
    <m/>
    <m/>
    <m/>
    <n v="11"/>
    <n v="113"/>
    <n v="99"/>
    <n v="22"/>
    <n v="231"/>
    <n v="215"/>
  </r>
  <r>
    <n v="2020"/>
    <n v="8"/>
    <s v="8/01/2020"/>
    <x v="19"/>
    <s v="Male (M)"/>
    <s v="Hispanic"/>
    <s v="45-54 years"/>
    <n v="1821"/>
    <n v="1522"/>
    <n v="19"/>
    <n v="151"/>
    <n v="72"/>
    <n v="0"/>
    <n v="21"/>
    <n v="11"/>
    <m/>
    <n v="13"/>
    <n v="101"/>
    <n v="201"/>
    <n v="51"/>
    <n v="585"/>
    <n v="552"/>
  </r>
  <r>
    <n v="2020"/>
    <n v="8"/>
    <s v="8/01/2020"/>
    <x v="19"/>
    <s v="Male (M)"/>
    <s v="Hispanic"/>
    <s v="5-14 years"/>
    <n v="44"/>
    <n v="19"/>
    <n v="0"/>
    <m/>
    <m/>
    <n v="0"/>
    <n v="0"/>
    <m/>
    <n v="0"/>
    <m/>
    <m/>
    <n v="0"/>
    <m/>
    <m/>
    <m/>
  </r>
  <r>
    <n v="2020"/>
    <n v="8"/>
    <s v="8/01/2020"/>
    <x v="19"/>
    <s v="Male (M)"/>
    <s v="Hispanic"/>
    <s v="55-64 years"/>
    <n v="2874"/>
    <n v="2664"/>
    <n v="30"/>
    <n v="420"/>
    <n v="140"/>
    <m/>
    <n v="34"/>
    <n v="24"/>
    <n v="14"/>
    <n v="36"/>
    <n v="72"/>
    <n v="423"/>
    <n v="82"/>
    <n v="1040"/>
    <n v="992"/>
  </r>
  <r>
    <n v="2020"/>
    <n v="8"/>
    <s v="8/01/2020"/>
    <x v="19"/>
    <s v="Male (M)"/>
    <s v="Hispanic"/>
    <s v="65-74 years"/>
    <n v="3255"/>
    <n v="3144"/>
    <n v="33"/>
    <n v="551"/>
    <n v="143"/>
    <n v="25"/>
    <n v="39"/>
    <n v="50"/>
    <n v="25"/>
    <n v="42"/>
    <n v="34"/>
    <n v="523"/>
    <n v="99"/>
    <n v="1247"/>
    <n v="1193"/>
  </r>
  <r>
    <n v="2020"/>
    <n v="8"/>
    <s v="8/01/2020"/>
    <x v="19"/>
    <s v="Male (M)"/>
    <s v="Hispanic"/>
    <s v="75-84 years"/>
    <n v="2894"/>
    <n v="2828"/>
    <n v="27"/>
    <n v="473"/>
    <n v="130"/>
    <n v="80"/>
    <n v="37"/>
    <n v="63"/>
    <n v="41"/>
    <n v="60"/>
    <n v="24"/>
    <n v="486"/>
    <n v="128"/>
    <n v="933"/>
    <n v="879"/>
  </r>
  <r>
    <n v="2020"/>
    <n v="8"/>
    <s v="8/01/2020"/>
    <x v="19"/>
    <s v="Male (M)"/>
    <s v="Hispanic"/>
    <s v="85 years and over"/>
    <n v="2164"/>
    <n v="2115"/>
    <n v="13"/>
    <n v="203"/>
    <n v="72"/>
    <n v="166"/>
    <n v="33"/>
    <n v="73"/>
    <n v="26"/>
    <n v="36"/>
    <n v="24"/>
    <n v="425"/>
    <n v="147"/>
    <n v="566"/>
    <n v="524"/>
  </r>
  <r>
    <n v="2020"/>
    <n v="8"/>
    <s v="8/01/2020"/>
    <x v="19"/>
    <s v="Male (M)"/>
    <s v="Non-Hispanic American Indian or Alaska Native"/>
    <s v="0-4 years"/>
    <n v="13"/>
    <m/>
    <n v="0"/>
    <n v="0"/>
    <n v="0"/>
    <n v="0"/>
    <n v="0"/>
    <n v="0"/>
    <n v="0"/>
    <n v="0"/>
    <m/>
    <n v="0"/>
    <n v="0"/>
    <n v="0"/>
    <n v="0"/>
  </r>
  <r>
    <n v="2020"/>
    <n v="8"/>
    <s v="8/01/2020"/>
    <x v="19"/>
    <s v="Male (M)"/>
    <s v="Non-Hispanic American Indian or Alaska Native"/>
    <s v="15-24 years"/>
    <n v="29"/>
    <m/>
    <n v="0"/>
    <n v="0"/>
    <n v="0"/>
    <n v="0"/>
    <n v="0"/>
    <m/>
    <n v="0"/>
    <n v="0"/>
    <m/>
    <n v="0"/>
    <n v="0"/>
    <n v="0"/>
    <n v="0"/>
  </r>
  <r>
    <n v="2020"/>
    <n v="8"/>
    <s v="8/01/2020"/>
    <x v="19"/>
    <s v="Male (M)"/>
    <s v="Non-Hispanic American Indian or Alaska Native"/>
    <s v="25-34 years"/>
    <n v="80"/>
    <n v="37"/>
    <m/>
    <m/>
    <n v="0"/>
    <n v="0"/>
    <n v="0"/>
    <n v="0"/>
    <n v="0"/>
    <m/>
    <n v="10"/>
    <m/>
    <n v="0"/>
    <m/>
    <m/>
  </r>
  <r>
    <n v="2020"/>
    <n v="8"/>
    <s v="8/01/2020"/>
    <x v="19"/>
    <s v="Male (M)"/>
    <s v="Non-Hispanic American Indian or Alaska Native"/>
    <s v="35-44 years"/>
    <n v="112"/>
    <n v="64"/>
    <m/>
    <m/>
    <m/>
    <n v="0"/>
    <n v="0"/>
    <n v="0"/>
    <n v="0"/>
    <m/>
    <m/>
    <n v="11"/>
    <n v="0"/>
    <n v="10"/>
    <m/>
  </r>
  <r>
    <n v="2020"/>
    <n v="8"/>
    <s v="8/01/2020"/>
    <x v="19"/>
    <s v="Male (M)"/>
    <s v="Non-Hispanic American Indian or Alaska Native"/>
    <s v="45-54 years"/>
    <n v="148"/>
    <n v="116"/>
    <m/>
    <n v="10"/>
    <n v="12"/>
    <n v="0"/>
    <m/>
    <m/>
    <m/>
    <m/>
    <m/>
    <n v="13"/>
    <m/>
    <n v="21"/>
    <n v="20"/>
  </r>
  <r>
    <n v="2020"/>
    <n v="8"/>
    <s v="8/01/2020"/>
    <x v="19"/>
    <s v="Male (M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20"/>
    <n v="8"/>
    <s v="8/01/2020"/>
    <x v="19"/>
    <s v="Male (M)"/>
    <s v="Non-Hispanic American Indian or Alaska Native"/>
    <s v="55-64 years"/>
    <n v="228"/>
    <n v="204"/>
    <m/>
    <n v="40"/>
    <n v="12"/>
    <n v="0"/>
    <m/>
    <m/>
    <m/>
    <m/>
    <m/>
    <n v="38"/>
    <m/>
    <n v="40"/>
    <n v="38"/>
  </r>
  <r>
    <n v="2020"/>
    <n v="8"/>
    <s v="8/01/2020"/>
    <x v="19"/>
    <s v="Male (M)"/>
    <s v="Non-Hispanic American Indian or Alaska Native"/>
    <s v="65-74 years"/>
    <n v="207"/>
    <n v="201"/>
    <m/>
    <n v="50"/>
    <n v="15"/>
    <m/>
    <m/>
    <m/>
    <m/>
    <m/>
    <m/>
    <n v="33"/>
    <m/>
    <n v="48"/>
    <n v="44"/>
  </r>
  <r>
    <n v="2020"/>
    <n v="8"/>
    <s v="8/01/2020"/>
    <x v="19"/>
    <s v="Male (M)"/>
    <s v="Non-Hispanic American Indian or Alaska Native"/>
    <s v="75-84 years"/>
    <n v="167"/>
    <n v="164"/>
    <m/>
    <n v="33"/>
    <m/>
    <m/>
    <m/>
    <m/>
    <m/>
    <m/>
    <m/>
    <n v="38"/>
    <m/>
    <n v="39"/>
    <n v="37"/>
  </r>
  <r>
    <n v="2020"/>
    <n v="8"/>
    <s v="8/01/2020"/>
    <x v="19"/>
    <s v="Male (M)"/>
    <s v="Non-Hispanic American Indian or Alaska Native"/>
    <s v="85 years and over"/>
    <n v="86"/>
    <n v="84"/>
    <m/>
    <m/>
    <m/>
    <m/>
    <m/>
    <m/>
    <m/>
    <m/>
    <m/>
    <n v="16"/>
    <m/>
    <n v="14"/>
    <n v="12"/>
  </r>
  <r>
    <n v="2020"/>
    <n v="8"/>
    <s v="8/01/2020"/>
    <x v="19"/>
    <s v="Male (M)"/>
    <s v="Non-Hispanic Asian"/>
    <s v="0-4 years"/>
    <n v="24"/>
    <n v="22"/>
    <m/>
    <n v="0"/>
    <n v="0"/>
    <n v="0"/>
    <m/>
    <n v="0"/>
    <n v="0"/>
    <n v="0"/>
    <n v="0"/>
    <n v="0"/>
    <n v="0"/>
    <n v="0"/>
    <n v="0"/>
  </r>
  <r>
    <n v="2020"/>
    <n v="8"/>
    <s v="8/01/2020"/>
    <x v="19"/>
    <s v="Male (M)"/>
    <s v="Non-Hispanic Asian"/>
    <s v="15-24 years"/>
    <n v="56"/>
    <n v="10"/>
    <n v="0"/>
    <m/>
    <n v="0"/>
    <n v="0"/>
    <n v="0"/>
    <n v="0"/>
    <n v="0"/>
    <n v="0"/>
    <m/>
    <m/>
    <n v="0"/>
    <n v="0"/>
    <n v="0"/>
  </r>
  <r>
    <n v="2020"/>
    <n v="8"/>
    <s v="8/01/2020"/>
    <x v="19"/>
    <s v="Male (M)"/>
    <s v="Non-Hispanic Asian"/>
    <s v="25-34 years"/>
    <n v="89"/>
    <n v="38"/>
    <n v="0"/>
    <m/>
    <m/>
    <n v="0"/>
    <m/>
    <n v="0"/>
    <m/>
    <m/>
    <n v="11"/>
    <n v="0"/>
    <m/>
    <m/>
    <m/>
  </r>
  <r>
    <n v="2020"/>
    <n v="8"/>
    <s v="8/01/2020"/>
    <x v="19"/>
    <s v="Male (M)"/>
    <s v="Non-Hispanic Asian"/>
    <s v="35-44 years"/>
    <n v="155"/>
    <n v="105"/>
    <m/>
    <n v="21"/>
    <m/>
    <n v="0"/>
    <n v="0"/>
    <n v="0"/>
    <m/>
    <n v="0"/>
    <n v="11"/>
    <n v="20"/>
    <m/>
    <n v="17"/>
    <n v="16"/>
  </r>
  <r>
    <n v="2020"/>
    <n v="8"/>
    <s v="8/01/2020"/>
    <x v="19"/>
    <s v="Male (M)"/>
    <s v="Non-Hispanic Asian"/>
    <s v="45-54 years"/>
    <n v="261"/>
    <n v="217"/>
    <m/>
    <n v="50"/>
    <n v="14"/>
    <n v="0"/>
    <m/>
    <m/>
    <m/>
    <m/>
    <n v="12"/>
    <n v="56"/>
    <n v="16"/>
    <n v="30"/>
    <n v="25"/>
  </r>
  <r>
    <n v="2020"/>
    <n v="8"/>
    <s v="8/01/2020"/>
    <x v="19"/>
    <s v="Male (M)"/>
    <s v="Non-Hispanic Asian"/>
    <s v="5-14 years"/>
    <m/>
    <m/>
    <n v="0"/>
    <n v="0"/>
    <n v="0"/>
    <n v="0"/>
    <n v="0"/>
    <n v="0"/>
    <n v="0"/>
    <n v="0"/>
    <m/>
    <m/>
    <n v="0"/>
    <n v="0"/>
    <n v="0"/>
  </r>
  <r>
    <n v="2020"/>
    <n v="8"/>
    <s v="8/01/2020"/>
    <x v="19"/>
    <s v="Male (M)"/>
    <s v="Non-Hispanic Asian"/>
    <s v="55-64 years"/>
    <n v="454"/>
    <n v="421"/>
    <m/>
    <n v="125"/>
    <n v="18"/>
    <n v="0"/>
    <m/>
    <m/>
    <m/>
    <n v="10"/>
    <n v="12"/>
    <n v="92"/>
    <n v="24"/>
    <n v="68"/>
    <n v="62"/>
  </r>
  <r>
    <n v="2020"/>
    <n v="8"/>
    <s v="8/01/2020"/>
    <x v="19"/>
    <s v="Male (M)"/>
    <s v="Non-Hispanic Asian"/>
    <s v="65-74 years"/>
    <n v="753"/>
    <n v="731"/>
    <m/>
    <n v="203"/>
    <n v="27"/>
    <m/>
    <n v="10"/>
    <n v="18"/>
    <n v="13"/>
    <n v="12"/>
    <m/>
    <n v="164"/>
    <n v="45"/>
    <n v="123"/>
    <n v="115"/>
  </r>
  <r>
    <n v="2020"/>
    <n v="8"/>
    <s v="8/01/2020"/>
    <x v="19"/>
    <s v="Male (M)"/>
    <s v="Non-Hispanic Asian"/>
    <s v="75-84 years"/>
    <n v="936"/>
    <n v="906"/>
    <n v="10"/>
    <n v="209"/>
    <n v="44"/>
    <n v="24"/>
    <n v="22"/>
    <n v="31"/>
    <n v="12"/>
    <n v="20"/>
    <m/>
    <n v="187"/>
    <n v="53"/>
    <n v="152"/>
    <n v="143"/>
  </r>
  <r>
    <n v="2020"/>
    <n v="8"/>
    <s v="8/01/2020"/>
    <x v="19"/>
    <s v="Male (M)"/>
    <s v="Non-Hispanic Asian"/>
    <s v="85 years and over"/>
    <n v="939"/>
    <n v="910"/>
    <n v="18"/>
    <n v="134"/>
    <n v="33"/>
    <n v="44"/>
    <n v="29"/>
    <n v="30"/>
    <n v="16"/>
    <n v="15"/>
    <n v="12"/>
    <n v="181"/>
    <n v="77"/>
    <n v="114"/>
    <n v="110"/>
  </r>
  <r>
    <n v="2020"/>
    <n v="8"/>
    <s v="8/01/2020"/>
    <x v="19"/>
    <s v="Male (M)"/>
    <s v="Non-Hispanic Black"/>
    <s v="0-4 years"/>
    <n v="260"/>
    <n v="225"/>
    <m/>
    <m/>
    <n v="0"/>
    <n v="0"/>
    <n v="0"/>
    <n v="0"/>
    <m/>
    <m/>
    <n v="67"/>
    <m/>
    <m/>
    <m/>
    <m/>
  </r>
  <r>
    <n v="2020"/>
    <n v="8"/>
    <s v="8/01/2020"/>
    <x v="19"/>
    <s v="Male (M)"/>
    <s v="Non-Hispanic Black"/>
    <s v="15-24 years"/>
    <n v="651"/>
    <n v="132"/>
    <n v="0"/>
    <m/>
    <m/>
    <n v="0"/>
    <n v="0"/>
    <m/>
    <m/>
    <m/>
    <n v="57"/>
    <n v="10"/>
    <m/>
    <n v="13"/>
    <n v="11"/>
  </r>
  <r>
    <n v="2020"/>
    <n v="8"/>
    <s v="8/01/2020"/>
    <x v="19"/>
    <s v="Male (M)"/>
    <s v="Non-Hispanic Black"/>
    <s v="25-34 years"/>
    <n v="1129"/>
    <n v="352"/>
    <m/>
    <n v="21"/>
    <n v="13"/>
    <n v="0"/>
    <m/>
    <m/>
    <m/>
    <m/>
    <n v="97"/>
    <n v="55"/>
    <n v="12"/>
    <n v="27"/>
    <n v="25"/>
  </r>
  <r>
    <n v="2020"/>
    <n v="8"/>
    <s v="8/01/2020"/>
    <x v="19"/>
    <s v="Male (M)"/>
    <s v="Non-Hispanic Black"/>
    <s v="35-44 years"/>
    <n v="1178"/>
    <n v="693"/>
    <n v="11"/>
    <n v="58"/>
    <n v="46"/>
    <n v="0"/>
    <m/>
    <m/>
    <n v="12"/>
    <n v="19"/>
    <n v="105"/>
    <n v="169"/>
    <n v="22"/>
    <n v="84"/>
    <n v="79"/>
  </r>
  <r>
    <n v="2020"/>
    <n v="8"/>
    <s v="8/01/2020"/>
    <x v="19"/>
    <s v="Male (M)"/>
    <s v="Non-Hispanic Black"/>
    <s v="45-54 years"/>
    <n v="1899"/>
    <n v="1507"/>
    <n v="13"/>
    <n v="200"/>
    <n v="87"/>
    <m/>
    <n v="14"/>
    <n v="23"/>
    <n v="16"/>
    <n v="36"/>
    <n v="112"/>
    <n v="436"/>
    <n v="78"/>
    <n v="223"/>
    <n v="214"/>
  </r>
  <r>
    <n v="2020"/>
    <n v="8"/>
    <s v="8/01/2020"/>
    <x v="19"/>
    <s v="Male (M)"/>
    <s v="Non-Hispanic Black"/>
    <s v="5-14 years"/>
    <n v="67"/>
    <n v="27"/>
    <n v="0"/>
    <m/>
    <m/>
    <n v="0"/>
    <m/>
    <m/>
    <n v="0"/>
    <n v="0"/>
    <m/>
    <m/>
    <m/>
    <n v="0"/>
    <n v="0"/>
  </r>
  <r>
    <n v="2020"/>
    <n v="8"/>
    <s v="8/01/2020"/>
    <x v="19"/>
    <s v="Male (M)"/>
    <s v="Non-Hispanic Black"/>
    <s v="55-64 years"/>
    <n v="4008"/>
    <n v="3601"/>
    <n v="64"/>
    <n v="713"/>
    <n v="184"/>
    <m/>
    <n v="41"/>
    <n v="93"/>
    <n v="46"/>
    <n v="94"/>
    <n v="151"/>
    <n v="981"/>
    <n v="175"/>
    <n v="482"/>
    <n v="450"/>
  </r>
  <r>
    <n v="2020"/>
    <n v="8"/>
    <s v="8/01/2020"/>
    <x v="19"/>
    <s v="Male (M)"/>
    <s v="Non-Hispanic Black"/>
    <s v="65-74 years"/>
    <n v="4708"/>
    <n v="4547"/>
    <n v="73"/>
    <n v="1018"/>
    <n v="220"/>
    <n v="32"/>
    <n v="67"/>
    <n v="139"/>
    <n v="56"/>
    <n v="108"/>
    <n v="80"/>
    <n v="1082"/>
    <n v="207"/>
    <n v="804"/>
    <n v="740"/>
  </r>
  <r>
    <n v="2020"/>
    <n v="8"/>
    <s v="8/01/2020"/>
    <x v="19"/>
    <s v="Male (M)"/>
    <s v="Non-Hispanic Black"/>
    <s v="75-84 years"/>
    <n v="3443"/>
    <n v="3376"/>
    <n v="51"/>
    <n v="684"/>
    <n v="142"/>
    <n v="87"/>
    <n v="61"/>
    <n v="116"/>
    <n v="25"/>
    <n v="104"/>
    <n v="52"/>
    <n v="673"/>
    <n v="203"/>
    <n v="650"/>
    <n v="606"/>
  </r>
  <r>
    <n v="2020"/>
    <n v="8"/>
    <s v="8/01/2020"/>
    <x v="19"/>
    <s v="Male (M)"/>
    <s v="Non-Hispanic Black"/>
    <s v="85 years and over"/>
    <n v="2108"/>
    <n v="2076"/>
    <n v="31"/>
    <n v="295"/>
    <n v="74"/>
    <n v="117"/>
    <n v="19"/>
    <n v="66"/>
    <n v="19"/>
    <n v="53"/>
    <n v="27"/>
    <n v="459"/>
    <n v="129"/>
    <n v="375"/>
    <n v="341"/>
  </r>
  <r>
    <n v="2020"/>
    <n v="8"/>
    <s v="8/01/2020"/>
    <x v="19"/>
    <s v="Male (M)"/>
    <s v="Non-Hispanic White"/>
    <s v="0-4 years"/>
    <n v="402"/>
    <n v="349"/>
    <m/>
    <m/>
    <n v="0"/>
    <n v="0"/>
    <m/>
    <n v="0"/>
    <m/>
    <m/>
    <n v="60"/>
    <m/>
    <m/>
    <m/>
    <m/>
  </r>
  <r>
    <n v="2020"/>
    <n v="8"/>
    <s v="8/01/2020"/>
    <x v="19"/>
    <s v="Male (M)"/>
    <s v="Non-Hispanic White"/>
    <s v="15-24 years"/>
    <n v="1068"/>
    <n v="245"/>
    <m/>
    <n v="45"/>
    <m/>
    <n v="0"/>
    <m/>
    <m/>
    <m/>
    <n v="0"/>
    <n v="95"/>
    <n v="21"/>
    <m/>
    <n v="11"/>
    <m/>
  </r>
  <r>
    <n v="2020"/>
    <n v="8"/>
    <s v="8/01/2020"/>
    <x v="19"/>
    <s v="Male (M)"/>
    <s v="Non-Hispanic White"/>
    <s v="25-34 years"/>
    <n v="2399"/>
    <n v="799"/>
    <m/>
    <n v="63"/>
    <n v="25"/>
    <n v="0"/>
    <m/>
    <m/>
    <m/>
    <m/>
    <n v="305"/>
    <n v="100"/>
    <m/>
    <n v="24"/>
    <n v="16"/>
  </r>
  <r>
    <n v="2020"/>
    <n v="8"/>
    <s v="8/01/2020"/>
    <x v="19"/>
    <s v="Male (M)"/>
    <s v="Non-Hispanic White"/>
    <s v="35-44 years"/>
    <n v="3374"/>
    <n v="1761"/>
    <n v="24"/>
    <n v="226"/>
    <n v="64"/>
    <m/>
    <n v="19"/>
    <m/>
    <n v="17"/>
    <n v="12"/>
    <n v="372"/>
    <n v="342"/>
    <n v="38"/>
    <n v="52"/>
    <n v="44"/>
  </r>
  <r>
    <n v="2020"/>
    <n v="8"/>
    <s v="8/01/2020"/>
    <x v="19"/>
    <s v="Male (M)"/>
    <s v="Non-Hispanic White"/>
    <s v="45-54 years"/>
    <n v="6020"/>
    <n v="4582"/>
    <n v="54"/>
    <n v="955"/>
    <n v="204"/>
    <m/>
    <n v="51"/>
    <n v="91"/>
    <n v="38"/>
    <n v="60"/>
    <n v="346"/>
    <n v="1217"/>
    <n v="146"/>
    <n v="238"/>
    <n v="208"/>
  </r>
  <r>
    <n v="2020"/>
    <n v="8"/>
    <s v="8/01/2020"/>
    <x v="19"/>
    <s v="Male (M)"/>
    <s v="Non-Hispanic White"/>
    <s v="5-14 years"/>
    <n v="135"/>
    <n v="57"/>
    <n v="0"/>
    <n v="16"/>
    <m/>
    <n v="0"/>
    <n v="0"/>
    <m/>
    <m/>
    <n v="0"/>
    <m/>
    <m/>
    <m/>
    <m/>
    <m/>
  </r>
  <r>
    <n v="2020"/>
    <n v="8"/>
    <s v="8/01/2020"/>
    <x v="19"/>
    <s v="Male (M)"/>
    <s v="Non-Hispanic White"/>
    <s v="55-64 years"/>
    <n v="14671"/>
    <n v="13076"/>
    <n v="172"/>
    <n v="3610"/>
    <n v="498"/>
    <n v="33"/>
    <n v="130"/>
    <n v="597"/>
    <n v="138"/>
    <n v="147"/>
    <n v="443"/>
    <n v="3436"/>
    <n v="359"/>
    <n v="828"/>
    <n v="763"/>
  </r>
  <r>
    <n v="2020"/>
    <n v="8"/>
    <s v="8/01/2020"/>
    <x v="19"/>
    <s v="Male (M)"/>
    <s v="Non-Hispanic White"/>
    <s v="65-74 years"/>
    <n v="23001"/>
    <n v="21863"/>
    <n v="301"/>
    <n v="6429"/>
    <n v="834"/>
    <n v="247"/>
    <n v="273"/>
    <n v="1303"/>
    <n v="353"/>
    <n v="291"/>
    <n v="315"/>
    <n v="5151"/>
    <n v="722"/>
    <n v="1833"/>
    <n v="1692"/>
  </r>
  <r>
    <n v="2020"/>
    <n v="8"/>
    <s v="8/01/2020"/>
    <x v="19"/>
    <s v="Male (M)"/>
    <s v="Non-Hispanic White"/>
    <s v="75-84 years"/>
    <n v="26676"/>
    <n v="25592"/>
    <n v="324"/>
    <n v="5895"/>
    <n v="786"/>
    <n v="886"/>
    <n v="313"/>
    <n v="1596"/>
    <n v="448"/>
    <n v="433"/>
    <n v="252"/>
    <n v="5896"/>
    <n v="1272"/>
    <n v="2618"/>
    <n v="2365"/>
  </r>
  <r>
    <n v="2020"/>
    <n v="8"/>
    <s v="8/01/2020"/>
    <x v="19"/>
    <s v="Male (M)"/>
    <s v="Non-Hispanic White"/>
    <s v="85 years and over"/>
    <n v="24748"/>
    <n v="23842"/>
    <n v="248"/>
    <n v="3528"/>
    <n v="519"/>
    <n v="1493"/>
    <n v="371"/>
    <n v="1010"/>
    <n v="337"/>
    <n v="453"/>
    <n v="289"/>
    <n v="6798"/>
    <n v="1428"/>
    <n v="2275"/>
    <n v="2029"/>
  </r>
  <r>
    <n v="2020"/>
    <n v="8"/>
    <s v="8/01/2020"/>
    <x v="19"/>
    <s v="Male (M)"/>
    <s v="Other"/>
    <s v="0-4 years"/>
    <n v="49"/>
    <n v="45"/>
    <m/>
    <n v="0"/>
    <n v="0"/>
    <n v="0"/>
    <n v="0"/>
    <n v="0"/>
    <n v="0"/>
    <n v="0"/>
    <n v="11"/>
    <m/>
    <n v="0"/>
    <m/>
    <n v="0"/>
  </r>
  <r>
    <n v="2020"/>
    <n v="8"/>
    <s v="8/01/2020"/>
    <x v="19"/>
    <s v="Male (M)"/>
    <s v="Other"/>
    <s v="15-24 years"/>
    <n v="58"/>
    <n v="11"/>
    <n v="0"/>
    <n v="0"/>
    <n v="0"/>
    <n v="0"/>
    <n v="0"/>
    <n v="0"/>
    <n v="0"/>
    <n v="0"/>
    <m/>
    <m/>
    <n v="0"/>
    <m/>
    <m/>
  </r>
  <r>
    <n v="2020"/>
    <n v="8"/>
    <s v="8/01/2020"/>
    <x v="19"/>
    <s v="Male (M)"/>
    <s v="Other"/>
    <s v="25-34 years"/>
    <n v="92"/>
    <n v="40"/>
    <m/>
    <m/>
    <m/>
    <n v="0"/>
    <n v="0"/>
    <n v="0"/>
    <n v="0"/>
    <n v="0"/>
    <n v="12"/>
    <m/>
    <n v="0"/>
    <n v="0"/>
    <n v="0"/>
  </r>
  <r>
    <n v="2020"/>
    <n v="8"/>
    <s v="8/01/2020"/>
    <x v="19"/>
    <s v="Male (M)"/>
    <s v="Other"/>
    <s v="35-44 years"/>
    <n v="98"/>
    <n v="65"/>
    <n v="0"/>
    <m/>
    <n v="0"/>
    <n v="0"/>
    <m/>
    <n v="0"/>
    <m/>
    <m/>
    <n v="15"/>
    <n v="14"/>
    <m/>
    <m/>
    <m/>
  </r>
  <r>
    <n v="2020"/>
    <n v="8"/>
    <s v="8/01/2020"/>
    <x v="19"/>
    <s v="Male (M)"/>
    <s v="Other"/>
    <s v="45-54 years"/>
    <n v="149"/>
    <n v="108"/>
    <n v="0"/>
    <n v="15"/>
    <m/>
    <n v="0"/>
    <m/>
    <m/>
    <m/>
    <n v="0"/>
    <n v="17"/>
    <n v="28"/>
    <m/>
    <n v="11"/>
    <n v="10"/>
  </r>
  <r>
    <n v="2020"/>
    <n v="8"/>
    <s v="8/01/2020"/>
    <x v="19"/>
    <s v="Male (M)"/>
    <s v="Other"/>
    <s v="5-14 years"/>
    <m/>
    <m/>
    <n v="0"/>
    <m/>
    <n v="0"/>
    <n v="0"/>
    <n v="0"/>
    <n v="0"/>
    <n v="0"/>
    <n v="0"/>
    <m/>
    <m/>
    <n v="0"/>
    <n v="0"/>
    <n v="0"/>
  </r>
  <r>
    <n v="2020"/>
    <n v="8"/>
    <s v="8/01/2020"/>
    <x v="19"/>
    <s v="Male (M)"/>
    <s v="Other"/>
    <s v="55-64 years"/>
    <n v="261"/>
    <n v="233"/>
    <m/>
    <n v="44"/>
    <n v="12"/>
    <n v="0"/>
    <m/>
    <m/>
    <m/>
    <m/>
    <n v="24"/>
    <n v="50"/>
    <m/>
    <n v="31"/>
    <n v="25"/>
  </r>
  <r>
    <n v="2020"/>
    <n v="8"/>
    <s v="8/01/2020"/>
    <x v="19"/>
    <s v="Male (M)"/>
    <s v="Other"/>
    <s v="65-74 years"/>
    <n v="319"/>
    <n v="299"/>
    <m/>
    <n v="63"/>
    <n v="16"/>
    <m/>
    <m/>
    <n v="21"/>
    <m/>
    <m/>
    <n v="14"/>
    <n v="76"/>
    <n v="10"/>
    <n v="35"/>
    <n v="31"/>
  </r>
  <r>
    <n v="2020"/>
    <n v="8"/>
    <s v="8/01/2020"/>
    <x v="19"/>
    <s v="Male (M)"/>
    <s v="Other"/>
    <s v="75-84 years"/>
    <n v="221"/>
    <n v="212"/>
    <m/>
    <n v="42"/>
    <m/>
    <m/>
    <m/>
    <n v="12"/>
    <m/>
    <m/>
    <m/>
    <n v="64"/>
    <m/>
    <n v="32"/>
    <n v="23"/>
  </r>
  <r>
    <n v="2020"/>
    <n v="8"/>
    <s v="8/01/2020"/>
    <x v="19"/>
    <s v="Male (M)"/>
    <s v="Other"/>
    <s v="85 years and over"/>
    <n v="119"/>
    <n v="114"/>
    <m/>
    <n v="12"/>
    <m/>
    <n v="10"/>
    <m/>
    <m/>
    <m/>
    <m/>
    <m/>
    <n v="27"/>
    <n v="10"/>
    <n v="16"/>
    <n v="14"/>
  </r>
  <r>
    <n v="2020"/>
    <n v="9"/>
    <s v="9/01/2020"/>
    <x v="20"/>
    <s v="Female (F)"/>
    <s v="Hispanic"/>
    <s v="0-4 years"/>
    <n v="143"/>
    <n v="134"/>
    <n v="0"/>
    <m/>
    <n v="0"/>
    <n v="0"/>
    <n v="0"/>
    <n v="0"/>
    <m/>
    <n v="0"/>
    <n v="23"/>
    <m/>
    <n v="0"/>
    <n v="0"/>
    <n v="0"/>
  </r>
  <r>
    <n v="2020"/>
    <n v="9"/>
    <s v="9/01/2020"/>
    <x v="20"/>
    <s v="Female (F)"/>
    <s v="Hispanic"/>
    <s v="15-24 years"/>
    <n v="132"/>
    <n v="61"/>
    <m/>
    <m/>
    <m/>
    <n v="0"/>
    <m/>
    <m/>
    <m/>
    <n v="0"/>
    <n v="17"/>
    <m/>
    <m/>
    <m/>
    <m/>
  </r>
  <r>
    <n v="2020"/>
    <n v="9"/>
    <s v="9/01/2020"/>
    <x v="20"/>
    <s v="Female (F)"/>
    <s v="Hispanic"/>
    <s v="25-34 years"/>
    <n v="262"/>
    <n v="159"/>
    <m/>
    <n v="26"/>
    <m/>
    <n v="0"/>
    <m/>
    <m/>
    <n v="0"/>
    <m/>
    <n v="51"/>
    <m/>
    <m/>
    <n v="18"/>
    <n v="13"/>
  </r>
  <r>
    <n v="2020"/>
    <n v="9"/>
    <s v="9/01/2020"/>
    <x v="20"/>
    <s v="Female (F)"/>
    <s v="Hispanic"/>
    <s v="35-44 years"/>
    <n v="419"/>
    <n v="326"/>
    <m/>
    <n v="84"/>
    <n v="16"/>
    <n v="0"/>
    <m/>
    <m/>
    <m/>
    <m/>
    <n v="34"/>
    <n v="18"/>
    <m/>
    <n v="57"/>
    <n v="55"/>
  </r>
  <r>
    <n v="2020"/>
    <n v="9"/>
    <s v="9/01/2020"/>
    <x v="20"/>
    <s v="Female (F)"/>
    <s v="Hispanic"/>
    <s v="45-54 years"/>
    <n v="676"/>
    <n v="620"/>
    <m/>
    <n v="174"/>
    <n v="35"/>
    <n v="0"/>
    <m/>
    <m/>
    <m/>
    <n v="15"/>
    <n v="51"/>
    <n v="66"/>
    <n v="29"/>
    <n v="104"/>
    <n v="94"/>
  </r>
  <r>
    <n v="2020"/>
    <n v="9"/>
    <s v="9/01/2020"/>
    <x v="20"/>
    <s v="Female (F)"/>
    <s v="Hispanic"/>
    <s v="5-14 years"/>
    <n v="41"/>
    <n v="22"/>
    <n v="0"/>
    <m/>
    <n v="0"/>
    <n v="0"/>
    <n v="0"/>
    <n v="0"/>
    <n v="0"/>
    <n v="0"/>
    <m/>
    <m/>
    <m/>
    <m/>
    <n v="0"/>
  </r>
  <r>
    <n v="2020"/>
    <n v="9"/>
    <s v="9/01/2020"/>
    <x v="20"/>
    <s v="Female (F)"/>
    <s v="Hispanic"/>
    <s v="55-64 years"/>
    <n v="1311"/>
    <n v="1255"/>
    <n v="25"/>
    <n v="357"/>
    <n v="75"/>
    <m/>
    <n v="25"/>
    <n v="22"/>
    <n v="15"/>
    <n v="30"/>
    <n v="26"/>
    <n v="158"/>
    <n v="50"/>
    <n v="263"/>
    <n v="246"/>
  </r>
  <r>
    <n v="2020"/>
    <n v="9"/>
    <s v="9/01/2020"/>
    <x v="20"/>
    <s v="Female (F)"/>
    <s v="Hispanic"/>
    <s v="65-74 years"/>
    <n v="1668"/>
    <n v="1636"/>
    <n v="27"/>
    <n v="446"/>
    <n v="83"/>
    <n v="29"/>
    <n v="26"/>
    <n v="30"/>
    <n v="28"/>
    <n v="38"/>
    <n v="18"/>
    <n v="231"/>
    <n v="71"/>
    <n v="330"/>
    <n v="319"/>
  </r>
  <r>
    <n v="2020"/>
    <n v="9"/>
    <s v="9/01/2020"/>
    <x v="20"/>
    <s v="Female (F)"/>
    <s v="Hispanic"/>
    <s v="75-84 years"/>
    <n v="2149"/>
    <n v="2113"/>
    <n v="40"/>
    <n v="372"/>
    <n v="101"/>
    <n v="137"/>
    <n v="33"/>
    <n v="76"/>
    <n v="38"/>
    <n v="50"/>
    <n v="18"/>
    <n v="389"/>
    <n v="159"/>
    <n v="293"/>
    <n v="263"/>
  </r>
  <r>
    <n v="2020"/>
    <n v="9"/>
    <s v="9/01/2020"/>
    <x v="20"/>
    <s v="Female (F)"/>
    <s v="Hispanic"/>
    <s v="85 years and over"/>
    <n v="2789"/>
    <n v="2735"/>
    <n v="36"/>
    <n v="271"/>
    <n v="104"/>
    <n v="368"/>
    <n v="34"/>
    <n v="64"/>
    <n v="26"/>
    <n v="52"/>
    <n v="22"/>
    <n v="646"/>
    <n v="226"/>
    <n v="261"/>
    <n v="229"/>
  </r>
  <r>
    <n v="2020"/>
    <n v="9"/>
    <s v="9/01/2020"/>
    <x v="20"/>
    <s v="Female (F)"/>
    <s v="Non-Hispanic American Indian or Alaska Native"/>
    <s v="0-4 years"/>
    <n v="10"/>
    <m/>
    <n v="0"/>
    <n v="0"/>
    <n v="0"/>
    <n v="0"/>
    <n v="0"/>
    <n v="0"/>
    <n v="0"/>
    <n v="0"/>
    <m/>
    <n v="0"/>
    <m/>
    <n v="0"/>
    <n v="0"/>
  </r>
  <r>
    <n v="2020"/>
    <n v="9"/>
    <s v="9/01/2020"/>
    <x v="20"/>
    <s v="Female (F)"/>
    <s v="Non-Hispanic American Indian or Alaska Native"/>
    <s v="15-24 years"/>
    <n v="12"/>
    <m/>
    <n v="0"/>
    <n v="0"/>
    <n v="0"/>
    <n v="0"/>
    <n v="0"/>
    <n v="0"/>
    <n v="0"/>
    <n v="0"/>
    <n v="0"/>
    <m/>
    <n v="0"/>
    <n v="0"/>
    <n v="0"/>
  </r>
  <r>
    <n v="2020"/>
    <n v="9"/>
    <s v="9/01/2020"/>
    <x v="20"/>
    <s v="Female (F)"/>
    <s v="Non-Hispanic American Indian or Alaska Native"/>
    <s v="25-34 years"/>
    <n v="39"/>
    <n v="26"/>
    <n v="0"/>
    <n v="0"/>
    <m/>
    <n v="0"/>
    <n v="0"/>
    <m/>
    <n v="0"/>
    <n v="0"/>
    <m/>
    <m/>
    <n v="0"/>
    <m/>
    <m/>
  </r>
  <r>
    <n v="2020"/>
    <n v="9"/>
    <s v="9/01/2020"/>
    <x v="20"/>
    <s v="Female (F)"/>
    <s v="Non-Hispanic American Indian or Alaska Native"/>
    <s v="35-44 years"/>
    <n v="57"/>
    <n v="45"/>
    <m/>
    <m/>
    <m/>
    <n v="0"/>
    <n v="0"/>
    <n v="0"/>
    <m/>
    <n v="0"/>
    <m/>
    <m/>
    <n v="0"/>
    <m/>
    <m/>
  </r>
  <r>
    <n v="2020"/>
    <n v="9"/>
    <s v="9/01/2020"/>
    <x v="20"/>
    <s v="Female (F)"/>
    <s v="Non-Hispanic American Indian or Alaska Native"/>
    <s v="45-54 years"/>
    <n v="81"/>
    <n v="70"/>
    <m/>
    <n v="14"/>
    <m/>
    <n v="0"/>
    <n v="0"/>
    <m/>
    <m/>
    <n v="0"/>
    <m/>
    <m/>
    <n v="0"/>
    <m/>
    <m/>
  </r>
  <r>
    <n v="2020"/>
    <n v="9"/>
    <s v="9/01/2020"/>
    <x v="20"/>
    <s v="Female (F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20"/>
    <n v="9"/>
    <s v="9/01/2020"/>
    <x v="20"/>
    <s v="Female (F)"/>
    <s v="Non-Hispanic American Indian or Alaska Native"/>
    <s v="55-64 years"/>
    <n v="160"/>
    <n v="150"/>
    <m/>
    <n v="29"/>
    <n v="10"/>
    <n v="0"/>
    <n v="0"/>
    <m/>
    <m/>
    <m/>
    <m/>
    <n v="19"/>
    <m/>
    <n v="25"/>
    <n v="22"/>
  </r>
  <r>
    <n v="2020"/>
    <n v="9"/>
    <s v="9/01/2020"/>
    <x v="20"/>
    <s v="Female (F)"/>
    <s v="Non-Hispanic American Indian or Alaska Native"/>
    <s v="65-74 years"/>
    <n v="160"/>
    <n v="156"/>
    <m/>
    <n v="35"/>
    <n v="13"/>
    <m/>
    <m/>
    <m/>
    <m/>
    <m/>
    <m/>
    <n v="22"/>
    <m/>
    <n v="24"/>
    <n v="22"/>
  </r>
  <r>
    <n v="2020"/>
    <n v="9"/>
    <s v="9/01/2020"/>
    <x v="20"/>
    <s v="Female (F)"/>
    <s v="Non-Hispanic American Indian or Alaska Native"/>
    <s v="75-84 years"/>
    <n v="163"/>
    <n v="162"/>
    <m/>
    <n v="32"/>
    <n v="10"/>
    <m/>
    <n v="0"/>
    <m/>
    <m/>
    <m/>
    <m/>
    <n v="31"/>
    <m/>
    <n v="24"/>
    <n v="20"/>
  </r>
  <r>
    <n v="2020"/>
    <n v="9"/>
    <s v="9/01/2020"/>
    <x v="20"/>
    <s v="Female (F)"/>
    <s v="Non-Hispanic American Indian or Alaska Native"/>
    <s v="85 years and over"/>
    <n v="122"/>
    <n v="119"/>
    <m/>
    <n v="10"/>
    <m/>
    <n v="13"/>
    <m/>
    <n v="0"/>
    <m/>
    <m/>
    <m/>
    <n v="28"/>
    <n v="11"/>
    <n v="12"/>
    <n v="11"/>
  </r>
  <r>
    <n v="2020"/>
    <n v="9"/>
    <s v="9/01/2020"/>
    <x v="20"/>
    <s v="Female (F)"/>
    <s v="Non-Hispanic Asian"/>
    <s v="0-4 years"/>
    <n v="16"/>
    <n v="16"/>
    <n v="0"/>
    <m/>
    <n v="0"/>
    <n v="0"/>
    <n v="0"/>
    <n v="0"/>
    <n v="0"/>
    <n v="0"/>
    <m/>
    <n v="0"/>
    <n v="0"/>
    <n v="0"/>
    <n v="0"/>
  </r>
  <r>
    <n v="2020"/>
    <n v="9"/>
    <s v="9/01/2020"/>
    <x v="20"/>
    <s v="Female (F)"/>
    <s v="Non-Hispanic Asian"/>
    <s v="15-24 years"/>
    <n v="18"/>
    <m/>
    <n v="0"/>
    <m/>
    <n v="0"/>
    <n v="0"/>
    <n v="0"/>
    <n v="0"/>
    <m/>
    <n v="0"/>
    <m/>
    <n v="0"/>
    <n v="0"/>
    <n v="0"/>
    <n v="0"/>
  </r>
  <r>
    <n v="2020"/>
    <n v="9"/>
    <s v="9/01/2020"/>
    <x v="20"/>
    <s v="Female (F)"/>
    <s v="Non-Hispanic Asian"/>
    <s v="25-34 years"/>
    <n v="38"/>
    <n v="25"/>
    <n v="0"/>
    <m/>
    <n v="0"/>
    <n v="0"/>
    <n v="0"/>
    <n v="0"/>
    <n v="0"/>
    <n v="0"/>
    <m/>
    <m/>
    <n v="0"/>
    <n v="0"/>
    <n v="0"/>
  </r>
  <r>
    <n v="2020"/>
    <n v="9"/>
    <s v="9/01/2020"/>
    <x v="20"/>
    <s v="Female (F)"/>
    <s v="Non-Hispanic Asian"/>
    <s v="35-44 years"/>
    <n v="58"/>
    <n v="48"/>
    <m/>
    <n v="19"/>
    <m/>
    <n v="0"/>
    <n v="0"/>
    <n v="0"/>
    <n v="0"/>
    <n v="0"/>
    <m/>
    <m/>
    <m/>
    <m/>
    <m/>
  </r>
  <r>
    <n v="2020"/>
    <n v="9"/>
    <s v="9/01/2020"/>
    <x v="20"/>
    <s v="Female (F)"/>
    <s v="Non-Hispanic Asian"/>
    <s v="45-54 years"/>
    <n v="156"/>
    <n v="145"/>
    <m/>
    <n v="78"/>
    <m/>
    <n v="0"/>
    <m/>
    <n v="0"/>
    <n v="0"/>
    <m/>
    <n v="11"/>
    <m/>
    <n v="15"/>
    <m/>
    <m/>
  </r>
  <r>
    <n v="2020"/>
    <n v="9"/>
    <s v="9/01/2020"/>
    <x v="20"/>
    <s v="Female (F)"/>
    <s v="Non-Hispanic Asian"/>
    <s v="5-14 years"/>
    <m/>
    <m/>
    <n v="0"/>
    <n v="0"/>
    <n v="0"/>
    <n v="0"/>
    <n v="0"/>
    <n v="0"/>
    <n v="0"/>
    <n v="0"/>
    <n v="0"/>
    <n v="0"/>
    <n v="0"/>
    <n v="0"/>
    <n v="0"/>
  </r>
  <r>
    <n v="2020"/>
    <n v="9"/>
    <s v="9/01/2020"/>
    <x v="20"/>
    <s v="Female (F)"/>
    <s v="Non-Hispanic Asian"/>
    <s v="55-64 years"/>
    <n v="303"/>
    <n v="290"/>
    <m/>
    <n v="162"/>
    <m/>
    <m/>
    <m/>
    <m/>
    <m/>
    <m/>
    <m/>
    <n v="25"/>
    <n v="17"/>
    <n v="19"/>
    <n v="17"/>
  </r>
  <r>
    <n v="2020"/>
    <n v="9"/>
    <s v="9/01/2020"/>
    <x v="20"/>
    <s v="Female (F)"/>
    <s v="Non-Hispanic Asian"/>
    <s v="65-74 years"/>
    <n v="512"/>
    <n v="501"/>
    <m/>
    <n v="184"/>
    <n v="35"/>
    <m/>
    <n v="10"/>
    <m/>
    <m/>
    <n v="12"/>
    <m/>
    <n v="71"/>
    <n v="28"/>
    <n v="51"/>
    <n v="44"/>
  </r>
  <r>
    <n v="2020"/>
    <n v="9"/>
    <s v="9/01/2020"/>
    <x v="20"/>
    <s v="Female (F)"/>
    <s v="Non-Hispanic Asian"/>
    <s v="75-84 years"/>
    <n v="729"/>
    <n v="712"/>
    <m/>
    <n v="196"/>
    <n v="52"/>
    <n v="24"/>
    <n v="17"/>
    <n v="13"/>
    <n v="11"/>
    <n v="18"/>
    <n v="10"/>
    <n v="135"/>
    <n v="53"/>
    <n v="50"/>
    <n v="47"/>
  </r>
  <r>
    <n v="2020"/>
    <n v="9"/>
    <s v="9/01/2020"/>
    <x v="20"/>
    <s v="Female (F)"/>
    <s v="Non-Hispanic Asian"/>
    <s v="85 years and over"/>
    <n v="1293"/>
    <n v="1257"/>
    <m/>
    <n v="133"/>
    <n v="40"/>
    <n v="154"/>
    <n v="27"/>
    <n v="30"/>
    <n v="13"/>
    <n v="26"/>
    <n v="16"/>
    <n v="289"/>
    <n v="118"/>
    <n v="114"/>
    <n v="101"/>
  </r>
  <r>
    <n v="2020"/>
    <n v="9"/>
    <s v="9/01/2020"/>
    <x v="20"/>
    <s v="Female (F)"/>
    <s v="Non-Hispanic Black"/>
    <s v="0-4 years"/>
    <n v="197"/>
    <n v="182"/>
    <m/>
    <m/>
    <n v="0"/>
    <n v="0"/>
    <n v="0"/>
    <n v="0"/>
    <m/>
    <n v="0"/>
    <n v="48"/>
    <m/>
    <m/>
    <n v="0"/>
    <n v="0"/>
  </r>
  <r>
    <n v="2020"/>
    <n v="9"/>
    <s v="9/01/2020"/>
    <x v="20"/>
    <s v="Female (F)"/>
    <s v="Non-Hispanic Black"/>
    <s v="15-24 years"/>
    <n v="184"/>
    <n v="78"/>
    <m/>
    <n v="12"/>
    <m/>
    <n v="0"/>
    <m/>
    <m/>
    <m/>
    <m/>
    <n v="25"/>
    <m/>
    <n v="0"/>
    <m/>
    <m/>
  </r>
  <r>
    <n v="2020"/>
    <n v="9"/>
    <s v="9/01/2020"/>
    <x v="20"/>
    <s v="Female (F)"/>
    <s v="Non-Hispanic Black"/>
    <s v="25-34 years"/>
    <n v="347"/>
    <n v="227"/>
    <m/>
    <n v="26"/>
    <m/>
    <n v="0"/>
    <m/>
    <m/>
    <m/>
    <m/>
    <n v="66"/>
    <n v="23"/>
    <m/>
    <n v="18"/>
    <n v="16"/>
  </r>
  <r>
    <n v="2020"/>
    <n v="9"/>
    <s v="9/01/2020"/>
    <x v="20"/>
    <s v="Female (F)"/>
    <s v="Non-Hispanic Black"/>
    <s v="35-44 years"/>
    <n v="599"/>
    <n v="500"/>
    <n v="11"/>
    <n v="105"/>
    <n v="18"/>
    <n v="0"/>
    <m/>
    <m/>
    <n v="10"/>
    <n v="13"/>
    <n v="75"/>
    <n v="80"/>
    <n v="20"/>
    <n v="33"/>
    <n v="30"/>
  </r>
  <r>
    <n v="2020"/>
    <n v="9"/>
    <s v="9/01/2020"/>
    <x v="20"/>
    <s v="Female (F)"/>
    <s v="Non-Hispanic Black"/>
    <s v="45-54 years"/>
    <n v="1067"/>
    <n v="971"/>
    <n v="14"/>
    <n v="238"/>
    <n v="60"/>
    <n v="0"/>
    <n v="13"/>
    <n v="14"/>
    <n v="17"/>
    <n v="16"/>
    <n v="79"/>
    <n v="191"/>
    <n v="47"/>
    <n v="84"/>
    <n v="77"/>
  </r>
  <r>
    <n v="2020"/>
    <n v="9"/>
    <s v="9/01/2020"/>
    <x v="20"/>
    <s v="Female (F)"/>
    <s v="Non-Hispanic Black"/>
    <s v="5-14 years"/>
    <n v="35"/>
    <n v="21"/>
    <n v="0"/>
    <m/>
    <m/>
    <n v="0"/>
    <n v="0"/>
    <m/>
    <n v="0"/>
    <n v="0"/>
    <n v="10"/>
    <n v="0"/>
    <n v="0"/>
    <n v="0"/>
    <n v="0"/>
  </r>
  <r>
    <n v="2020"/>
    <n v="9"/>
    <s v="9/01/2020"/>
    <x v="20"/>
    <s v="Female (F)"/>
    <s v="Non-Hispanic Black"/>
    <s v="55-64 years"/>
    <n v="2336"/>
    <n v="2218"/>
    <n v="54"/>
    <n v="614"/>
    <n v="103"/>
    <m/>
    <n v="28"/>
    <n v="88"/>
    <n v="35"/>
    <n v="61"/>
    <n v="72"/>
    <n v="433"/>
    <n v="100"/>
    <n v="209"/>
    <n v="189"/>
  </r>
  <r>
    <n v="2020"/>
    <n v="9"/>
    <s v="9/01/2020"/>
    <x v="20"/>
    <s v="Female (F)"/>
    <s v="Non-Hispanic Black"/>
    <s v="65-74 years"/>
    <n v="3148"/>
    <n v="3098"/>
    <n v="74"/>
    <n v="790"/>
    <n v="196"/>
    <n v="44"/>
    <n v="34"/>
    <n v="106"/>
    <n v="40"/>
    <n v="106"/>
    <n v="56"/>
    <n v="651"/>
    <n v="165"/>
    <n v="328"/>
    <n v="297"/>
  </r>
  <r>
    <n v="2020"/>
    <n v="9"/>
    <s v="9/01/2020"/>
    <x v="20"/>
    <s v="Female (F)"/>
    <s v="Non-Hispanic Black"/>
    <s v="75-84 years"/>
    <n v="3183"/>
    <n v="3133"/>
    <n v="64"/>
    <n v="589"/>
    <n v="164"/>
    <n v="172"/>
    <n v="40"/>
    <n v="102"/>
    <n v="45"/>
    <n v="101"/>
    <n v="40"/>
    <n v="680"/>
    <n v="214"/>
    <n v="320"/>
    <n v="287"/>
  </r>
  <r>
    <n v="2020"/>
    <n v="9"/>
    <s v="9/01/2020"/>
    <x v="20"/>
    <s v="Female (F)"/>
    <s v="Non-Hispanic Black"/>
    <s v="85 years and over"/>
    <n v="3476"/>
    <n v="3424"/>
    <n v="67"/>
    <n v="354"/>
    <n v="104"/>
    <n v="350"/>
    <n v="42"/>
    <n v="71"/>
    <n v="38"/>
    <n v="91"/>
    <n v="48"/>
    <n v="820"/>
    <n v="311"/>
    <n v="300"/>
    <n v="253"/>
  </r>
  <r>
    <n v="2020"/>
    <n v="9"/>
    <s v="9/01/2020"/>
    <x v="20"/>
    <s v="Female (F)"/>
    <s v="Non-Hispanic White"/>
    <s v="0-4 years"/>
    <n v="285"/>
    <n v="261"/>
    <m/>
    <n v="10"/>
    <n v="0"/>
    <n v="0"/>
    <m/>
    <n v="0"/>
    <m/>
    <n v="0"/>
    <n v="45"/>
    <m/>
    <m/>
    <n v="0"/>
    <n v="0"/>
  </r>
  <r>
    <n v="2020"/>
    <n v="9"/>
    <s v="9/01/2020"/>
    <x v="20"/>
    <s v="Female (F)"/>
    <s v="Non-Hispanic White"/>
    <s v="15-24 years"/>
    <n v="369"/>
    <n v="174"/>
    <m/>
    <n v="19"/>
    <n v="0"/>
    <n v="0"/>
    <m/>
    <m/>
    <m/>
    <m/>
    <n v="88"/>
    <m/>
    <m/>
    <m/>
    <m/>
  </r>
  <r>
    <n v="2020"/>
    <n v="9"/>
    <s v="9/01/2020"/>
    <x v="20"/>
    <s v="Female (F)"/>
    <s v="Non-Hispanic White"/>
    <s v="25-34 years"/>
    <n v="907"/>
    <n v="507"/>
    <m/>
    <n v="80"/>
    <n v="15"/>
    <n v="0"/>
    <m/>
    <m/>
    <m/>
    <m/>
    <n v="172"/>
    <n v="50"/>
    <n v="20"/>
    <n v="13"/>
    <n v="12"/>
  </r>
  <r>
    <n v="2020"/>
    <n v="9"/>
    <s v="9/01/2020"/>
    <x v="20"/>
    <s v="Female (F)"/>
    <s v="Non-Hispanic White"/>
    <s v="35-44 years"/>
    <n v="1588"/>
    <n v="1158"/>
    <n v="22"/>
    <n v="280"/>
    <n v="44"/>
    <n v="0"/>
    <n v="10"/>
    <n v="17"/>
    <n v="10"/>
    <m/>
    <n v="256"/>
    <n v="131"/>
    <n v="25"/>
    <n v="35"/>
    <n v="31"/>
  </r>
  <r>
    <n v="2020"/>
    <n v="9"/>
    <s v="9/01/2020"/>
    <x v="20"/>
    <s v="Female (F)"/>
    <s v="Non-Hispanic White"/>
    <s v="45-54 years"/>
    <n v="3217"/>
    <n v="2771"/>
    <n v="46"/>
    <n v="854"/>
    <n v="98"/>
    <m/>
    <n v="28"/>
    <n v="96"/>
    <n v="31"/>
    <n v="14"/>
    <n v="297"/>
    <n v="385"/>
    <n v="106"/>
    <n v="111"/>
    <n v="104"/>
  </r>
  <r>
    <n v="2020"/>
    <n v="9"/>
    <s v="9/01/2020"/>
    <x v="20"/>
    <s v="Female (F)"/>
    <s v="Non-Hispanic White"/>
    <s v="5-14 years"/>
    <n v="66"/>
    <n v="41"/>
    <n v="0"/>
    <n v="13"/>
    <m/>
    <n v="0"/>
    <n v="0"/>
    <n v="0"/>
    <n v="0"/>
    <n v="0"/>
    <n v="10"/>
    <m/>
    <m/>
    <m/>
    <n v="0"/>
  </r>
  <r>
    <n v="2020"/>
    <n v="9"/>
    <s v="9/01/2020"/>
    <x v="20"/>
    <s v="Female (F)"/>
    <s v="Non-Hispanic White"/>
    <s v="55-64 years"/>
    <n v="8390"/>
    <n v="7889"/>
    <n v="150"/>
    <n v="2805"/>
    <n v="262"/>
    <n v="48"/>
    <n v="78"/>
    <n v="514"/>
    <n v="112"/>
    <n v="108"/>
    <n v="322"/>
    <n v="1267"/>
    <n v="257"/>
    <n v="330"/>
    <n v="291"/>
  </r>
  <r>
    <n v="2020"/>
    <n v="9"/>
    <s v="9/01/2020"/>
    <x v="20"/>
    <s v="Female (F)"/>
    <s v="Non-Hispanic White"/>
    <s v="65-74 years"/>
    <n v="15257"/>
    <n v="14807"/>
    <n v="239"/>
    <n v="4807"/>
    <n v="518"/>
    <n v="372"/>
    <n v="165"/>
    <n v="1111"/>
    <n v="246"/>
    <n v="224"/>
    <n v="261"/>
    <n v="2567"/>
    <n v="643"/>
    <n v="935"/>
    <n v="817"/>
  </r>
  <r>
    <n v="2020"/>
    <n v="9"/>
    <s v="9/01/2020"/>
    <x v="20"/>
    <s v="Female (F)"/>
    <s v="Non-Hispanic White"/>
    <s v="75-84 years"/>
    <n v="22159"/>
    <n v="21556"/>
    <n v="298"/>
    <n v="4941"/>
    <n v="527"/>
    <n v="1444"/>
    <n v="283"/>
    <n v="1545"/>
    <n v="337"/>
    <n v="330"/>
    <n v="262"/>
    <n v="4174"/>
    <n v="1334"/>
    <n v="1472"/>
    <n v="1265"/>
  </r>
  <r>
    <n v="2020"/>
    <n v="9"/>
    <s v="9/01/2020"/>
    <x v="20"/>
    <s v="Female (F)"/>
    <s v="Non-Hispanic White"/>
    <s v="85 years and over"/>
    <n v="36189"/>
    <n v="35091"/>
    <n v="303"/>
    <n v="3431"/>
    <n v="565"/>
    <n v="3845"/>
    <n v="429"/>
    <n v="1457"/>
    <n v="408"/>
    <n v="496"/>
    <n v="583"/>
    <n v="9252"/>
    <n v="2785"/>
    <n v="2301"/>
    <n v="1873"/>
  </r>
  <r>
    <n v="2020"/>
    <n v="9"/>
    <s v="9/01/2020"/>
    <x v="20"/>
    <s v="Female (F)"/>
    <s v="Other"/>
    <s v="0-4 years"/>
    <n v="28"/>
    <n v="26"/>
    <n v="0"/>
    <n v="0"/>
    <n v="0"/>
    <n v="0"/>
    <n v="0"/>
    <n v="0"/>
    <n v="0"/>
    <n v="0"/>
    <n v="10"/>
    <n v="0"/>
    <n v="0"/>
    <n v="0"/>
    <n v="0"/>
  </r>
  <r>
    <n v="2020"/>
    <n v="9"/>
    <s v="9/01/2020"/>
    <x v="20"/>
    <s v="Female (F)"/>
    <s v="Other"/>
    <s v="15-24 years"/>
    <n v="25"/>
    <n v="13"/>
    <n v="0"/>
    <m/>
    <n v="0"/>
    <n v="0"/>
    <n v="0"/>
    <n v="0"/>
    <n v="0"/>
    <n v="0"/>
    <m/>
    <n v="0"/>
    <n v="0"/>
    <n v="0"/>
    <n v="0"/>
  </r>
  <r>
    <n v="2020"/>
    <n v="9"/>
    <s v="9/01/2020"/>
    <x v="20"/>
    <s v="Female (F)"/>
    <s v="Other"/>
    <s v="25-34 years"/>
    <n v="39"/>
    <n v="27"/>
    <n v="0"/>
    <m/>
    <m/>
    <n v="0"/>
    <n v="0"/>
    <n v="0"/>
    <n v="0"/>
    <n v="0"/>
    <m/>
    <m/>
    <n v="0"/>
    <m/>
    <m/>
  </r>
  <r>
    <n v="2020"/>
    <n v="9"/>
    <s v="9/01/2020"/>
    <x v="20"/>
    <s v="Female (F)"/>
    <s v="Other"/>
    <s v="35-44 years"/>
    <n v="53"/>
    <n v="44"/>
    <n v="0"/>
    <m/>
    <m/>
    <n v="0"/>
    <m/>
    <n v="0"/>
    <m/>
    <n v="0"/>
    <n v="14"/>
    <m/>
    <m/>
    <m/>
    <m/>
  </r>
  <r>
    <n v="2020"/>
    <n v="9"/>
    <s v="9/01/2020"/>
    <x v="20"/>
    <s v="Female (F)"/>
    <s v="Other"/>
    <s v="45-54 years"/>
    <n v="84"/>
    <n v="72"/>
    <m/>
    <n v="21"/>
    <m/>
    <n v="0"/>
    <n v="0"/>
    <m/>
    <m/>
    <n v="0"/>
    <m/>
    <n v="12"/>
    <m/>
    <m/>
    <m/>
  </r>
  <r>
    <n v="2020"/>
    <n v="9"/>
    <s v="9/01/2020"/>
    <x v="20"/>
    <s v="Female (F)"/>
    <s v="Other"/>
    <s v="5-14 years"/>
    <m/>
    <m/>
    <n v="0"/>
    <m/>
    <n v="0"/>
    <n v="0"/>
    <n v="0"/>
    <n v="0"/>
    <n v="0"/>
    <n v="0"/>
    <m/>
    <n v="0"/>
    <n v="0"/>
    <n v="0"/>
    <n v="0"/>
  </r>
  <r>
    <n v="2020"/>
    <n v="9"/>
    <s v="9/01/2020"/>
    <x v="20"/>
    <s v="Female (F)"/>
    <s v="Other"/>
    <s v="55-64 years"/>
    <n v="141"/>
    <n v="134"/>
    <m/>
    <n v="36"/>
    <m/>
    <m/>
    <m/>
    <m/>
    <m/>
    <m/>
    <n v="11"/>
    <n v="22"/>
    <m/>
    <n v="12"/>
    <n v="12"/>
  </r>
  <r>
    <n v="2020"/>
    <n v="9"/>
    <s v="9/01/2020"/>
    <x v="20"/>
    <s v="Female (F)"/>
    <s v="Other"/>
    <s v="65-74 years"/>
    <n v="194"/>
    <n v="189"/>
    <n v="0"/>
    <n v="57"/>
    <m/>
    <m/>
    <m/>
    <n v="11"/>
    <m/>
    <m/>
    <m/>
    <n v="35"/>
    <m/>
    <n v="22"/>
    <n v="20"/>
  </r>
  <r>
    <n v="2020"/>
    <n v="9"/>
    <s v="9/01/2020"/>
    <x v="20"/>
    <s v="Female (F)"/>
    <s v="Other"/>
    <s v="75-84 years"/>
    <n v="201"/>
    <n v="194"/>
    <m/>
    <n v="43"/>
    <m/>
    <m/>
    <m/>
    <m/>
    <m/>
    <m/>
    <m/>
    <n v="43"/>
    <n v="13"/>
    <n v="14"/>
    <n v="12"/>
  </r>
  <r>
    <n v="2020"/>
    <n v="9"/>
    <s v="9/01/2020"/>
    <x v="20"/>
    <s v="Female (F)"/>
    <s v="Other"/>
    <s v="85 years and over"/>
    <n v="283"/>
    <n v="271"/>
    <m/>
    <n v="21"/>
    <n v="10"/>
    <n v="31"/>
    <m/>
    <m/>
    <m/>
    <m/>
    <m/>
    <n v="63"/>
    <n v="19"/>
    <n v="10"/>
    <m/>
  </r>
  <r>
    <n v="2020"/>
    <n v="9"/>
    <s v="9/01/2020"/>
    <x v="20"/>
    <s v="Male (M)"/>
    <s v="Hispanic"/>
    <s v="0-4 years"/>
    <n v="234"/>
    <n v="215"/>
    <n v="0"/>
    <m/>
    <n v="0"/>
    <n v="0"/>
    <n v="0"/>
    <n v="0"/>
    <n v="0"/>
    <m/>
    <n v="30"/>
    <m/>
    <m/>
    <n v="0"/>
    <n v="0"/>
  </r>
  <r>
    <n v="2020"/>
    <n v="9"/>
    <s v="9/01/2020"/>
    <x v="20"/>
    <s v="Male (M)"/>
    <s v="Hispanic"/>
    <s v="15-24 years"/>
    <n v="532"/>
    <n v="157"/>
    <n v="0"/>
    <n v="20"/>
    <n v="0"/>
    <n v="0"/>
    <m/>
    <n v="0"/>
    <m/>
    <n v="0"/>
    <n v="98"/>
    <m/>
    <m/>
    <m/>
    <m/>
  </r>
  <r>
    <n v="2020"/>
    <n v="9"/>
    <s v="9/01/2020"/>
    <x v="20"/>
    <s v="Male (M)"/>
    <s v="Hispanic"/>
    <s v="25-34 years"/>
    <n v="760"/>
    <n v="342"/>
    <m/>
    <n v="34"/>
    <m/>
    <n v="0"/>
    <m/>
    <m/>
    <m/>
    <m/>
    <n v="155"/>
    <n v="19"/>
    <m/>
    <n v="39"/>
    <n v="32"/>
  </r>
  <r>
    <n v="2020"/>
    <n v="9"/>
    <s v="9/01/2020"/>
    <x v="20"/>
    <s v="Male (M)"/>
    <s v="Hispanic"/>
    <s v="35-44 years"/>
    <n v="898"/>
    <n v="603"/>
    <m/>
    <n v="54"/>
    <n v="12"/>
    <n v="0"/>
    <m/>
    <m/>
    <m/>
    <m/>
    <n v="168"/>
    <n v="68"/>
    <n v="24"/>
    <n v="95"/>
    <n v="88"/>
  </r>
  <r>
    <n v="2020"/>
    <n v="9"/>
    <s v="9/01/2020"/>
    <x v="20"/>
    <s v="Male (M)"/>
    <s v="Hispanic"/>
    <s v="45-54 years"/>
    <n v="1397"/>
    <n v="1160"/>
    <n v="19"/>
    <n v="167"/>
    <n v="53"/>
    <m/>
    <n v="12"/>
    <m/>
    <m/>
    <n v="14"/>
    <n v="130"/>
    <n v="173"/>
    <n v="46"/>
    <n v="277"/>
    <n v="257"/>
  </r>
  <r>
    <n v="2020"/>
    <n v="9"/>
    <s v="9/01/2020"/>
    <x v="20"/>
    <s v="Male (M)"/>
    <s v="Hispanic"/>
    <s v="5-14 years"/>
    <n v="76"/>
    <n v="41"/>
    <n v="0"/>
    <n v="14"/>
    <n v="0"/>
    <n v="0"/>
    <n v="0"/>
    <n v="0"/>
    <m/>
    <n v="0"/>
    <n v="10"/>
    <m/>
    <m/>
    <n v="0"/>
    <n v="0"/>
  </r>
  <r>
    <n v="2020"/>
    <n v="9"/>
    <s v="9/01/2020"/>
    <x v="20"/>
    <s v="Male (M)"/>
    <s v="Hispanic"/>
    <s v="55-64 years"/>
    <n v="2221"/>
    <n v="2043"/>
    <n v="28"/>
    <n v="380"/>
    <n v="113"/>
    <m/>
    <n v="25"/>
    <n v="15"/>
    <n v="24"/>
    <n v="36"/>
    <n v="124"/>
    <n v="338"/>
    <n v="71"/>
    <n v="506"/>
    <n v="482"/>
  </r>
  <r>
    <n v="2020"/>
    <n v="9"/>
    <s v="9/01/2020"/>
    <x v="20"/>
    <s v="Male (M)"/>
    <s v="Hispanic"/>
    <s v="65-74 years"/>
    <n v="2427"/>
    <n v="2352"/>
    <n v="25"/>
    <n v="489"/>
    <n v="132"/>
    <n v="17"/>
    <n v="35"/>
    <n v="35"/>
    <n v="41"/>
    <n v="39"/>
    <n v="29"/>
    <n v="475"/>
    <n v="100"/>
    <n v="567"/>
    <n v="537"/>
  </r>
  <r>
    <n v="2020"/>
    <n v="9"/>
    <s v="9/01/2020"/>
    <x v="20"/>
    <s v="Male (M)"/>
    <s v="Hispanic"/>
    <s v="75-84 years"/>
    <n v="2190"/>
    <n v="2143"/>
    <n v="27"/>
    <n v="392"/>
    <n v="108"/>
    <n v="74"/>
    <n v="32"/>
    <n v="63"/>
    <n v="36"/>
    <n v="40"/>
    <n v="22"/>
    <n v="427"/>
    <n v="124"/>
    <n v="418"/>
    <n v="385"/>
  </r>
  <r>
    <n v="2020"/>
    <n v="9"/>
    <s v="9/01/2020"/>
    <x v="20"/>
    <s v="Male (M)"/>
    <s v="Hispanic"/>
    <s v="85 years and over"/>
    <n v="1756"/>
    <n v="1711"/>
    <n v="25"/>
    <n v="191"/>
    <n v="68"/>
    <n v="120"/>
    <n v="35"/>
    <n v="57"/>
    <n v="29"/>
    <n v="32"/>
    <n v="20"/>
    <n v="432"/>
    <n v="140"/>
    <n v="243"/>
    <n v="217"/>
  </r>
  <r>
    <n v="2020"/>
    <n v="9"/>
    <s v="9/01/2020"/>
    <x v="20"/>
    <s v="Male (M)"/>
    <s v="Non-Hispanic American Indian or Alaska Native"/>
    <s v="0-4 years"/>
    <m/>
    <m/>
    <n v="0"/>
    <m/>
    <n v="0"/>
    <n v="0"/>
    <n v="0"/>
    <n v="0"/>
    <n v="0"/>
    <n v="0"/>
    <m/>
    <n v="0"/>
    <n v="0"/>
    <n v="0"/>
    <n v="0"/>
  </r>
  <r>
    <n v="2020"/>
    <n v="9"/>
    <s v="9/01/2020"/>
    <x v="20"/>
    <s v="Male (M)"/>
    <s v="Non-Hispanic American Indian or Alaska Native"/>
    <s v="15-24 years"/>
    <n v="28"/>
    <m/>
    <n v="0"/>
    <m/>
    <m/>
    <n v="0"/>
    <n v="0"/>
    <n v="0"/>
    <n v="0"/>
    <n v="0"/>
    <m/>
    <n v="0"/>
    <n v="0"/>
    <n v="0"/>
    <n v="0"/>
  </r>
  <r>
    <n v="2020"/>
    <n v="9"/>
    <s v="9/01/2020"/>
    <x v="20"/>
    <s v="Male (M)"/>
    <s v="Non-Hispanic American Indian or Alaska Native"/>
    <s v="25-34 years"/>
    <n v="76"/>
    <n v="43"/>
    <n v="0"/>
    <m/>
    <m/>
    <n v="0"/>
    <m/>
    <n v="0"/>
    <n v="0"/>
    <n v="0"/>
    <n v="18"/>
    <m/>
    <n v="0"/>
    <m/>
    <m/>
  </r>
  <r>
    <n v="2020"/>
    <n v="9"/>
    <s v="9/01/2020"/>
    <x v="20"/>
    <s v="Male (M)"/>
    <s v="Non-Hispanic American Indian or Alaska Native"/>
    <s v="35-44 years"/>
    <n v="99"/>
    <n v="74"/>
    <n v="0"/>
    <m/>
    <m/>
    <n v="0"/>
    <m/>
    <n v="0"/>
    <m/>
    <m/>
    <n v="12"/>
    <m/>
    <m/>
    <m/>
    <m/>
  </r>
  <r>
    <n v="2020"/>
    <n v="9"/>
    <s v="9/01/2020"/>
    <x v="20"/>
    <s v="Male (M)"/>
    <s v="Non-Hispanic American Indian or Alaska Native"/>
    <s v="45-54 years"/>
    <n v="128"/>
    <n v="106"/>
    <m/>
    <m/>
    <m/>
    <n v="0"/>
    <m/>
    <n v="0"/>
    <n v="0"/>
    <m/>
    <m/>
    <n v="17"/>
    <m/>
    <n v="19"/>
    <n v="18"/>
  </r>
  <r>
    <n v="2020"/>
    <n v="9"/>
    <s v="9/01/2020"/>
    <x v="20"/>
    <s v="Male (M)"/>
    <s v="Non-Hispanic American Indian or Alaska Native"/>
    <s v="5-14 years"/>
    <m/>
    <m/>
    <n v="0"/>
    <n v="0"/>
    <n v="0"/>
    <n v="0"/>
    <n v="0"/>
    <n v="0"/>
    <n v="0"/>
    <n v="0"/>
    <n v="0"/>
    <n v="0"/>
    <n v="0"/>
    <n v="0"/>
    <n v="0"/>
  </r>
  <r>
    <n v="2020"/>
    <n v="9"/>
    <s v="9/01/2020"/>
    <x v="20"/>
    <s v="Male (M)"/>
    <s v="Non-Hispanic American Indian or Alaska Native"/>
    <s v="55-64 years"/>
    <n v="183"/>
    <n v="170"/>
    <m/>
    <n v="36"/>
    <n v="12"/>
    <n v="0"/>
    <m/>
    <m/>
    <m/>
    <m/>
    <m/>
    <n v="28"/>
    <m/>
    <n v="22"/>
    <n v="19"/>
  </r>
  <r>
    <n v="2020"/>
    <n v="9"/>
    <s v="9/01/2020"/>
    <x v="20"/>
    <s v="Male (M)"/>
    <s v="Non-Hispanic American Indian or Alaska Native"/>
    <s v="65-74 years"/>
    <n v="201"/>
    <n v="190"/>
    <m/>
    <n v="44"/>
    <m/>
    <m/>
    <m/>
    <m/>
    <m/>
    <m/>
    <m/>
    <n v="34"/>
    <m/>
    <n v="33"/>
    <n v="31"/>
  </r>
  <r>
    <n v="2020"/>
    <n v="9"/>
    <s v="9/01/2020"/>
    <x v="20"/>
    <s v="Male (M)"/>
    <s v="Non-Hispanic American Indian or Alaska Native"/>
    <s v="75-84 years"/>
    <n v="132"/>
    <n v="125"/>
    <m/>
    <n v="18"/>
    <m/>
    <m/>
    <m/>
    <m/>
    <m/>
    <m/>
    <m/>
    <n v="28"/>
    <m/>
    <n v="26"/>
    <n v="23"/>
  </r>
  <r>
    <n v="2020"/>
    <n v="9"/>
    <s v="9/01/2020"/>
    <x v="20"/>
    <s v="Male (M)"/>
    <s v="Non-Hispanic American Indian or Alaska Native"/>
    <s v="85 years and over"/>
    <n v="96"/>
    <n v="92"/>
    <m/>
    <n v="14"/>
    <m/>
    <m/>
    <m/>
    <m/>
    <m/>
    <m/>
    <m/>
    <n v="16"/>
    <m/>
    <n v="11"/>
    <n v="10"/>
  </r>
  <r>
    <n v="2020"/>
    <n v="9"/>
    <s v="9/01/2020"/>
    <x v="20"/>
    <s v="Male (M)"/>
    <s v="Non-Hispanic Asian"/>
    <s v="0-4 years"/>
    <n v="25"/>
    <n v="23"/>
    <n v="0"/>
    <n v="0"/>
    <n v="0"/>
    <n v="0"/>
    <n v="0"/>
    <n v="0"/>
    <n v="0"/>
    <n v="0"/>
    <m/>
    <m/>
    <n v="0"/>
    <n v="0"/>
    <n v="0"/>
  </r>
  <r>
    <n v="2020"/>
    <n v="9"/>
    <s v="9/01/2020"/>
    <x v="20"/>
    <s v="Male (M)"/>
    <s v="Non-Hispanic Asian"/>
    <s v="15-24 years"/>
    <n v="61"/>
    <n v="25"/>
    <m/>
    <m/>
    <n v="0"/>
    <n v="0"/>
    <m/>
    <n v="0"/>
    <m/>
    <n v="0"/>
    <n v="13"/>
    <m/>
    <n v="0"/>
    <n v="0"/>
    <n v="0"/>
  </r>
  <r>
    <n v="2020"/>
    <n v="9"/>
    <s v="9/01/2020"/>
    <x v="20"/>
    <s v="Male (M)"/>
    <s v="Non-Hispanic Asian"/>
    <s v="25-34 years"/>
    <n v="73"/>
    <n v="43"/>
    <n v="0"/>
    <m/>
    <m/>
    <n v="0"/>
    <n v="0"/>
    <m/>
    <n v="0"/>
    <m/>
    <n v="20"/>
    <m/>
    <n v="0"/>
    <m/>
    <m/>
  </r>
  <r>
    <n v="2020"/>
    <n v="9"/>
    <s v="9/01/2020"/>
    <x v="20"/>
    <s v="Male (M)"/>
    <s v="Non-Hispanic Asian"/>
    <s v="35-44 years"/>
    <n v="130"/>
    <n v="93"/>
    <n v="0"/>
    <n v="14"/>
    <m/>
    <n v="0"/>
    <n v="0"/>
    <n v="0"/>
    <m/>
    <n v="0"/>
    <n v="21"/>
    <n v="25"/>
    <m/>
    <m/>
    <m/>
  </r>
  <r>
    <n v="2020"/>
    <n v="9"/>
    <s v="9/01/2020"/>
    <x v="20"/>
    <s v="Male (M)"/>
    <s v="Non-Hispanic Asian"/>
    <s v="45-54 years"/>
    <n v="232"/>
    <n v="195"/>
    <m/>
    <n v="54"/>
    <m/>
    <n v="0"/>
    <n v="0"/>
    <m/>
    <m/>
    <m/>
    <n v="15"/>
    <n v="49"/>
    <n v="10"/>
    <n v="18"/>
    <n v="15"/>
  </r>
  <r>
    <n v="2020"/>
    <n v="9"/>
    <s v="9/01/2020"/>
    <x v="20"/>
    <s v="Male (M)"/>
    <s v="Non-Hispanic Asian"/>
    <s v="5-14 years"/>
    <m/>
    <m/>
    <m/>
    <m/>
    <n v="0"/>
    <n v="0"/>
    <n v="0"/>
    <m/>
    <n v="0"/>
    <n v="0"/>
    <n v="0"/>
    <m/>
    <n v="0"/>
    <n v="0"/>
    <n v="0"/>
  </r>
  <r>
    <n v="2020"/>
    <n v="9"/>
    <s v="9/01/2020"/>
    <x v="20"/>
    <s v="Male (M)"/>
    <s v="Non-Hispanic Asian"/>
    <s v="55-64 years"/>
    <n v="443"/>
    <n v="412"/>
    <m/>
    <n v="148"/>
    <n v="23"/>
    <m/>
    <m/>
    <m/>
    <m/>
    <m/>
    <m/>
    <n v="85"/>
    <n v="21"/>
    <n v="53"/>
    <n v="52"/>
  </r>
  <r>
    <n v="2020"/>
    <n v="9"/>
    <s v="9/01/2020"/>
    <x v="20"/>
    <s v="Male (M)"/>
    <s v="Non-Hispanic Asian"/>
    <s v="65-74 years"/>
    <n v="702"/>
    <n v="676"/>
    <n v="11"/>
    <n v="231"/>
    <n v="46"/>
    <m/>
    <n v="10"/>
    <n v="18"/>
    <n v="10"/>
    <n v="15"/>
    <n v="12"/>
    <n v="114"/>
    <n v="41"/>
    <n v="72"/>
    <n v="70"/>
  </r>
  <r>
    <n v="2020"/>
    <n v="9"/>
    <s v="9/01/2020"/>
    <x v="20"/>
    <s v="Male (M)"/>
    <s v="Non-Hispanic Asian"/>
    <s v="75-84 years"/>
    <n v="845"/>
    <n v="826"/>
    <n v="12"/>
    <n v="212"/>
    <n v="49"/>
    <n v="19"/>
    <n v="21"/>
    <n v="23"/>
    <n v="16"/>
    <n v="17"/>
    <n v="13"/>
    <n v="157"/>
    <n v="59"/>
    <n v="92"/>
    <n v="82"/>
  </r>
  <r>
    <n v="2020"/>
    <n v="9"/>
    <s v="9/01/2020"/>
    <x v="20"/>
    <s v="Male (M)"/>
    <s v="Non-Hispanic Asian"/>
    <s v="85 years and over"/>
    <n v="857"/>
    <n v="829"/>
    <m/>
    <n v="135"/>
    <n v="18"/>
    <n v="43"/>
    <n v="27"/>
    <n v="38"/>
    <n v="12"/>
    <n v="17"/>
    <n v="11"/>
    <n v="190"/>
    <n v="64"/>
    <n v="94"/>
    <n v="86"/>
  </r>
  <r>
    <n v="2020"/>
    <n v="9"/>
    <s v="9/01/2020"/>
    <x v="20"/>
    <s v="Male (M)"/>
    <s v="Non-Hispanic Black"/>
    <s v="0-4 years"/>
    <n v="267"/>
    <n v="238"/>
    <m/>
    <m/>
    <n v="0"/>
    <n v="0"/>
    <m/>
    <n v="0"/>
    <m/>
    <m/>
    <n v="52"/>
    <m/>
    <m/>
    <m/>
    <n v="0"/>
  </r>
  <r>
    <n v="2020"/>
    <n v="9"/>
    <s v="9/01/2020"/>
    <x v="20"/>
    <s v="Male (M)"/>
    <s v="Non-Hispanic Black"/>
    <s v="15-24 years"/>
    <n v="630"/>
    <n v="130"/>
    <m/>
    <n v="11"/>
    <m/>
    <n v="0"/>
    <n v="0"/>
    <m/>
    <m/>
    <m/>
    <n v="68"/>
    <m/>
    <n v="0"/>
    <m/>
    <m/>
  </r>
  <r>
    <n v="2020"/>
    <n v="9"/>
    <s v="9/01/2020"/>
    <x v="20"/>
    <s v="Male (M)"/>
    <s v="Non-Hispanic Black"/>
    <s v="25-34 years"/>
    <n v="937"/>
    <n v="320"/>
    <n v="0"/>
    <n v="18"/>
    <n v="12"/>
    <n v="0"/>
    <n v="0"/>
    <m/>
    <m/>
    <m/>
    <n v="145"/>
    <n v="39"/>
    <m/>
    <n v="16"/>
    <n v="14"/>
  </r>
  <r>
    <n v="2020"/>
    <n v="9"/>
    <s v="9/01/2020"/>
    <x v="20"/>
    <s v="Male (M)"/>
    <s v="Non-Hispanic Black"/>
    <s v="35-44 years"/>
    <n v="1070"/>
    <n v="632"/>
    <n v="12"/>
    <n v="52"/>
    <n v="43"/>
    <n v="0"/>
    <m/>
    <m/>
    <m/>
    <n v="12"/>
    <n v="147"/>
    <n v="138"/>
    <n v="22"/>
    <n v="39"/>
    <n v="33"/>
  </r>
  <r>
    <n v="2020"/>
    <n v="9"/>
    <s v="9/01/2020"/>
    <x v="20"/>
    <s v="Male (M)"/>
    <s v="Non-Hispanic Black"/>
    <s v="45-54 years"/>
    <n v="1584"/>
    <n v="1285"/>
    <n v="18"/>
    <n v="145"/>
    <n v="66"/>
    <n v="0"/>
    <n v="17"/>
    <n v="17"/>
    <n v="13"/>
    <n v="45"/>
    <n v="153"/>
    <n v="392"/>
    <n v="62"/>
    <n v="95"/>
    <n v="81"/>
  </r>
  <r>
    <n v="2020"/>
    <n v="9"/>
    <s v="9/01/2020"/>
    <x v="20"/>
    <s v="Male (M)"/>
    <s v="Non-Hispanic Black"/>
    <s v="5-14 years"/>
    <n v="69"/>
    <n v="27"/>
    <n v="0"/>
    <m/>
    <n v="0"/>
    <n v="0"/>
    <n v="0"/>
    <m/>
    <n v="0"/>
    <n v="0"/>
    <m/>
    <m/>
    <m/>
    <n v="0"/>
    <n v="0"/>
  </r>
  <r>
    <n v="2020"/>
    <n v="9"/>
    <s v="9/01/2020"/>
    <x v="20"/>
    <s v="Male (M)"/>
    <s v="Non-Hispanic Black"/>
    <s v="55-64 years"/>
    <n v="3384"/>
    <n v="3079"/>
    <n v="53"/>
    <n v="651"/>
    <n v="163"/>
    <m/>
    <n v="47"/>
    <n v="86"/>
    <n v="39"/>
    <n v="78"/>
    <n v="207"/>
    <n v="794"/>
    <n v="137"/>
    <n v="284"/>
    <n v="248"/>
  </r>
  <r>
    <n v="2020"/>
    <n v="9"/>
    <s v="9/01/2020"/>
    <x v="20"/>
    <s v="Male (M)"/>
    <s v="Non-Hispanic Black"/>
    <s v="65-74 years"/>
    <n v="4010"/>
    <n v="3864"/>
    <n v="69"/>
    <n v="900"/>
    <n v="172"/>
    <n v="31"/>
    <n v="70"/>
    <n v="142"/>
    <n v="45"/>
    <n v="89"/>
    <n v="111"/>
    <n v="935"/>
    <n v="226"/>
    <n v="436"/>
    <n v="399"/>
  </r>
  <r>
    <n v="2020"/>
    <n v="9"/>
    <s v="9/01/2020"/>
    <x v="20"/>
    <s v="Male (M)"/>
    <s v="Non-Hispanic Black"/>
    <s v="75-84 years"/>
    <n v="2703"/>
    <n v="2638"/>
    <n v="43"/>
    <n v="556"/>
    <n v="142"/>
    <n v="70"/>
    <n v="41"/>
    <n v="110"/>
    <n v="35"/>
    <n v="72"/>
    <n v="30"/>
    <n v="608"/>
    <n v="170"/>
    <n v="308"/>
    <n v="280"/>
  </r>
  <r>
    <n v="2020"/>
    <n v="9"/>
    <s v="9/01/2020"/>
    <x v="20"/>
    <s v="Male (M)"/>
    <s v="Non-Hispanic Black"/>
    <s v="85 years and over"/>
    <n v="1665"/>
    <n v="1624"/>
    <n v="27"/>
    <n v="258"/>
    <n v="59"/>
    <n v="89"/>
    <n v="32"/>
    <n v="47"/>
    <n v="19"/>
    <n v="53"/>
    <n v="26"/>
    <n v="372"/>
    <n v="116"/>
    <n v="174"/>
    <n v="155"/>
  </r>
  <r>
    <n v="2020"/>
    <n v="9"/>
    <s v="9/01/2020"/>
    <x v="20"/>
    <s v="Male (M)"/>
    <s v="Non-Hispanic White"/>
    <s v="0-4 years"/>
    <n v="364"/>
    <n v="318"/>
    <n v="0"/>
    <m/>
    <n v="0"/>
    <n v="0"/>
    <m/>
    <n v="0"/>
    <m/>
    <n v="0"/>
    <n v="69"/>
    <m/>
    <m/>
    <m/>
    <m/>
  </r>
  <r>
    <n v="2020"/>
    <n v="9"/>
    <s v="9/01/2020"/>
    <x v="20"/>
    <s v="Male (M)"/>
    <s v="Non-Hispanic White"/>
    <s v="15-24 years"/>
    <n v="904"/>
    <n v="239"/>
    <m/>
    <n v="21"/>
    <m/>
    <n v="0"/>
    <m/>
    <m/>
    <n v="0"/>
    <m/>
    <n v="145"/>
    <n v="10"/>
    <m/>
    <m/>
    <n v="0"/>
  </r>
  <r>
    <n v="2020"/>
    <n v="9"/>
    <s v="9/01/2020"/>
    <x v="20"/>
    <s v="Male (M)"/>
    <s v="Non-Hispanic White"/>
    <s v="25-34 years"/>
    <n v="2126"/>
    <n v="939"/>
    <m/>
    <n v="95"/>
    <n v="20"/>
    <n v="0"/>
    <m/>
    <m/>
    <m/>
    <m/>
    <n v="450"/>
    <n v="88"/>
    <m/>
    <n v="24"/>
    <n v="19"/>
  </r>
  <r>
    <n v="2020"/>
    <n v="9"/>
    <s v="9/01/2020"/>
    <x v="20"/>
    <s v="Male (M)"/>
    <s v="Non-Hispanic White"/>
    <s v="35-44 years"/>
    <n v="2959"/>
    <n v="1741"/>
    <n v="28"/>
    <n v="201"/>
    <n v="58"/>
    <n v="0"/>
    <n v="12"/>
    <n v="10"/>
    <n v="18"/>
    <n v="16"/>
    <n v="529"/>
    <n v="283"/>
    <n v="32"/>
    <n v="56"/>
    <n v="40"/>
  </r>
  <r>
    <n v="2020"/>
    <n v="9"/>
    <s v="9/01/2020"/>
    <x v="20"/>
    <s v="Male (M)"/>
    <s v="Non-Hispanic White"/>
    <s v="45-54 years"/>
    <n v="5520"/>
    <n v="4357"/>
    <n v="63"/>
    <n v="902"/>
    <n v="176"/>
    <m/>
    <n v="42"/>
    <n v="93"/>
    <n v="45"/>
    <n v="54"/>
    <n v="546"/>
    <n v="1037"/>
    <n v="116"/>
    <n v="176"/>
    <n v="150"/>
  </r>
  <r>
    <n v="2020"/>
    <n v="9"/>
    <s v="9/01/2020"/>
    <x v="20"/>
    <s v="Male (M)"/>
    <s v="Non-Hispanic White"/>
    <s v="5-14 years"/>
    <n v="112"/>
    <n v="56"/>
    <n v="0"/>
    <n v="16"/>
    <n v="0"/>
    <n v="0"/>
    <n v="0"/>
    <m/>
    <m/>
    <m/>
    <n v="10"/>
    <m/>
    <m/>
    <m/>
    <m/>
  </r>
  <r>
    <n v="2020"/>
    <n v="9"/>
    <s v="9/01/2020"/>
    <x v="20"/>
    <s v="Male (M)"/>
    <s v="Non-Hispanic White"/>
    <s v="55-64 years"/>
    <n v="13444"/>
    <n v="12125"/>
    <n v="172"/>
    <n v="3409"/>
    <n v="492"/>
    <n v="27"/>
    <n v="135"/>
    <n v="542"/>
    <n v="136"/>
    <n v="134"/>
    <n v="582"/>
    <n v="3051"/>
    <n v="327"/>
    <n v="593"/>
    <n v="537"/>
  </r>
  <r>
    <n v="2020"/>
    <n v="9"/>
    <s v="9/01/2020"/>
    <x v="20"/>
    <s v="Male (M)"/>
    <s v="Non-Hispanic White"/>
    <s v="65-74 years"/>
    <n v="20902"/>
    <n v="19935"/>
    <n v="253"/>
    <n v="5894"/>
    <n v="784"/>
    <n v="244"/>
    <n v="220"/>
    <n v="1179"/>
    <n v="321"/>
    <n v="296"/>
    <n v="446"/>
    <n v="4664"/>
    <n v="735"/>
    <n v="1269"/>
    <n v="1139"/>
  </r>
  <r>
    <n v="2020"/>
    <n v="9"/>
    <s v="9/01/2020"/>
    <x v="20"/>
    <s v="Male (M)"/>
    <s v="Non-Hispanic White"/>
    <s v="75-84 years"/>
    <n v="24501"/>
    <n v="23601"/>
    <n v="270"/>
    <n v="5641"/>
    <n v="713"/>
    <n v="820"/>
    <n v="326"/>
    <n v="1485"/>
    <n v="441"/>
    <n v="409"/>
    <n v="239"/>
    <n v="5665"/>
    <n v="1182"/>
    <n v="1895"/>
    <n v="1651"/>
  </r>
  <r>
    <n v="2020"/>
    <n v="9"/>
    <s v="9/01/2020"/>
    <x v="20"/>
    <s v="Male (M)"/>
    <s v="Non-Hispanic White"/>
    <s v="85 years and over"/>
    <n v="23445"/>
    <n v="22623"/>
    <n v="242"/>
    <n v="3422"/>
    <n v="511"/>
    <n v="1447"/>
    <n v="387"/>
    <n v="1034"/>
    <n v="310"/>
    <n v="444"/>
    <n v="299"/>
    <n v="6510"/>
    <n v="1399"/>
    <n v="1654"/>
    <n v="1421"/>
  </r>
  <r>
    <n v="2020"/>
    <n v="9"/>
    <s v="9/01/2020"/>
    <x v="20"/>
    <s v="Male (M)"/>
    <s v="Other"/>
    <s v="0-4 years"/>
    <n v="45"/>
    <n v="38"/>
    <n v="0"/>
    <m/>
    <n v="0"/>
    <n v="0"/>
    <n v="0"/>
    <n v="0"/>
    <n v="0"/>
    <n v="0"/>
    <m/>
    <m/>
    <n v="0"/>
    <n v="0"/>
    <n v="0"/>
  </r>
  <r>
    <n v="2020"/>
    <n v="9"/>
    <s v="9/01/2020"/>
    <x v="20"/>
    <s v="Male (M)"/>
    <s v="Other"/>
    <s v="15-24 years"/>
    <n v="43"/>
    <n v="13"/>
    <n v="0"/>
    <m/>
    <n v="0"/>
    <n v="0"/>
    <n v="0"/>
    <n v="0"/>
    <n v="0"/>
    <n v="0"/>
    <m/>
    <n v="0"/>
    <n v="0"/>
    <n v="0"/>
    <n v="0"/>
  </r>
  <r>
    <n v="2020"/>
    <n v="9"/>
    <s v="9/01/2020"/>
    <x v="20"/>
    <s v="Male (M)"/>
    <s v="Other"/>
    <s v="25-34 years"/>
    <n v="88"/>
    <n v="33"/>
    <m/>
    <m/>
    <m/>
    <n v="0"/>
    <n v="0"/>
    <n v="0"/>
    <n v="0"/>
    <m/>
    <n v="15"/>
    <m/>
    <m/>
    <m/>
    <m/>
  </r>
  <r>
    <n v="2020"/>
    <n v="9"/>
    <s v="9/01/2020"/>
    <x v="20"/>
    <s v="Male (M)"/>
    <s v="Other"/>
    <s v="35-44 years"/>
    <n v="78"/>
    <n v="59"/>
    <m/>
    <m/>
    <m/>
    <n v="0"/>
    <m/>
    <n v="0"/>
    <m/>
    <n v="0"/>
    <n v="24"/>
    <m/>
    <n v="0"/>
    <m/>
    <m/>
  </r>
  <r>
    <n v="2020"/>
    <n v="9"/>
    <s v="9/01/2020"/>
    <x v="20"/>
    <s v="Male (M)"/>
    <s v="Other"/>
    <s v="45-54 years"/>
    <n v="141"/>
    <n v="119"/>
    <m/>
    <n v="18"/>
    <m/>
    <n v="0"/>
    <m/>
    <m/>
    <m/>
    <m/>
    <n v="21"/>
    <n v="19"/>
    <m/>
    <n v="12"/>
    <n v="12"/>
  </r>
  <r>
    <n v="2020"/>
    <n v="9"/>
    <s v="9/01/2020"/>
    <x v="20"/>
    <s v="Male (M)"/>
    <s v="Other"/>
    <s v="5-14 years"/>
    <n v="10"/>
    <m/>
    <n v="0"/>
    <m/>
    <n v="0"/>
    <n v="0"/>
    <n v="0"/>
    <n v="0"/>
    <m/>
    <n v="0"/>
    <m/>
    <n v="0"/>
    <n v="0"/>
    <n v="0"/>
    <n v="0"/>
  </r>
  <r>
    <n v="2020"/>
    <n v="9"/>
    <s v="9/01/2020"/>
    <x v="20"/>
    <s v="Male (M)"/>
    <s v="Other"/>
    <s v="55-64 years"/>
    <n v="252"/>
    <n v="232"/>
    <m/>
    <n v="42"/>
    <n v="11"/>
    <n v="0"/>
    <m/>
    <n v="11"/>
    <m/>
    <m/>
    <n v="25"/>
    <n v="55"/>
    <m/>
    <n v="26"/>
    <n v="25"/>
  </r>
  <r>
    <n v="2020"/>
    <n v="9"/>
    <s v="9/01/2020"/>
    <x v="20"/>
    <s v="Male (M)"/>
    <s v="Other"/>
    <s v="65-74 years"/>
    <n v="313"/>
    <n v="301"/>
    <m/>
    <n v="76"/>
    <n v="16"/>
    <m/>
    <m/>
    <n v="18"/>
    <m/>
    <m/>
    <m/>
    <n v="76"/>
    <n v="16"/>
    <n v="27"/>
    <n v="26"/>
  </r>
  <r>
    <n v="2020"/>
    <n v="9"/>
    <s v="9/01/2020"/>
    <x v="20"/>
    <s v="Male (M)"/>
    <s v="Other"/>
    <s v="75-84 years"/>
    <n v="250"/>
    <n v="245"/>
    <m/>
    <n v="61"/>
    <m/>
    <m/>
    <m/>
    <n v="12"/>
    <m/>
    <m/>
    <m/>
    <n v="68"/>
    <n v="12"/>
    <n v="14"/>
    <n v="12"/>
  </r>
  <r>
    <n v="2020"/>
    <n v="9"/>
    <s v="9/01/2020"/>
    <x v="20"/>
    <s v="Male (M)"/>
    <s v="Other"/>
    <s v="85 years and over"/>
    <n v="160"/>
    <n v="152"/>
    <m/>
    <n v="22"/>
    <m/>
    <n v="12"/>
    <m/>
    <m/>
    <m/>
    <m/>
    <n v="0"/>
    <n v="47"/>
    <n v="11"/>
    <n v="10"/>
    <m/>
  </r>
  <r>
    <n v="2020"/>
    <n v="10"/>
    <s v="10/01/2020"/>
    <x v="21"/>
    <s v="Female (F)"/>
    <s v="Hispanic"/>
    <s v="0-4 years"/>
    <n v="164"/>
    <n v="152"/>
    <m/>
    <m/>
    <n v="0"/>
    <n v="0"/>
    <n v="0"/>
    <n v="0"/>
    <m/>
    <m/>
    <n v="28"/>
    <m/>
    <m/>
    <n v="0"/>
    <n v="0"/>
  </r>
  <r>
    <n v="2020"/>
    <n v="10"/>
    <s v="10/01/2020"/>
    <x v="21"/>
    <s v="Female (F)"/>
    <s v="Hispanic"/>
    <s v="15-24 years"/>
    <n v="141"/>
    <n v="64"/>
    <n v="0"/>
    <n v="13"/>
    <n v="0"/>
    <n v="0"/>
    <n v="0"/>
    <n v="0"/>
    <m/>
    <n v="0"/>
    <n v="35"/>
    <m/>
    <m/>
    <m/>
    <m/>
  </r>
  <r>
    <n v="2020"/>
    <n v="10"/>
    <s v="10/01/2020"/>
    <x v="21"/>
    <s v="Female (F)"/>
    <s v="Hispanic"/>
    <s v="25-34 years"/>
    <n v="229"/>
    <n v="163"/>
    <m/>
    <n v="23"/>
    <m/>
    <n v="0"/>
    <m/>
    <n v="0"/>
    <m/>
    <m/>
    <n v="52"/>
    <m/>
    <m/>
    <n v="21"/>
    <n v="19"/>
  </r>
  <r>
    <n v="2020"/>
    <n v="10"/>
    <s v="10/01/2020"/>
    <x v="21"/>
    <s v="Female (F)"/>
    <s v="Hispanic"/>
    <s v="35-44 years"/>
    <n v="342"/>
    <n v="288"/>
    <m/>
    <n v="73"/>
    <m/>
    <n v="0"/>
    <m/>
    <m/>
    <m/>
    <m/>
    <n v="59"/>
    <n v="17"/>
    <m/>
    <n v="44"/>
    <n v="40"/>
  </r>
  <r>
    <n v="2020"/>
    <n v="10"/>
    <s v="10/01/2020"/>
    <x v="21"/>
    <s v="Female (F)"/>
    <s v="Hispanic"/>
    <s v="45-54 years"/>
    <n v="629"/>
    <n v="588"/>
    <n v="13"/>
    <n v="207"/>
    <n v="27"/>
    <n v="0"/>
    <m/>
    <m/>
    <m/>
    <n v="11"/>
    <n v="55"/>
    <n v="38"/>
    <n v="27"/>
    <n v="81"/>
    <n v="73"/>
  </r>
  <r>
    <n v="2020"/>
    <n v="10"/>
    <s v="10/01/2020"/>
    <x v="21"/>
    <s v="Female (F)"/>
    <s v="Hispanic"/>
    <s v="5-14 years"/>
    <n v="46"/>
    <n v="32"/>
    <m/>
    <m/>
    <n v="0"/>
    <n v="0"/>
    <n v="0"/>
    <n v="0"/>
    <m/>
    <m/>
    <m/>
    <m/>
    <m/>
    <n v="0"/>
    <n v="0"/>
  </r>
  <r>
    <n v="2020"/>
    <n v="10"/>
    <s v="10/01/2020"/>
    <x v="21"/>
    <s v="Female (F)"/>
    <s v="Hispanic"/>
    <s v="55-64 years"/>
    <n v="1124"/>
    <n v="1088"/>
    <n v="13"/>
    <n v="344"/>
    <n v="56"/>
    <m/>
    <n v="14"/>
    <n v="23"/>
    <n v="21"/>
    <n v="18"/>
    <n v="43"/>
    <n v="128"/>
    <n v="44"/>
    <n v="185"/>
    <n v="169"/>
  </r>
  <r>
    <n v="2020"/>
    <n v="10"/>
    <s v="10/01/2020"/>
    <x v="21"/>
    <s v="Female (F)"/>
    <s v="Hispanic"/>
    <s v="65-74 years"/>
    <n v="1732"/>
    <n v="1700"/>
    <n v="19"/>
    <n v="445"/>
    <n v="113"/>
    <n v="37"/>
    <n v="22"/>
    <n v="35"/>
    <n v="37"/>
    <n v="35"/>
    <n v="35"/>
    <n v="257"/>
    <n v="91"/>
    <n v="303"/>
    <n v="287"/>
  </r>
  <r>
    <n v="2020"/>
    <n v="10"/>
    <s v="10/01/2020"/>
    <x v="21"/>
    <s v="Female (F)"/>
    <s v="Hispanic"/>
    <s v="75-84 years"/>
    <n v="2089"/>
    <n v="2053"/>
    <n v="32"/>
    <n v="376"/>
    <n v="108"/>
    <n v="144"/>
    <n v="27"/>
    <n v="61"/>
    <n v="35"/>
    <n v="44"/>
    <n v="17"/>
    <n v="400"/>
    <n v="146"/>
    <n v="284"/>
    <n v="260"/>
  </r>
  <r>
    <n v="2020"/>
    <n v="10"/>
    <s v="10/01/2020"/>
    <x v="21"/>
    <s v="Female (F)"/>
    <s v="Hispanic"/>
    <s v="85 years and over"/>
    <n v="2789"/>
    <n v="2735"/>
    <n v="30"/>
    <n v="296"/>
    <n v="109"/>
    <n v="325"/>
    <n v="38"/>
    <n v="69"/>
    <n v="37"/>
    <n v="41"/>
    <n v="30"/>
    <n v="628"/>
    <n v="261"/>
    <n v="267"/>
    <n v="237"/>
  </r>
  <r>
    <n v="2020"/>
    <n v="10"/>
    <s v="10/01/2020"/>
    <x v="21"/>
    <s v="Female (F)"/>
    <s v="Non-Hispanic American Indian or Alaska Native"/>
    <s v="0-4 years"/>
    <m/>
    <m/>
    <n v="0"/>
    <n v="0"/>
    <n v="0"/>
    <n v="0"/>
    <n v="0"/>
    <n v="0"/>
    <n v="0"/>
    <n v="0"/>
    <m/>
    <n v="0"/>
    <n v="0"/>
    <n v="0"/>
    <n v="0"/>
  </r>
  <r>
    <n v="2020"/>
    <n v="10"/>
    <s v="10/01/2020"/>
    <x v="21"/>
    <s v="Female (F)"/>
    <s v="Non-Hispanic American Indian or Alaska Native"/>
    <s v="15-24 years"/>
    <m/>
    <m/>
    <n v="0"/>
    <n v="0"/>
    <n v="0"/>
    <n v="0"/>
    <n v="0"/>
    <n v="0"/>
    <n v="0"/>
    <n v="0"/>
    <m/>
    <n v="0"/>
    <n v="0"/>
    <n v="0"/>
    <n v="0"/>
  </r>
  <r>
    <n v="2020"/>
    <n v="10"/>
    <s v="10/01/2020"/>
    <x v="21"/>
    <s v="Female (F)"/>
    <s v="Non-Hispanic American Indian or Alaska Native"/>
    <s v="25-34 years"/>
    <n v="48"/>
    <n v="35"/>
    <n v="0"/>
    <n v="0"/>
    <n v="0"/>
    <n v="0"/>
    <n v="0"/>
    <n v="0"/>
    <n v="0"/>
    <n v="0"/>
    <n v="11"/>
    <m/>
    <m/>
    <m/>
    <m/>
  </r>
  <r>
    <n v="2020"/>
    <n v="10"/>
    <s v="10/01/2020"/>
    <x v="21"/>
    <s v="Female (F)"/>
    <s v="Non-Hispanic American Indian or Alaska Native"/>
    <s v="35-44 years"/>
    <n v="69"/>
    <n v="60"/>
    <n v="0"/>
    <m/>
    <m/>
    <n v="0"/>
    <n v="0"/>
    <n v="0"/>
    <n v="0"/>
    <m/>
    <n v="17"/>
    <m/>
    <n v="0"/>
    <m/>
    <m/>
  </r>
  <r>
    <n v="2020"/>
    <n v="10"/>
    <s v="10/01/2020"/>
    <x v="21"/>
    <s v="Female (F)"/>
    <s v="Non-Hispanic American Indian or Alaska Native"/>
    <s v="45-54 years"/>
    <n v="90"/>
    <n v="84"/>
    <n v="0"/>
    <n v="14"/>
    <m/>
    <n v="0"/>
    <m/>
    <m/>
    <n v="0"/>
    <n v="0"/>
    <n v="12"/>
    <m/>
    <m/>
    <m/>
    <m/>
  </r>
  <r>
    <n v="2020"/>
    <n v="10"/>
    <s v="10/01/2020"/>
    <x v="21"/>
    <s v="Female (F)"/>
    <s v="Non-Hispanic American Indian or Alaska Native"/>
    <s v="5-14 years"/>
    <m/>
    <m/>
    <n v="0"/>
    <m/>
    <n v="0"/>
    <n v="0"/>
    <n v="0"/>
    <n v="0"/>
    <n v="0"/>
    <n v="0"/>
    <n v="0"/>
    <n v="0"/>
    <n v="0"/>
    <n v="0"/>
    <n v="0"/>
  </r>
  <r>
    <n v="2020"/>
    <n v="10"/>
    <s v="10/01/2020"/>
    <x v="21"/>
    <s v="Female (F)"/>
    <s v="Non-Hispanic American Indian or Alaska Native"/>
    <s v="55-64 years"/>
    <n v="136"/>
    <n v="132"/>
    <m/>
    <n v="30"/>
    <n v="11"/>
    <n v="0"/>
    <m/>
    <m/>
    <m/>
    <m/>
    <n v="12"/>
    <n v="16"/>
    <m/>
    <n v="21"/>
    <n v="18"/>
  </r>
  <r>
    <n v="2020"/>
    <n v="10"/>
    <s v="10/01/2020"/>
    <x v="21"/>
    <s v="Female (F)"/>
    <s v="Non-Hispanic American Indian or Alaska Native"/>
    <s v="65-74 years"/>
    <n v="166"/>
    <n v="163"/>
    <m/>
    <n v="35"/>
    <n v="11"/>
    <m/>
    <n v="0"/>
    <n v="10"/>
    <m/>
    <m/>
    <m/>
    <n v="27"/>
    <m/>
    <n v="34"/>
    <n v="34"/>
  </r>
  <r>
    <n v="2020"/>
    <n v="10"/>
    <s v="10/01/2020"/>
    <x v="21"/>
    <s v="Female (F)"/>
    <s v="Non-Hispanic American Indian or Alaska Native"/>
    <s v="75-84 years"/>
    <n v="186"/>
    <n v="182"/>
    <n v="0"/>
    <n v="33"/>
    <n v="11"/>
    <m/>
    <m/>
    <n v="10"/>
    <m/>
    <m/>
    <m/>
    <n v="32"/>
    <n v="15"/>
    <n v="35"/>
    <n v="31"/>
  </r>
  <r>
    <n v="2020"/>
    <n v="10"/>
    <s v="10/01/2020"/>
    <x v="21"/>
    <s v="Female (F)"/>
    <s v="Non-Hispanic American Indian or Alaska Native"/>
    <s v="85 years and over"/>
    <n v="104"/>
    <n v="102"/>
    <m/>
    <m/>
    <m/>
    <m/>
    <m/>
    <m/>
    <m/>
    <m/>
    <m/>
    <n v="26"/>
    <m/>
    <n v="16"/>
    <n v="14"/>
  </r>
  <r>
    <n v="2020"/>
    <n v="10"/>
    <s v="10/01/2020"/>
    <x v="21"/>
    <s v="Female (F)"/>
    <s v="Non-Hispanic Asian"/>
    <s v="0-4 years"/>
    <n v="22"/>
    <n v="21"/>
    <n v="0"/>
    <m/>
    <n v="0"/>
    <n v="0"/>
    <n v="0"/>
    <n v="0"/>
    <n v="0"/>
    <n v="0"/>
    <m/>
    <n v="0"/>
    <m/>
    <n v="0"/>
    <n v="0"/>
  </r>
  <r>
    <n v="2020"/>
    <n v="10"/>
    <s v="10/01/2020"/>
    <x v="21"/>
    <s v="Female (F)"/>
    <s v="Non-Hispanic Asian"/>
    <s v="15-24 years"/>
    <n v="20"/>
    <n v="13"/>
    <m/>
    <m/>
    <n v="0"/>
    <n v="0"/>
    <n v="0"/>
    <n v="0"/>
    <m/>
    <n v="0"/>
    <m/>
    <n v="0"/>
    <n v="0"/>
    <n v="0"/>
    <n v="0"/>
  </r>
  <r>
    <n v="2020"/>
    <n v="10"/>
    <s v="10/01/2020"/>
    <x v="21"/>
    <s v="Female (F)"/>
    <s v="Non-Hispanic Asian"/>
    <s v="25-34 years"/>
    <n v="36"/>
    <n v="29"/>
    <n v="0"/>
    <m/>
    <m/>
    <n v="0"/>
    <m/>
    <n v="0"/>
    <n v="0"/>
    <n v="0"/>
    <n v="12"/>
    <m/>
    <n v="0"/>
    <m/>
    <m/>
  </r>
  <r>
    <n v="2020"/>
    <n v="10"/>
    <s v="10/01/2020"/>
    <x v="21"/>
    <s v="Female (F)"/>
    <s v="Non-Hispanic Asian"/>
    <s v="35-44 years"/>
    <n v="52"/>
    <n v="45"/>
    <m/>
    <n v="14"/>
    <n v="0"/>
    <n v="0"/>
    <n v="0"/>
    <m/>
    <n v="0"/>
    <n v="0"/>
    <m/>
    <m/>
    <m/>
    <m/>
    <m/>
  </r>
  <r>
    <n v="2020"/>
    <n v="10"/>
    <s v="10/01/2020"/>
    <x v="21"/>
    <s v="Female (F)"/>
    <s v="Non-Hispanic Asian"/>
    <s v="45-54 years"/>
    <n v="146"/>
    <n v="133"/>
    <m/>
    <n v="72"/>
    <m/>
    <m/>
    <n v="0"/>
    <m/>
    <n v="0"/>
    <m/>
    <n v="10"/>
    <n v="11"/>
    <n v="11"/>
    <m/>
    <m/>
  </r>
  <r>
    <n v="2020"/>
    <n v="10"/>
    <s v="10/01/2020"/>
    <x v="21"/>
    <s v="Female (F)"/>
    <s v="Non-Hispanic Asian"/>
    <s v="5-14 years"/>
    <n v="10"/>
    <m/>
    <n v="0"/>
    <m/>
    <n v="0"/>
    <n v="0"/>
    <n v="0"/>
    <m/>
    <n v="0"/>
    <n v="0"/>
    <n v="0"/>
    <n v="0"/>
    <n v="0"/>
    <n v="0"/>
    <n v="0"/>
  </r>
  <r>
    <n v="2020"/>
    <n v="10"/>
    <s v="10/01/2020"/>
    <x v="21"/>
    <s v="Female (F)"/>
    <s v="Non-Hispanic Asian"/>
    <s v="55-64 years"/>
    <n v="268"/>
    <n v="259"/>
    <m/>
    <n v="130"/>
    <m/>
    <m/>
    <m/>
    <n v="0"/>
    <m/>
    <m/>
    <m/>
    <n v="24"/>
    <n v="16"/>
    <n v="24"/>
    <n v="23"/>
  </r>
  <r>
    <n v="2020"/>
    <n v="10"/>
    <s v="10/01/2020"/>
    <x v="21"/>
    <s v="Female (F)"/>
    <s v="Non-Hispanic Asian"/>
    <s v="65-74 years"/>
    <n v="531"/>
    <n v="515"/>
    <m/>
    <n v="193"/>
    <n v="31"/>
    <m/>
    <m/>
    <m/>
    <m/>
    <n v="10"/>
    <m/>
    <n v="85"/>
    <n v="39"/>
    <n v="47"/>
    <n v="45"/>
  </r>
  <r>
    <n v="2020"/>
    <n v="10"/>
    <s v="10/01/2020"/>
    <x v="21"/>
    <s v="Female (F)"/>
    <s v="Non-Hispanic Asian"/>
    <s v="75-84 years"/>
    <n v="770"/>
    <n v="747"/>
    <m/>
    <n v="171"/>
    <n v="40"/>
    <n v="33"/>
    <n v="17"/>
    <n v="16"/>
    <m/>
    <n v="23"/>
    <n v="12"/>
    <n v="149"/>
    <n v="77"/>
    <n v="58"/>
    <n v="51"/>
  </r>
  <r>
    <n v="2020"/>
    <n v="10"/>
    <s v="10/01/2020"/>
    <x v="21"/>
    <s v="Female (F)"/>
    <s v="Non-Hispanic Asian"/>
    <s v="85 years and over"/>
    <n v="1275"/>
    <n v="1250"/>
    <m/>
    <n v="134"/>
    <n v="50"/>
    <n v="157"/>
    <n v="29"/>
    <n v="39"/>
    <n v="11"/>
    <n v="19"/>
    <n v="21"/>
    <n v="275"/>
    <n v="131"/>
    <n v="72"/>
    <n v="66"/>
  </r>
  <r>
    <n v="2020"/>
    <n v="10"/>
    <s v="10/01/2020"/>
    <x v="21"/>
    <s v="Female (F)"/>
    <s v="Non-Hispanic Black"/>
    <s v="0-4 years"/>
    <n v="171"/>
    <n v="162"/>
    <n v="0"/>
    <m/>
    <n v="0"/>
    <n v="0"/>
    <m/>
    <n v="0"/>
    <m/>
    <m/>
    <n v="44"/>
    <m/>
    <m/>
    <n v="0"/>
    <n v="0"/>
  </r>
  <r>
    <n v="2020"/>
    <n v="10"/>
    <s v="10/01/2020"/>
    <x v="21"/>
    <s v="Female (F)"/>
    <s v="Non-Hispanic Black"/>
    <s v="15-24 years"/>
    <n v="159"/>
    <n v="81"/>
    <n v="0"/>
    <m/>
    <m/>
    <n v="0"/>
    <m/>
    <m/>
    <m/>
    <n v="0"/>
    <n v="40"/>
    <m/>
    <m/>
    <m/>
    <m/>
  </r>
  <r>
    <n v="2020"/>
    <n v="10"/>
    <s v="10/01/2020"/>
    <x v="21"/>
    <s v="Female (F)"/>
    <s v="Non-Hispanic Black"/>
    <s v="25-34 years"/>
    <n v="334"/>
    <n v="223"/>
    <m/>
    <n v="21"/>
    <m/>
    <n v="0"/>
    <m/>
    <m/>
    <m/>
    <m/>
    <n v="84"/>
    <n v="27"/>
    <m/>
    <n v="10"/>
    <m/>
  </r>
  <r>
    <n v="2020"/>
    <n v="10"/>
    <s v="10/01/2020"/>
    <x v="21"/>
    <s v="Female (F)"/>
    <s v="Non-Hispanic Black"/>
    <s v="35-44 years"/>
    <n v="590"/>
    <n v="510"/>
    <n v="11"/>
    <n v="84"/>
    <n v="18"/>
    <n v="0"/>
    <m/>
    <m/>
    <m/>
    <n v="11"/>
    <n v="102"/>
    <n v="74"/>
    <n v="24"/>
    <n v="43"/>
    <n v="39"/>
  </r>
  <r>
    <n v="2020"/>
    <n v="10"/>
    <s v="10/01/2020"/>
    <x v="21"/>
    <s v="Female (F)"/>
    <s v="Non-Hispanic Black"/>
    <s v="45-54 years"/>
    <n v="1012"/>
    <n v="940"/>
    <n v="18"/>
    <n v="216"/>
    <n v="61"/>
    <n v="0"/>
    <n v="11"/>
    <n v="13"/>
    <n v="11"/>
    <n v="15"/>
    <n v="107"/>
    <n v="175"/>
    <n v="49"/>
    <n v="60"/>
    <n v="55"/>
  </r>
  <r>
    <n v="2020"/>
    <n v="10"/>
    <s v="10/01/2020"/>
    <x v="21"/>
    <s v="Female (F)"/>
    <s v="Non-Hispanic Black"/>
    <s v="5-14 years"/>
    <n v="35"/>
    <n v="20"/>
    <m/>
    <m/>
    <n v="0"/>
    <n v="0"/>
    <n v="0"/>
    <m/>
    <n v="0"/>
    <n v="0"/>
    <m/>
    <m/>
    <n v="0"/>
    <m/>
    <m/>
  </r>
  <r>
    <n v="2020"/>
    <n v="10"/>
    <s v="10/01/2020"/>
    <x v="21"/>
    <s v="Female (F)"/>
    <s v="Non-Hispanic Black"/>
    <s v="55-64 years"/>
    <n v="2335"/>
    <n v="2257"/>
    <n v="56"/>
    <n v="616"/>
    <n v="130"/>
    <m/>
    <n v="26"/>
    <n v="75"/>
    <n v="28"/>
    <n v="68"/>
    <n v="112"/>
    <n v="433"/>
    <n v="102"/>
    <n v="183"/>
    <n v="166"/>
  </r>
  <r>
    <n v="2020"/>
    <n v="10"/>
    <s v="10/01/2020"/>
    <x v="21"/>
    <s v="Female (F)"/>
    <s v="Non-Hispanic Black"/>
    <s v="65-74 years"/>
    <n v="3009"/>
    <n v="2960"/>
    <n v="66"/>
    <n v="810"/>
    <n v="156"/>
    <n v="52"/>
    <n v="42"/>
    <n v="93"/>
    <n v="41"/>
    <n v="96"/>
    <n v="53"/>
    <n v="643"/>
    <n v="143"/>
    <n v="267"/>
    <n v="235"/>
  </r>
  <r>
    <n v="2020"/>
    <n v="10"/>
    <s v="10/01/2020"/>
    <x v="21"/>
    <s v="Female (F)"/>
    <s v="Non-Hispanic Black"/>
    <s v="75-84 years"/>
    <n v="3046"/>
    <n v="3003"/>
    <n v="49"/>
    <n v="540"/>
    <n v="159"/>
    <n v="171"/>
    <n v="40"/>
    <n v="94"/>
    <n v="26"/>
    <n v="100"/>
    <n v="43"/>
    <n v="668"/>
    <n v="239"/>
    <n v="278"/>
    <n v="236"/>
  </r>
  <r>
    <n v="2020"/>
    <n v="10"/>
    <s v="10/01/2020"/>
    <x v="21"/>
    <s v="Female (F)"/>
    <s v="Non-Hispanic Black"/>
    <s v="85 years and over"/>
    <n v="3388"/>
    <n v="3339"/>
    <n v="45"/>
    <n v="312"/>
    <n v="108"/>
    <n v="353"/>
    <n v="44"/>
    <n v="73"/>
    <n v="22"/>
    <n v="83"/>
    <n v="57"/>
    <n v="870"/>
    <n v="294"/>
    <n v="240"/>
    <n v="203"/>
  </r>
  <r>
    <n v="2020"/>
    <n v="10"/>
    <s v="10/01/2020"/>
    <x v="21"/>
    <s v="Female (F)"/>
    <s v="Non-Hispanic White"/>
    <s v="0-4 years"/>
    <n v="276"/>
    <n v="256"/>
    <n v="0"/>
    <m/>
    <n v="0"/>
    <n v="0"/>
    <n v="0"/>
    <n v="0"/>
    <m/>
    <n v="0"/>
    <n v="43"/>
    <m/>
    <m/>
    <m/>
    <m/>
  </r>
  <r>
    <n v="2020"/>
    <n v="10"/>
    <s v="10/01/2020"/>
    <x v="21"/>
    <s v="Female (F)"/>
    <s v="Non-Hispanic White"/>
    <s v="15-24 years"/>
    <n v="330"/>
    <n v="168"/>
    <n v="0"/>
    <n v="16"/>
    <m/>
    <n v="0"/>
    <m/>
    <m/>
    <m/>
    <n v="0"/>
    <n v="82"/>
    <m/>
    <m/>
    <m/>
    <m/>
  </r>
  <r>
    <n v="2020"/>
    <n v="10"/>
    <s v="10/01/2020"/>
    <x v="21"/>
    <s v="Female (F)"/>
    <s v="Non-Hispanic White"/>
    <s v="25-34 years"/>
    <n v="841"/>
    <n v="582"/>
    <m/>
    <n v="69"/>
    <m/>
    <n v="0"/>
    <m/>
    <m/>
    <m/>
    <m/>
    <n v="291"/>
    <n v="51"/>
    <m/>
    <n v="13"/>
    <m/>
  </r>
  <r>
    <n v="2020"/>
    <n v="10"/>
    <s v="10/01/2020"/>
    <x v="21"/>
    <s v="Female (F)"/>
    <s v="Non-Hispanic White"/>
    <s v="35-44 years"/>
    <n v="1520"/>
    <n v="1247"/>
    <n v="21"/>
    <n v="292"/>
    <n v="37"/>
    <n v="0"/>
    <m/>
    <n v="14"/>
    <m/>
    <n v="11"/>
    <n v="359"/>
    <n v="106"/>
    <n v="28"/>
    <n v="31"/>
    <n v="27"/>
  </r>
  <r>
    <n v="2020"/>
    <n v="10"/>
    <s v="10/01/2020"/>
    <x v="21"/>
    <s v="Female (F)"/>
    <s v="Non-Hispanic White"/>
    <s v="45-54 years"/>
    <n v="3177"/>
    <n v="2886"/>
    <n v="50"/>
    <n v="884"/>
    <n v="94"/>
    <m/>
    <n v="31"/>
    <n v="105"/>
    <n v="26"/>
    <n v="34"/>
    <n v="420"/>
    <n v="348"/>
    <n v="86"/>
    <n v="130"/>
    <n v="115"/>
  </r>
  <r>
    <n v="2020"/>
    <n v="10"/>
    <s v="10/01/2020"/>
    <x v="21"/>
    <s v="Female (F)"/>
    <s v="Non-Hispanic White"/>
    <s v="5-14 years"/>
    <n v="60"/>
    <n v="34"/>
    <n v="0"/>
    <m/>
    <n v="0"/>
    <n v="0"/>
    <n v="0"/>
    <n v="0"/>
    <n v="0"/>
    <n v="0"/>
    <m/>
    <m/>
    <n v="0"/>
    <m/>
    <n v="0"/>
  </r>
  <r>
    <n v="2020"/>
    <n v="10"/>
    <s v="10/01/2020"/>
    <x v="21"/>
    <s v="Female (F)"/>
    <s v="Non-Hispanic White"/>
    <s v="55-64 years"/>
    <n v="8438"/>
    <n v="8067"/>
    <n v="138"/>
    <n v="2786"/>
    <n v="261"/>
    <n v="47"/>
    <n v="90"/>
    <n v="524"/>
    <n v="103"/>
    <n v="91"/>
    <n v="496"/>
    <n v="1231"/>
    <n v="255"/>
    <n v="456"/>
    <n v="398"/>
  </r>
  <r>
    <n v="2020"/>
    <n v="10"/>
    <s v="10/01/2020"/>
    <x v="21"/>
    <s v="Female (F)"/>
    <s v="Non-Hispanic White"/>
    <s v="65-74 years"/>
    <n v="15691"/>
    <n v="15289"/>
    <n v="262"/>
    <n v="4729"/>
    <n v="500"/>
    <n v="337"/>
    <n v="199"/>
    <n v="1078"/>
    <n v="258"/>
    <n v="230"/>
    <n v="321"/>
    <n v="2564"/>
    <n v="695"/>
    <n v="1184"/>
    <n v="1033"/>
  </r>
  <r>
    <n v="2020"/>
    <n v="10"/>
    <s v="10/01/2020"/>
    <x v="21"/>
    <s v="Female (F)"/>
    <s v="Non-Hispanic White"/>
    <s v="75-84 years"/>
    <n v="23243"/>
    <n v="22628"/>
    <n v="278"/>
    <n v="4891"/>
    <n v="530"/>
    <n v="1498"/>
    <n v="325"/>
    <n v="1558"/>
    <n v="384"/>
    <n v="348"/>
    <n v="318"/>
    <n v="4263"/>
    <n v="1370"/>
    <n v="2123"/>
    <n v="1865"/>
  </r>
  <r>
    <n v="2020"/>
    <n v="10"/>
    <s v="10/01/2020"/>
    <x v="21"/>
    <s v="Female (F)"/>
    <s v="Non-Hispanic White"/>
    <s v="85 years and over"/>
    <n v="38068"/>
    <n v="37035"/>
    <n v="333"/>
    <n v="3431"/>
    <n v="562"/>
    <n v="3978"/>
    <n v="439"/>
    <n v="1531"/>
    <n v="433"/>
    <n v="490"/>
    <n v="606"/>
    <n v="9374"/>
    <n v="2862"/>
    <n v="3497"/>
    <n v="2916"/>
  </r>
  <r>
    <n v="2020"/>
    <n v="10"/>
    <s v="10/01/2020"/>
    <x v="21"/>
    <s v="Female (F)"/>
    <s v="Other"/>
    <s v="0-4 years"/>
    <n v="25"/>
    <n v="23"/>
    <n v="0"/>
    <n v="0"/>
    <n v="0"/>
    <n v="0"/>
    <n v="0"/>
    <n v="0"/>
    <n v="0"/>
    <n v="0"/>
    <m/>
    <n v="0"/>
    <n v="0"/>
    <n v="0"/>
    <n v="0"/>
  </r>
  <r>
    <n v="2020"/>
    <n v="10"/>
    <s v="10/01/2020"/>
    <x v="21"/>
    <s v="Female (F)"/>
    <s v="Other"/>
    <s v="15-24 years"/>
    <n v="27"/>
    <n v="13"/>
    <n v="0"/>
    <m/>
    <n v="0"/>
    <n v="0"/>
    <n v="0"/>
    <n v="0"/>
    <m/>
    <n v="0"/>
    <m/>
    <n v="0"/>
    <n v="0"/>
    <n v="0"/>
    <n v="0"/>
  </r>
  <r>
    <n v="2020"/>
    <n v="10"/>
    <s v="10/01/2020"/>
    <x v="21"/>
    <s v="Female (F)"/>
    <s v="Other"/>
    <s v="25-34 years"/>
    <n v="36"/>
    <n v="28"/>
    <n v="0"/>
    <m/>
    <n v="0"/>
    <n v="0"/>
    <n v="0"/>
    <n v="0"/>
    <n v="0"/>
    <n v="0"/>
    <m/>
    <m/>
    <n v="0"/>
    <m/>
    <m/>
  </r>
  <r>
    <n v="2020"/>
    <n v="10"/>
    <s v="10/01/2020"/>
    <x v="21"/>
    <s v="Female (F)"/>
    <s v="Other"/>
    <s v="35-44 years"/>
    <n v="60"/>
    <n v="52"/>
    <m/>
    <m/>
    <m/>
    <n v="0"/>
    <n v="0"/>
    <m/>
    <n v="0"/>
    <n v="0"/>
    <n v="21"/>
    <m/>
    <m/>
    <m/>
    <m/>
  </r>
  <r>
    <n v="2020"/>
    <n v="10"/>
    <s v="10/01/2020"/>
    <x v="21"/>
    <s v="Female (F)"/>
    <s v="Other"/>
    <s v="45-54 years"/>
    <n v="110"/>
    <n v="103"/>
    <m/>
    <n v="27"/>
    <m/>
    <n v="0"/>
    <n v="0"/>
    <m/>
    <n v="0"/>
    <m/>
    <n v="19"/>
    <n v="16"/>
    <m/>
    <m/>
    <m/>
  </r>
  <r>
    <n v="2020"/>
    <n v="10"/>
    <s v="10/01/2020"/>
    <x v="21"/>
    <s v="Female (F)"/>
    <s v="Other"/>
    <s v="5-14 years"/>
    <m/>
    <m/>
    <n v="0"/>
    <m/>
    <n v="0"/>
    <n v="0"/>
    <n v="0"/>
    <n v="0"/>
    <n v="0"/>
    <n v="0"/>
    <m/>
    <m/>
    <n v="0"/>
    <n v="0"/>
    <n v="0"/>
  </r>
  <r>
    <n v="2020"/>
    <n v="10"/>
    <s v="10/01/2020"/>
    <x v="21"/>
    <s v="Female (F)"/>
    <s v="Other"/>
    <s v="55-64 years"/>
    <n v="193"/>
    <n v="180"/>
    <m/>
    <n v="58"/>
    <n v="12"/>
    <n v="0"/>
    <m/>
    <m/>
    <m/>
    <m/>
    <n v="19"/>
    <n v="30"/>
    <m/>
    <n v="13"/>
    <n v="11"/>
  </r>
  <r>
    <n v="2020"/>
    <n v="10"/>
    <s v="10/01/2020"/>
    <x v="21"/>
    <s v="Female (F)"/>
    <s v="Other"/>
    <s v="65-74 years"/>
    <n v="257"/>
    <n v="254"/>
    <m/>
    <n v="80"/>
    <n v="14"/>
    <m/>
    <m/>
    <n v="17"/>
    <m/>
    <m/>
    <m/>
    <n v="49"/>
    <m/>
    <n v="19"/>
    <n v="18"/>
  </r>
  <r>
    <n v="2020"/>
    <n v="10"/>
    <s v="10/01/2020"/>
    <x v="21"/>
    <s v="Female (F)"/>
    <s v="Other"/>
    <s v="75-84 years"/>
    <n v="295"/>
    <n v="286"/>
    <m/>
    <n v="57"/>
    <n v="11"/>
    <n v="19"/>
    <m/>
    <n v="19"/>
    <m/>
    <m/>
    <m/>
    <n v="49"/>
    <n v="19"/>
    <n v="23"/>
    <n v="21"/>
  </r>
  <r>
    <n v="2020"/>
    <n v="10"/>
    <s v="10/01/2020"/>
    <x v="21"/>
    <s v="Female (F)"/>
    <s v="Other"/>
    <s v="85 years and over"/>
    <n v="406"/>
    <n v="398"/>
    <m/>
    <n v="38"/>
    <n v="10"/>
    <n v="42"/>
    <m/>
    <m/>
    <m/>
    <m/>
    <m/>
    <n v="104"/>
    <n v="29"/>
    <n v="22"/>
    <n v="18"/>
  </r>
  <r>
    <n v="2020"/>
    <n v="10"/>
    <s v="10/01/2020"/>
    <x v="21"/>
    <s v="Male (M)"/>
    <s v="Hispanic"/>
    <s v="0-4 years"/>
    <n v="179"/>
    <n v="162"/>
    <m/>
    <n v="0"/>
    <n v="0"/>
    <n v="0"/>
    <m/>
    <n v="0"/>
    <n v="0"/>
    <m/>
    <n v="25"/>
    <m/>
    <m/>
    <n v="0"/>
    <n v="0"/>
  </r>
  <r>
    <n v="2020"/>
    <n v="10"/>
    <s v="10/01/2020"/>
    <x v="21"/>
    <s v="Male (M)"/>
    <s v="Hispanic"/>
    <s v="15-24 years"/>
    <n v="444"/>
    <n v="155"/>
    <n v="0"/>
    <n v="18"/>
    <m/>
    <n v="0"/>
    <m/>
    <n v="0"/>
    <n v="0"/>
    <m/>
    <n v="102"/>
    <m/>
    <n v="0"/>
    <m/>
    <m/>
  </r>
  <r>
    <n v="2020"/>
    <n v="10"/>
    <s v="10/01/2020"/>
    <x v="21"/>
    <s v="Male (M)"/>
    <s v="Hispanic"/>
    <s v="25-34 years"/>
    <n v="733"/>
    <n v="391"/>
    <m/>
    <n v="32"/>
    <m/>
    <n v="0"/>
    <m/>
    <m/>
    <m/>
    <m/>
    <n v="233"/>
    <n v="21"/>
    <m/>
    <n v="21"/>
    <n v="19"/>
  </r>
  <r>
    <n v="2020"/>
    <n v="10"/>
    <s v="10/01/2020"/>
    <x v="21"/>
    <s v="Male (M)"/>
    <s v="Hispanic"/>
    <s v="35-44 years"/>
    <n v="872"/>
    <n v="641"/>
    <m/>
    <n v="72"/>
    <n v="19"/>
    <n v="0"/>
    <m/>
    <m/>
    <m/>
    <m/>
    <n v="226"/>
    <n v="73"/>
    <n v="13"/>
    <n v="79"/>
    <n v="71"/>
  </r>
  <r>
    <n v="2020"/>
    <n v="10"/>
    <s v="10/01/2020"/>
    <x v="21"/>
    <s v="Male (M)"/>
    <s v="Hispanic"/>
    <s v="45-54 years"/>
    <n v="1334"/>
    <n v="1169"/>
    <n v="10"/>
    <n v="150"/>
    <n v="57"/>
    <n v="0"/>
    <n v="10"/>
    <m/>
    <n v="23"/>
    <n v="16"/>
    <n v="204"/>
    <n v="136"/>
    <n v="56"/>
    <n v="234"/>
    <n v="220"/>
  </r>
  <r>
    <n v="2020"/>
    <n v="10"/>
    <s v="10/01/2020"/>
    <x v="21"/>
    <s v="Male (M)"/>
    <s v="Hispanic"/>
    <s v="5-14 years"/>
    <n v="60"/>
    <n v="37"/>
    <m/>
    <n v="13"/>
    <n v="0"/>
    <n v="0"/>
    <n v="0"/>
    <m/>
    <m/>
    <n v="0"/>
    <m/>
    <m/>
    <m/>
    <n v="0"/>
    <n v="0"/>
  </r>
  <r>
    <n v="2020"/>
    <n v="10"/>
    <s v="10/01/2020"/>
    <x v="21"/>
    <s v="Male (M)"/>
    <s v="Hispanic"/>
    <s v="55-64 years"/>
    <n v="2213"/>
    <n v="2065"/>
    <n v="21"/>
    <n v="415"/>
    <n v="111"/>
    <m/>
    <n v="27"/>
    <n v="14"/>
    <n v="26"/>
    <n v="39"/>
    <n v="149"/>
    <n v="341"/>
    <n v="93"/>
    <n v="428"/>
    <n v="393"/>
  </r>
  <r>
    <n v="2020"/>
    <n v="10"/>
    <s v="10/01/2020"/>
    <x v="21"/>
    <s v="Male (M)"/>
    <s v="Hispanic"/>
    <s v="65-74 years"/>
    <n v="2326"/>
    <n v="2250"/>
    <n v="23"/>
    <n v="504"/>
    <n v="160"/>
    <n v="25"/>
    <n v="31"/>
    <n v="42"/>
    <n v="31"/>
    <n v="37"/>
    <n v="64"/>
    <n v="389"/>
    <n v="104"/>
    <n v="479"/>
    <n v="455"/>
  </r>
  <r>
    <n v="2020"/>
    <n v="10"/>
    <s v="10/01/2020"/>
    <x v="21"/>
    <s v="Male (M)"/>
    <s v="Hispanic"/>
    <s v="75-84 years"/>
    <n v="2139"/>
    <n v="2094"/>
    <n v="29"/>
    <n v="446"/>
    <n v="135"/>
    <n v="68"/>
    <n v="30"/>
    <n v="63"/>
    <n v="34"/>
    <n v="44"/>
    <n v="30"/>
    <n v="398"/>
    <n v="126"/>
    <n v="353"/>
    <n v="317"/>
  </r>
  <r>
    <n v="2020"/>
    <n v="10"/>
    <s v="10/01/2020"/>
    <x v="21"/>
    <s v="Male (M)"/>
    <s v="Hispanic"/>
    <s v="85 years and over"/>
    <n v="1764"/>
    <n v="1728"/>
    <m/>
    <n v="229"/>
    <n v="63"/>
    <n v="127"/>
    <n v="36"/>
    <n v="52"/>
    <n v="23"/>
    <n v="36"/>
    <n v="14"/>
    <n v="401"/>
    <n v="117"/>
    <n v="242"/>
    <n v="215"/>
  </r>
  <r>
    <n v="2020"/>
    <n v="10"/>
    <s v="10/01/2020"/>
    <x v="21"/>
    <s v="Male (M)"/>
    <s v="Non-Hispanic American Indian or Alaska Native"/>
    <s v="0-4 years"/>
    <m/>
    <m/>
    <n v="0"/>
    <n v="0"/>
    <n v="0"/>
    <n v="0"/>
    <n v="0"/>
    <n v="0"/>
    <n v="0"/>
    <n v="0"/>
    <m/>
    <n v="0"/>
    <n v="0"/>
    <n v="0"/>
    <n v="0"/>
  </r>
  <r>
    <n v="2020"/>
    <n v="10"/>
    <s v="10/01/2020"/>
    <x v="21"/>
    <s v="Male (M)"/>
    <s v="Non-Hispanic American Indian or Alaska Native"/>
    <s v="15-24 years"/>
    <n v="31"/>
    <n v="15"/>
    <n v="0"/>
    <m/>
    <n v="0"/>
    <n v="0"/>
    <n v="0"/>
    <n v="0"/>
    <n v="0"/>
    <n v="0"/>
    <n v="10"/>
    <n v="0"/>
    <n v="0"/>
    <n v="0"/>
    <n v="0"/>
  </r>
  <r>
    <n v="2020"/>
    <n v="10"/>
    <s v="10/01/2020"/>
    <x v="21"/>
    <s v="Male (M)"/>
    <s v="Non-Hispanic American Indian or Alaska Native"/>
    <s v="25-34 years"/>
    <n v="57"/>
    <n v="36"/>
    <n v="0"/>
    <m/>
    <n v="0"/>
    <n v="0"/>
    <n v="0"/>
    <n v="0"/>
    <n v="0"/>
    <n v="0"/>
    <n v="16"/>
    <n v="0"/>
    <n v="0"/>
    <m/>
    <m/>
  </r>
  <r>
    <n v="2020"/>
    <n v="10"/>
    <s v="10/01/2020"/>
    <x v="21"/>
    <s v="Male (M)"/>
    <s v="Non-Hispanic American Indian or Alaska Native"/>
    <s v="35-44 years"/>
    <n v="85"/>
    <n v="68"/>
    <n v="0"/>
    <m/>
    <m/>
    <n v="0"/>
    <m/>
    <n v="0"/>
    <n v="0"/>
    <m/>
    <n v="18"/>
    <m/>
    <m/>
    <m/>
    <m/>
  </r>
  <r>
    <n v="2020"/>
    <n v="10"/>
    <s v="10/01/2020"/>
    <x v="21"/>
    <s v="Male (M)"/>
    <s v="Non-Hispanic American Indian or Alaska Native"/>
    <s v="45-54 years"/>
    <n v="122"/>
    <n v="112"/>
    <m/>
    <n v="11"/>
    <m/>
    <n v="0"/>
    <n v="0"/>
    <m/>
    <n v="0"/>
    <m/>
    <n v="20"/>
    <n v="11"/>
    <m/>
    <n v="26"/>
    <n v="24"/>
  </r>
  <r>
    <n v="2020"/>
    <n v="10"/>
    <s v="10/01/2020"/>
    <x v="21"/>
    <s v="Male (M)"/>
    <s v="Non-Hispanic American Indian or Alaska Native"/>
    <s v="55-64 years"/>
    <n v="200"/>
    <n v="177"/>
    <m/>
    <n v="25"/>
    <n v="11"/>
    <n v="0"/>
    <m/>
    <m/>
    <m/>
    <m/>
    <n v="20"/>
    <n v="27"/>
    <m/>
    <n v="33"/>
    <n v="28"/>
  </r>
  <r>
    <n v="2020"/>
    <n v="10"/>
    <s v="10/01/2020"/>
    <x v="21"/>
    <s v="Male (M)"/>
    <s v="Non-Hispanic American Indian or Alaska Native"/>
    <s v="65-74 years"/>
    <n v="190"/>
    <n v="187"/>
    <m/>
    <n v="35"/>
    <n v="14"/>
    <n v="0"/>
    <m/>
    <m/>
    <m/>
    <m/>
    <m/>
    <n v="27"/>
    <m/>
    <n v="55"/>
    <n v="52"/>
  </r>
  <r>
    <n v="2020"/>
    <n v="10"/>
    <s v="10/01/2020"/>
    <x v="21"/>
    <s v="Male (M)"/>
    <s v="Non-Hispanic American Indian or Alaska Native"/>
    <s v="75-84 years"/>
    <n v="175"/>
    <n v="172"/>
    <n v="0"/>
    <n v="32"/>
    <n v="14"/>
    <n v="0"/>
    <m/>
    <m/>
    <m/>
    <m/>
    <m/>
    <n v="43"/>
    <m/>
    <n v="42"/>
    <n v="38"/>
  </r>
  <r>
    <n v="2020"/>
    <n v="10"/>
    <s v="10/01/2020"/>
    <x v="21"/>
    <s v="Male (M)"/>
    <s v="Non-Hispanic American Indian or Alaska Native"/>
    <s v="85 years and over"/>
    <n v="88"/>
    <n v="87"/>
    <m/>
    <n v="18"/>
    <m/>
    <m/>
    <m/>
    <m/>
    <n v="0"/>
    <m/>
    <n v="0"/>
    <n v="15"/>
    <m/>
    <n v="19"/>
    <n v="19"/>
  </r>
  <r>
    <n v="2020"/>
    <n v="10"/>
    <s v="10/01/2020"/>
    <x v="21"/>
    <s v="Male (M)"/>
    <s v="Non-Hispanic Asian"/>
    <s v="0-4 years"/>
    <n v="27"/>
    <n v="25"/>
    <n v="0"/>
    <n v="0"/>
    <n v="0"/>
    <n v="0"/>
    <n v="0"/>
    <n v="0"/>
    <m/>
    <n v="0"/>
    <m/>
    <n v="0"/>
    <n v="0"/>
    <n v="0"/>
    <n v="0"/>
  </r>
  <r>
    <n v="2020"/>
    <n v="10"/>
    <s v="10/01/2020"/>
    <x v="21"/>
    <s v="Male (M)"/>
    <s v="Non-Hispanic Asian"/>
    <s v="15-24 years"/>
    <n v="32"/>
    <n v="14"/>
    <n v="0"/>
    <n v="0"/>
    <n v="0"/>
    <n v="0"/>
    <n v="0"/>
    <m/>
    <n v="0"/>
    <n v="0"/>
    <m/>
    <n v="0"/>
    <n v="0"/>
    <m/>
    <m/>
  </r>
  <r>
    <n v="2020"/>
    <n v="10"/>
    <s v="10/01/2020"/>
    <x v="21"/>
    <s v="Male (M)"/>
    <s v="Non-Hispanic Asian"/>
    <s v="25-34 years"/>
    <n v="82"/>
    <n v="46"/>
    <n v="0"/>
    <m/>
    <m/>
    <n v="0"/>
    <n v="0"/>
    <m/>
    <m/>
    <n v="0"/>
    <n v="23"/>
    <m/>
    <m/>
    <m/>
    <m/>
  </r>
  <r>
    <n v="2020"/>
    <n v="10"/>
    <s v="10/01/2020"/>
    <x v="21"/>
    <s v="Male (M)"/>
    <s v="Non-Hispanic Asian"/>
    <s v="35-44 years"/>
    <n v="119"/>
    <n v="87"/>
    <m/>
    <n v="14"/>
    <m/>
    <n v="0"/>
    <m/>
    <n v="0"/>
    <m/>
    <m/>
    <n v="24"/>
    <n v="13"/>
    <m/>
    <m/>
    <m/>
  </r>
  <r>
    <n v="2020"/>
    <n v="10"/>
    <s v="10/01/2020"/>
    <x v="21"/>
    <s v="Male (M)"/>
    <s v="Non-Hispanic Asian"/>
    <s v="45-54 years"/>
    <n v="225"/>
    <n v="204"/>
    <m/>
    <n v="53"/>
    <n v="13"/>
    <n v="0"/>
    <n v="0"/>
    <n v="0"/>
    <m/>
    <m/>
    <n v="29"/>
    <n v="35"/>
    <n v="12"/>
    <n v="18"/>
    <n v="18"/>
  </r>
  <r>
    <n v="2020"/>
    <n v="10"/>
    <s v="10/01/2020"/>
    <x v="21"/>
    <s v="Male (M)"/>
    <s v="Non-Hispanic Asian"/>
    <s v="5-14 years"/>
    <m/>
    <m/>
    <n v="0"/>
    <n v="0"/>
    <n v="0"/>
    <n v="0"/>
    <n v="0"/>
    <n v="0"/>
    <n v="0"/>
    <m/>
    <m/>
    <n v="0"/>
    <n v="0"/>
    <n v="0"/>
    <n v="0"/>
  </r>
  <r>
    <n v="2020"/>
    <n v="10"/>
    <s v="10/01/2020"/>
    <x v="21"/>
    <s v="Male (M)"/>
    <s v="Non-Hispanic Asian"/>
    <s v="55-64 years"/>
    <n v="481"/>
    <n v="451"/>
    <m/>
    <n v="160"/>
    <n v="21"/>
    <n v="0"/>
    <m/>
    <n v="0"/>
    <m/>
    <m/>
    <n v="29"/>
    <n v="101"/>
    <n v="26"/>
    <n v="38"/>
    <n v="32"/>
  </r>
  <r>
    <n v="2020"/>
    <n v="10"/>
    <s v="10/01/2020"/>
    <x v="21"/>
    <s v="Male (M)"/>
    <s v="Non-Hispanic Asian"/>
    <s v="65-74 years"/>
    <n v="706"/>
    <n v="680"/>
    <n v="10"/>
    <n v="200"/>
    <n v="36"/>
    <m/>
    <n v="12"/>
    <n v="13"/>
    <n v="10"/>
    <m/>
    <n v="22"/>
    <n v="158"/>
    <n v="48"/>
    <n v="84"/>
    <n v="77"/>
  </r>
  <r>
    <n v="2020"/>
    <n v="10"/>
    <s v="10/01/2020"/>
    <x v="21"/>
    <s v="Male (M)"/>
    <s v="Non-Hispanic Asian"/>
    <s v="75-84 years"/>
    <n v="841"/>
    <n v="815"/>
    <n v="10"/>
    <n v="191"/>
    <n v="43"/>
    <n v="18"/>
    <n v="19"/>
    <n v="23"/>
    <n v="19"/>
    <n v="18"/>
    <n v="14"/>
    <n v="167"/>
    <n v="74"/>
    <n v="77"/>
    <n v="75"/>
  </r>
  <r>
    <n v="2020"/>
    <n v="10"/>
    <s v="10/01/2020"/>
    <x v="21"/>
    <s v="Male (M)"/>
    <s v="Non-Hispanic Asian"/>
    <s v="85 years and over"/>
    <n v="868"/>
    <n v="848"/>
    <n v="10"/>
    <n v="109"/>
    <n v="19"/>
    <n v="55"/>
    <n v="31"/>
    <n v="29"/>
    <m/>
    <n v="15"/>
    <n v="20"/>
    <n v="221"/>
    <n v="72"/>
    <n v="66"/>
    <n v="64"/>
  </r>
  <r>
    <n v="2020"/>
    <n v="10"/>
    <s v="10/01/2020"/>
    <x v="21"/>
    <s v="Male (M)"/>
    <s v="Non-Hispanic Black"/>
    <s v="0-4 years"/>
    <n v="205"/>
    <n v="187"/>
    <n v="0"/>
    <n v="0"/>
    <n v="0"/>
    <n v="0"/>
    <m/>
    <n v="0"/>
    <m/>
    <m/>
    <n v="57"/>
    <m/>
    <m/>
    <m/>
    <m/>
  </r>
  <r>
    <n v="2020"/>
    <n v="10"/>
    <s v="10/01/2020"/>
    <x v="21"/>
    <s v="Male (M)"/>
    <s v="Non-Hispanic Black"/>
    <s v="15-24 years"/>
    <n v="510"/>
    <n v="112"/>
    <m/>
    <m/>
    <m/>
    <n v="0"/>
    <n v="0"/>
    <m/>
    <m/>
    <m/>
    <n v="59"/>
    <m/>
    <m/>
    <m/>
    <m/>
  </r>
  <r>
    <n v="2020"/>
    <n v="10"/>
    <s v="10/01/2020"/>
    <x v="21"/>
    <s v="Male (M)"/>
    <s v="Non-Hispanic Black"/>
    <s v="25-34 years"/>
    <n v="887"/>
    <n v="353"/>
    <m/>
    <n v="24"/>
    <n v="10"/>
    <n v="0"/>
    <m/>
    <m/>
    <m/>
    <m/>
    <n v="191"/>
    <n v="24"/>
    <m/>
    <n v="10"/>
    <m/>
  </r>
  <r>
    <n v="2020"/>
    <n v="10"/>
    <s v="10/01/2020"/>
    <x v="21"/>
    <s v="Male (M)"/>
    <s v="Non-Hispanic Black"/>
    <s v="35-44 years"/>
    <n v="963"/>
    <n v="643"/>
    <n v="13"/>
    <n v="61"/>
    <n v="26"/>
    <n v="0"/>
    <m/>
    <n v="10"/>
    <m/>
    <n v="11"/>
    <n v="208"/>
    <n v="111"/>
    <n v="20"/>
    <n v="36"/>
    <n v="35"/>
  </r>
  <r>
    <n v="2020"/>
    <n v="10"/>
    <s v="10/01/2020"/>
    <x v="21"/>
    <s v="Male (M)"/>
    <s v="Non-Hispanic Black"/>
    <s v="45-54 years"/>
    <n v="1483"/>
    <n v="1279"/>
    <n v="23"/>
    <n v="177"/>
    <n v="70"/>
    <n v="0"/>
    <n v="12"/>
    <n v="16"/>
    <n v="20"/>
    <n v="27"/>
    <n v="243"/>
    <n v="321"/>
    <n v="50"/>
    <n v="85"/>
    <n v="78"/>
  </r>
  <r>
    <n v="2020"/>
    <n v="10"/>
    <s v="10/01/2020"/>
    <x v="21"/>
    <s v="Male (M)"/>
    <s v="Non-Hispanic Black"/>
    <s v="5-14 years"/>
    <n v="64"/>
    <n v="35"/>
    <m/>
    <m/>
    <n v="0"/>
    <n v="0"/>
    <n v="0"/>
    <m/>
    <n v="0"/>
    <n v="0"/>
    <n v="12"/>
    <m/>
    <m/>
    <m/>
    <n v="0"/>
  </r>
  <r>
    <n v="2020"/>
    <n v="10"/>
    <s v="10/01/2020"/>
    <x v="21"/>
    <s v="Male (M)"/>
    <s v="Non-Hispanic Black"/>
    <s v="55-64 years"/>
    <n v="3082"/>
    <n v="2861"/>
    <n v="34"/>
    <n v="589"/>
    <n v="147"/>
    <m/>
    <n v="54"/>
    <n v="61"/>
    <n v="34"/>
    <n v="66"/>
    <n v="262"/>
    <n v="718"/>
    <n v="152"/>
    <n v="231"/>
    <n v="213"/>
  </r>
  <r>
    <n v="2020"/>
    <n v="10"/>
    <s v="10/01/2020"/>
    <x v="21"/>
    <s v="Male (M)"/>
    <s v="Non-Hispanic Black"/>
    <s v="65-74 years"/>
    <n v="3721"/>
    <n v="3596"/>
    <n v="62"/>
    <n v="887"/>
    <n v="166"/>
    <n v="34"/>
    <n v="45"/>
    <n v="134"/>
    <n v="43"/>
    <n v="122"/>
    <n v="143"/>
    <n v="833"/>
    <n v="224"/>
    <n v="327"/>
    <n v="296"/>
  </r>
  <r>
    <n v="2020"/>
    <n v="10"/>
    <s v="10/01/2020"/>
    <x v="21"/>
    <s v="Male (M)"/>
    <s v="Non-Hispanic Black"/>
    <s v="75-84 years"/>
    <n v="2648"/>
    <n v="2595"/>
    <n v="45"/>
    <n v="574"/>
    <n v="113"/>
    <n v="62"/>
    <n v="38"/>
    <n v="91"/>
    <n v="29"/>
    <n v="86"/>
    <n v="38"/>
    <n v="639"/>
    <n v="176"/>
    <n v="240"/>
    <n v="217"/>
  </r>
  <r>
    <n v="2020"/>
    <n v="10"/>
    <s v="10/01/2020"/>
    <x v="21"/>
    <s v="Male (M)"/>
    <s v="Non-Hispanic Black"/>
    <s v="85 years and over"/>
    <n v="1700"/>
    <n v="1671"/>
    <n v="29"/>
    <n v="263"/>
    <n v="45"/>
    <n v="113"/>
    <n v="34"/>
    <n v="50"/>
    <n v="10"/>
    <n v="45"/>
    <n v="22"/>
    <n v="427"/>
    <n v="108"/>
    <n v="147"/>
    <n v="124"/>
  </r>
  <r>
    <n v="2020"/>
    <n v="10"/>
    <s v="10/01/2020"/>
    <x v="21"/>
    <s v="Male (M)"/>
    <s v="Non-Hispanic White"/>
    <s v="0-4 years"/>
    <n v="332"/>
    <n v="305"/>
    <m/>
    <m/>
    <n v="0"/>
    <n v="0"/>
    <m/>
    <n v="0"/>
    <m/>
    <n v="0"/>
    <n v="76"/>
    <m/>
    <m/>
    <n v="0"/>
    <n v="0"/>
  </r>
  <r>
    <n v="2020"/>
    <n v="10"/>
    <s v="10/01/2020"/>
    <x v="21"/>
    <s v="Male (M)"/>
    <s v="Non-Hispanic White"/>
    <s v="15-24 years"/>
    <n v="866"/>
    <n v="334"/>
    <m/>
    <n v="25"/>
    <m/>
    <n v="0"/>
    <m/>
    <n v="0"/>
    <m/>
    <n v="0"/>
    <n v="231"/>
    <m/>
    <m/>
    <m/>
    <m/>
  </r>
  <r>
    <n v="2020"/>
    <n v="10"/>
    <s v="10/01/2020"/>
    <x v="21"/>
    <s v="Male (M)"/>
    <s v="Non-Hispanic White"/>
    <s v="25-34 years"/>
    <n v="1927"/>
    <n v="1071"/>
    <m/>
    <n v="76"/>
    <n v="13"/>
    <n v="0"/>
    <m/>
    <m/>
    <m/>
    <m/>
    <n v="659"/>
    <n v="87"/>
    <n v="10"/>
    <n v="20"/>
    <n v="18"/>
  </r>
  <r>
    <n v="2020"/>
    <n v="10"/>
    <s v="10/01/2020"/>
    <x v="21"/>
    <s v="Male (M)"/>
    <s v="Non-Hispanic White"/>
    <s v="35-44 years"/>
    <n v="2759"/>
    <n v="1929"/>
    <n v="13"/>
    <n v="226"/>
    <n v="44"/>
    <n v="0"/>
    <m/>
    <m/>
    <n v="14"/>
    <m/>
    <n v="808"/>
    <n v="273"/>
    <n v="36"/>
    <n v="53"/>
    <n v="46"/>
  </r>
  <r>
    <n v="2020"/>
    <n v="10"/>
    <s v="10/01/2020"/>
    <x v="21"/>
    <s v="Male (M)"/>
    <s v="Non-Hispanic White"/>
    <s v="45-54 years"/>
    <n v="5132"/>
    <n v="4314"/>
    <n v="61"/>
    <n v="851"/>
    <n v="162"/>
    <m/>
    <n v="42"/>
    <n v="80"/>
    <n v="41"/>
    <n v="45"/>
    <n v="768"/>
    <n v="928"/>
    <n v="98"/>
    <n v="206"/>
    <n v="183"/>
  </r>
  <r>
    <n v="2020"/>
    <n v="10"/>
    <s v="10/01/2020"/>
    <x v="21"/>
    <s v="Male (M)"/>
    <s v="Non-Hispanic White"/>
    <s v="5-14 years"/>
    <n v="120"/>
    <n v="71"/>
    <m/>
    <n v="20"/>
    <n v="0"/>
    <n v="0"/>
    <n v="0"/>
    <m/>
    <m/>
    <n v="0"/>
    <n v="18"/>
    <m/>
    <n v="0"/>
    <n v="0"/>
    <n v="0"/>
  </r>
  <r>
    <n v="2020"/>
    <n v="10"/>
    <s v="10/01/2020"/>
    <x v="21"/>
    <s v="Male (M)"/>
    <s v="Non-Hispanic White"/>
    <s v="55-64 years"/>
    <n v="13308"/>
    <n v="12360"/>
    <n v="163"/>
    <n v="3342"/>
    <n v="498"/>
    <n v="37"/>
    <n v="102"/>
    <n v="534"/>
    <n v="146"/>
    <n v="138"/>
    <n v="946"/>
    <n v="2824"/>
    <n v="382"/>
    <n v="715"/>
    <n v="638"/>
  </r>
  <r>
    <n v="2020"/>
    <n v="10"/>
    <s v="10/01/2020"/>
    <x v="21"/>
    <s v="Male (M)"/>
    <s v="Non-Hispanic White"/>
    <s v="65-74 years"/>
    <n v="21510"/>
    <n v="20629"/>
    <n v="305"/>
    <n v="5957"/>
    <n v="767"/>
    <n v="210"/>
    <n v="247"/>
    <n v="1234"/>
    <n v="337"/>
    <n v="291"/>
    <n v="553"/>
    <n v="4612"/>
    <n v="739"/>
    <n v="1850"/>
    <n v="1702"/>
  </r>
  <r>
    <n v="2020"/>
    <n v="10"/>
    <s v="10/01/2020"/>
    <x v="21"/>
    <s v="Male (M)"/>
    <s v="Non-Hispanic White"/>
    <s v="75-84 years"/>
    <n v="25834"/>
    <n v="24978"/>
    <n v="282"/>
    <n v="5568"/>
    <n v="743"/>
    <n v="897"/>
    <n v="370"/>
    <n v="1442"/>
    <n v="463"/>
    <n v="414"/>
    <n v="366"/>
    <n v="5748"/>
    <n v="1216"/>
    <n v="2829"/>
    <n v="2545"/>
  </r>
  <r>
    <n v="2020"/>
    <n v="10"/>
    <s v="10/01/2020"/>
    <x v="21"/>
    <s v="Male (M)"/>
    <s v="Non-Hispanic White"/>
    <s v="85 years and over"/>
    <n v="25095"/>
    <n v="24237"/>
    <n v="246"/>
    <n v="3407"/>
    <n v="482"/>
    <n v="1490"/>
    <n v="373"/>
    <n v="1046"/>
    <n v="346"/>
    <n v="481"/>
    <n v="381"/>
    <n v="6713"/>
    <n v="1362"/>
    <n v="2686"/>
    <n v="2372"/>
  </r>
  <r>
    <n v="2020"/>
    <n v="10"/>
    <s v="10/01/2020"/>
    <x v="21"/>
    <s v="Male (M)"/>
    <s v="Other"/>
    <s v="0-4 years"/>
    <n v="37"/>
    <n v="33"/>
    <m/>
    <n v="0"/>
    <n v="0"/>
    <n v="0"/>
    <n v="0"/>
    <n v="0"/>
    <m/>
    <n v="0"/>
    <n v="14"/>
    <n v="0"/>
    <n v="0"/>
    <n v="0"/>
    <n v="0"/>
  </r>
  <r>
    <n v="2020"/>
    <n v="10"/>
    <s v="10/01/2020"/>
    <x v="21"/>
    <s v="Male (M)"/>
    <s v="Other"/>
    <s v="15-24 years"/>
    <n v="67"/>
    <n v="22"/>
    <n v="0"/>
    <m/>
    <n v="0"/>
    <n v="0"/>
    <n v="0"/>
    <m/>
    <n v="0"/>
    <n v="0"/>
    <n v="15"/>
    <m/>
    <m/>
    <n v="0"/>
    <n v="0"/>
  </r>
  <r>
    <n v="2020"/>
    <n v="10"/>
    <s v="10/01/2020"/>
    <x v="21"/>
    <s v="Male (M)"/>
    <s v="Other"/>
    <s v="25-34 years"/>
    <n v="95"/>
    <n v="51"/>
    <m/>
    <m/>
    <m/>
    <n v="0"/>
    <n v="0"/>
    <n v="0"/>
    <n v="0"/>
    <n v="0"/>
    <n v="32"/>
    <m/>
    <n v="0"/>
    <m/>
    <m/>
  </r>
  <r>
    <n v="2020"/>
    <n v="10"/>
    <s v="10/01/2020"/>
    <x v="21"/>
    <s v="Male (M)"/>
    <s v="Other"/>
    <s v="35-44 years"/>
    <n v="115"/>
    <n v="92"/>
    <m/>
    <m/>
    <n v="0"/>
    <n v="0"/>
    <n v="0"/>
    <n v="0"/>
    <n v="0"/>
    <n v="0"/>
    <n v="37"/>
    <n v="20"/>
    <m/>
    <m/>
    <m/>
  </r>
  <r>
    <n v="2020"/>
    <n v="10"/>
    <s v="10/01/2020"/>
    <x v="21"/>
    <s v="Male (M)"/>
    <s v="Other"/>
    <s v="45-54 years"/>
    <n v="173"/>
    <n v="150"/>
    <m/>
    <n v="26"/>
    <m/>
    <n v="0"/>
    <m/>
    <m/>
    <m/>
    <m/>
    <n v="35"/>
    <n v="31"/>
    <m/>
    <n v="12"/>
    <n v="10"/>
  </r>
  <r>
    <n v="2020"/>
    <n v="10"/>
    <s v="10/01/2020"/>
    <x v="21"/>
    <s v="Male (M)"/>
    <s v="Other"/>
    <s v="5-14 years"/>
    <n v="11"/>
    <m/>
    <n v="0"/>
    <m/>
    <n v="0"/>
    <n v="0"/>
    <n v="0"/>
    <n v="0"/>
    <n v="0"/>
    <n v="0"/>
    <m/>
    <n v="0"/>
    <n v="0"/>
    <n v="0"/>
    <n v="0"/>
  </r>
  <r>
    <n v="2020"/>
    <n v="10"/>
    <s v="10/01/2020"/>
    <x v="21"/>
    <s v="Male (M)"/>
    <s v="Other"/>
    <s v="55-64 years"/>
    <n v="310"/>
    <n v="292"/>
    <m/>
    <n v="71"/>
    <n v="14"/>
    <n v="0"/>
    <m/>
    <n v="12"/>
    <m/>
    <m/>
    <n v="32"/>
    <n v="64"/>
    <n v="10"/>
    <n v="18"/>
    <n v="17"/>
  </r>
  <r>
    <n v="2020"/>
    <n v="10"/>
    <s v="10/01/2020"/>
    <x v="21"/>
    <s v="Male (M)"/>
    <s v="Other"/>
    <s v="65-74 years"/>
    <n v="370"/>
    <n v="353"/>
    <m/>
    <n v="110"/>
    <n v="18"/>
    <m/>
    <m/>
    <n v="15"/>
    <m/>
    <m/>
    <n v="28"/>
    <n v="78"/>
    <n v="10"/>
    <n v="19"/>
    <n v="15"/>
  </r>
  <r>
    <n v="2020"/>
    <n v="10"/>
    <s v="10/01/2020"/>
    <x v="21"/>
    <s v="Male (M)"/>
    <s v="Other"/>
    <s v="75-84 years"/>
    <n v="388"/>
    <n v="372"/>
    <m/>
    <n v="87"/>
    <n v="16"/>
    <n v="14"/>
    <m/>
    <n v="20"/>
    <m/>
    <m/>
    <m/>
    <n v="86"/>
    <n v="18"/>
    <n v="33"/>
    <n v="28"/>
  </r>
  <r>
    <n v="2020"/>
    <n v="10"/>
    <s v="10/01/2020"/>
    <x v="21"/>
    <s v="Male (M)"/>
    <s v="Other"/>
    <s v="85 years and over"/>
    <n v="277"/>
    <n v="271"/>
    <m/>
    <n v="42"/>
    <m/>
    <m/>
    <m/>
    <n v="15"/>
    <m/>
    <m/>
    <m/>
    <n v="75"/>
    <n v="18"/>
    <n v="15"/>
    <n v="10"/>
  </r>
  <r>
    <m/>
    <m/>
    <m/>
    <x v="22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245DC-5B2C-46A3-BAC3-E8D5981CE676}" name="PivotTable3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27" firstHeaderRow="0" firstDataRow="1" firstDataCol="1"/>
  <pivotFields count="22">
    <pivotField showAll="0"/>
    <pivotField showAll="0"/>
    <pivotField showAll="0"/>
    <pivotField axis="axisRow" showAll="0">
      <items count="24">
        <item x="0"/>
        <item x="12"/>
        <item x="9"/>
        <item x="21"/>
        <item x="10"/>
        <item x="11"/>
        <item x="1"/>
        <item x="13"/>
        <item x="2"/>
        <item x="14"/>
        <item x="3"/>
        <item x="15"/>
        <item x="4"/>
        <item x="16"/>
        <item x="5"/>
        <item x="17"/>
        <item x="6"/>
        <item x="18"/>
        <item x="7"/>
        <item x="19"/>
        <item x="8"/>
        <item x="20"/>
        <item x="2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aturalCause" fld="8" baseField="0" baseItem="0"/>
    <dataField name="Sum of COVID-19 (U071, Multiple Cause of Death)" fld="20" baseField="0" baseItem="0"/>
    <dataField name="Sum of COVID-19 (U071, Underlying Cause of Death)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L27"/>
  <sheetViews>
    <sheetView tabSelected="1" workbookViewId="0">
      <selection activeCell="O20" sqref="O20"/>
    </sheetView>
  </sheetViews>
  <sheetFormatPr defaultRowHeight="14.4" x14ac:dyDescent="0.3"/>
  <cols>
    <col min="1" max="1" width="12.5546875" bestFit="1" customWidth="1"/>
    <col min="2" max="2" width="18.88671875" bestFit="1" customWidth="1"/>
    <col min="3" max="3" width="8.88671875" customWidth="1"/>
    <col min="4" max="4" width="11.77734375" customWidth="1"/>
  </cols>
  <sheetData>
    <row r="3" spans="1:12" x14ac:dyDescent="0.3">
      <c r="A3" s="3" t="s">
        <v>59</v>
      </c>
      <c r="B3" t="s">
        <v>84</v>
      </c>
      <c r="C3" t="s">
        <v>85</v>
      </c>
      <c r="D3" t="s">
        <v>86</v>
      </c>
    </row>
    <row r="4" spans="1:12" x14ac:dyDescent="0.3">
      <c r="A4" s="4" t="s">
        <v>60</v>
      </c>
      <c r="B4" s="5">
        <v>237658</v>
      </c>
      <c r="C4" s="5">
        <v>0</v>
      </c>
      <c r="D4" s="5">
        <v>0</v>
      </c>
      <c r="E4">
        <f>C4+D4</f>
        <v>0</v>
      </c>
      <c r="K4" t="s">
        <v>57</v>
      </c>
      <c r="L4" t="s">
        <v>87</v>
      </c>
    </row>
    <row r="5" spans="1:12" x14ac:dyDescent="0.3">
      <c r="A5" s="4" t="s">
        <v>61</v>
      </c>
      <c r="B5" s="5">
        <v>242861</v>
      </c>
      <c r="C5" s="5">
        <v>0</v>
      </c>
      <c r="D5" s="5">
        <v>0</v>
      </c>
      <c r="E5">
        <f t="shared" ref="E5:E27" si="0">C5+D5</f>
        <v>0</v>
      </c>
      <c r="K5" t="s">
        <v>60</v>
      </c>
      <c r="L5">
        <v>0</v>
      </c>
    </row>
    <row r="6" spans="1:12" x14ac:dyDescent="0.3">
      <c r="A6" s="4" t="s">
        <v>62</v>
      </c>
      <c r="B6" s="5">
        <v>216528</v>
      </c>
      <c r="C6" s="5">
        <v>0</v>
      </c>
      <c r="D6" s="5">
        <v>0</v>
      </c>
      <c r="E6">
        <f t="shared" si="0"/>
        <v>0</v>
      </c>
      <c r="K6" t="s">
        <v>66</v>
      </c>
      <c r="L6">
        <v>0</v>
      </c>
    </row>
    <row r="7" spans="1:12" x14ac:dyDescent="0.3">
      <c r="A7" s="4" t="s">
        <v>63</v>
      </c>
      <c r="B7" s="5">
        <v>235569</v>
      </c>
      <c r="C7" s="5">
        <v>21910</v>
      </c>
      <c r="D7" s="5">
        <v>19387</v>
      </c>
      <c r="E7">
        <f t="shared" si="0"/>
        <v>41297</v>
      </c>
      <c r="K7" t="s">
        <v>68</v>
      </c>
      <c r="L7">
        <v>0</v>
      </c>
    </row>
    <row r="8" spans="1:12" x14ac:dyDescent="0.3">
      <c r="A8" s="4" t="s">
        <v>64</v>
      </c>
      <c r="B8" s="5">
        <v>218441</v>
      </c>
      <c r="C8" s="5">
        <v>0</v>
      </c>
      <c r="D8" s="5">
        <v>0</v>
      </c>
      <c r="E8">
        <f t="shared" si="0"/>
        <v>0</v>
      </c>
      <c r="K8" t="s">
        <v>70</v>
      </c>
      <c r="L8">
        <v>0</v>
      </c>
    </row>
    <row r="9" spans="1:12" x14ac:dyDescent="0.3">
      <c r="A9" s="4" t="s">
        <v>65</v>
      </c>
      <c r="B9" s="5">
        <v>234743</v>
      </c>
      <c r="C9" s="5">
        <v>0</v>
      </c>
      <c r="D9" s="5">
        <v>0</v>
      </c>
      <c r="E9">
        <f t="shared" si="0"/>
        <v>0</v>
      </c>
      <c r="K9" t="s">
        <v>72</v>
      </c>
      <c r="L9">
        <v>0</v>
      </c>
    </row>
    <row r="10" spans="1:12" x14ac:dyDescent="0.3">
      <c r="A10" s="4" t="s">
        <v>66</v>
      </c>
      <c r="B10" s="5">
        <v>214382</v>
      </c>
      <c r="C10" s="5">
        <v>0</v>
      </c>
      <c r="D10" s="5">
        <v>0</v>
      </c>
      <c r="E10">
        <f t="shared" si="0"/>
        <v>0</v>
      </c>
      <c r="K10" t="s">
        <v>74</v>
      </c>
      <c r="L10">
        <v>0</v>
      </c>
    </row>
    <row r="11" spans="1:12" x14ac:dyDescent="0.3">
      <c r="A11" s="4" t="s">
        <v>67</v>
      </c>
      <c r="B11" s="5">
        <v>224203</v>
      </c>
      <c r="C11" s="5">
        <v>0</v>
      </c>
      <c r="D11" s="5">
        <v>0</v>
      </c>
      <c r="E11">
        <f t="shared" si="0"/>
        <v>0</v>
      </c>
      <c r="K11" t="s">
        <v>76</v>
      </c>
      <c r="L11">
        <v>0</v>
      </c>
    </row>
    <row r="12" spans="1:12" x14ac:dyDescent="0.3">
      <c r="A12" s="4" t="s">
        <v>68</v>
      </c>
      <c r="B12" s="5">
        <v>234355</v>
      </c>
      <c r="C12" s="5">
        <v>0</v>
      </c>
      <c r="D12" s="5">
        <v>0</v>
      </c>
      <c r="E12">
        <f t="shared" si="0"/>
        <v>0</v>
      </c>
      <c r="K12" t="s">
        <v>78</v>
      </c>
      <c r="L12">
        <v>0</v>
      </c>
    </row>
    <row r="13" spans="1:12" x14ac:dyDescent="0.3">
      <c r="A13" s="4" t="s">
        <v>69</v>
      </c>
      <c r="B13" s="5">
        <v>247518</v>
      </c>
      <c r="C13" s="5">
        <v>6952</v>
      </c>
      <c r="D13" s="5">
        <v>6578</v>
      </c>
      <c r="E13">
        <f t="shared" si="0"/>
        <v>13530</v>
      </c>
      <c r="K13" t="s">
        <v>80</v>
      </c>
      <c r="L13">
        <v>0</v>
      </c>
    </row>
    <row r="14" spans="1:12" x14ac:dyDescent="0.3">
      <c r="A14" s="4" t="s">
        <v>70</v>
      </c>
      <c r="B14" s="5">
        <v>215646</v>
      </c>
      <c r="C14" s="5">
        <v>0</v>
      </c>
      <c r="D14" s="5">
        <v>0</v>
      </c>
      <c r="E14">
        <f t="shared" si="0"/>
        <v>0</v>
      </c>
      <c r="K14" t="s">
        <v>62</v>
      </c>
      <c r="L14">
        <v>0</v>
      </c>
    </row>
    <row r="15" spans="1:12" x14ac:dyDescent="0.3">
      <c r="A15" s="4" t="s">
        <v>71</v>
      </c>
      <c r="B15" s="5">
        <v>300662</v>
      </c>
      <c r="C15" s="5">
        <v>65004</v>
      </c>
      <c r="D15" s="5">
        <v>61500</v>
      </c>
      <c r="E15">
        <f t="shared" si="0"/>
        <v>126504</v>
      </c>
      <c r="K15" t="s">
        <v>64</v>
      </c>
      <c r="L15">
        <v>0</v>
      </c>
    </row>
    <row r="16" spans="1:12" x14ac:dyDescent="0.3">
      <c r="A16" s="4" t="s">
        <v>72</v>
      </c>
      <c r="B16" s="5">
        <v>216067</v>
      </c>
      <c r="C16" s="5">
        <v>0</v>
      </c>
      <c r="D16" s="5">
        <v>0</v>
      </c>
      <c r="E16">
        <f t="shared" si="0"/>
        <v>0</v>
      </c>
      <c r="K16" t="s">
        <v>65</v>
      </c>
      <c r="L16">
        <v>0</v>
      </c>
    </row>
    <row r="17" spans="1:12" x14ac:dyDescent="0.3">
      <c r="A17" s="4" t="s">
        <v>73</v>
      </c>
      <c r="B17" s="5">
        <v>255873</v>
      </c>
      <c r="C17" s="5">
        <v>37977</v>
      </c>
      <c r="D17" s="5">
        <v>34936</v>
      </c>
      <c r="E17">
        <f t="shared" si="0"/>
        <v>72913</v>
      </c>
      <c r="K17" t="s">
        <v>61</v>
      </c>
      <c r="L17">
        <v>0</v>
      </c>
    </row>
    <row r="18" spans="1:12" x14ac:dyDescent="0.3">
      <c r="A18" s="4" t="s">
        <v>74</v>
      </c>
      <c r="B18" s="5">
        <v>204516</v>
      </c>
      <c r="C18" s="5">
        <v>0</v>
      </c>
      <c r="D18" s="5">
        <v>0</v>
      </c>
      <c r="E18">
        <f t="shared" si="0"/>
        <v>0</v>
      </c>
      <c r="K18" t="s">
        <v>67</v>
      </c>
      <c r="L18">
        <v>0</v>
      </c>
    </row>
    <row r="19" spans="1:12" x14ac:dyDescent="0.3">
      <c r="A19" s="4" t="s">
        <v>75</v>
      </c>
      <c r="B19" s="5">
        <v>225958</v>
      </c>
      <c r="C19" s="5">
        <v>17736</v>
      </c>
      <c r="D19" s="5">
        <v>15583</v>
      </c>
      <c r="E19">
        <f t="shared" si="0"/>
        <v>33319</v>
      </c>
      <c r="K19" t="s">
        <v>69</v>
      </c>
      <c r="L19">
        <v>13530</v>
      </c>
    </row>
    <row r="20" spans="1:12" x14ac:dyDescent="0.3">
      <c r="A20" s="4" t="s">
        <v>76</v>
      </c>
      <c r="B20" s="5">
        <v>207396</v>
      </c>
      <c r="C20" s="5">
        <v>0</v>
      </c>
      <c r="D20" s="5">
        <v>0</v>
      </c>
      <c r="E20">
        <f t="shared" si="0"/>
        <v>0</v>
      </c>
      <c r="K20" t="s">
        <v>71</v>
      </c>
      <c r="L20">
        <v>126504</v>
      </c>
    </row>
    <row r="21" spans="1:12" x14ac:dyDescent="0.3">
      <c r="A21" s="4" t="s">
        <v>77</v>
      </c>
      <c r="B21" s="5">
        <v>253269</v>
      </c>
      <c r="C21" s="5">
        <v>30748</v>
      </c>
      <c r="D21" s="5">
        <v>27915</v>
      </c>
      <c r="E21">
        <f t="shared" si="0"/>
        <v>58663</v>
      </c>
      <c r="K21" t="s">
        <v>73</v>
      </c>
      <c r="L21">
        <v>72913</v>
      </c>
    </row>
    <row r="22" spans="1:12" x14ac:dyDescent="0.3">
      <c r="A22" s="4" t="s">
        <v>78</v>
      </c>
      <c r="B22" s="5">
        <v>205473</v>
      </c>
      <c r="C22" s="5">
        <v>0</v>
      </c>
      <c r="D22" s="5">
        <v>0</v>
      </c>
      <c r="E22">
        <f t="shared" si="0"/>
        <v>0</v>
      </c>
      <c r="K22" t="s">
        <v>75</v>
      </c>
      <c r="L22">
        <v>33319</v>
      </c>
    </row>
    <row r="23" spans="1:12" x14ac:dyDescent="0.3">
      <c r="A23" s="4" t="s">
        <v>79</v>
      </c>
      <c r="B23" s="5">
        <v>251288</v>
      </c>
      <c r="C23" s="5">
        <v>29322</v>
      </c>
      <c r="D23" s="5">
        <v>26534</v>
      </c>
      <c r="E23">
        <f t="shared" si="0"/>
        <v>55856</v>
      </c>
      <c r="K23" t="s">
        <v>77</v>
      </c>
      <c r="L23">
        <v>58663</v>
      </c>
    </row>
    <row r="24" spans="1:12" x14ac:dyDescent="0.3">
      <c r="A24" s="4" t="s">
        <v>80</v>
      </c>
      <c r="B24" s="5">
        <v>201937</v>
      </c>
      <c r="C24" s="5">
        <v>0</v>
      </c>
      <c r="D24" s="5">
        <v>0</v>
      </c>
      <c r="E24">
        <f t="shared" si="0"/>
        <v>0</v>
      </c>
      <c r="K24" t="s">
        <v>79</v>
      </c>
      <c r="L24">
        <v>55856</v>
      </c>
    </row>
    <row r="25" spans="1:12" x14ac:dyDescent="0.3">
      <c r="A25" s="4" t="s">
        <v>81</v>
      </c>
      <c r="B25" s="5">
        <v>227512</v>
      </c>
      <c r="C25" s="5">
        <v>17885</v>
      </c>
      <c r="D25" s="5">
        <v>15735</v>
      </c>
      <c r="E25">
        <f t="shared" si="0"/>
        <v>33620</v>
      </c>
      <c r="K25" t="s">
        <v>81</v>
      </c>
      <c r="L25">
        <v>33620</v>
      </c>
    </row>
    <row r="26" spans="1:12" x14ac:dyDescent="0.3">
      <c r="A26" s="4" t="s">
        <v>82</v>
      </c>
      <c r="B26" s="5"/>
      <c r="C26" s="5"/>
      <c r="D26" s="5"/>
      <c r="E26">
        <f t="shared" si="0"/>
        <v>0</v>
      </c>
      <c r="K26" t="s">
        <v>63</v>
      </c>
      <c r="L26">
        <v>41297</v>
      </c>
    </row>
    <row r="27" spans="1:12" x14ac:dyDescent="0.3">
      <c r="A27" s="4" t="s">
        <v>83</v>
      </c>
      <c r="B27" s="5">
        <v>5071855</v>
      </c>
      <c r="C27" s="5">
        <v>227534</v>
      </c>
      <c r="D27" s="5">
        <v>208168</v>
      </c>
      <c r="E27">
        <f t="shared" si="0"/>
        <v>435702</v>
      </c>
    </row>
  </sheetData>
  <sortState xmlns:xlrd2="http://schemas.microsoft.com/office/spreadsheetml/2017/richdata2" ref="K5:L26">
    <sortCondition ref="K5:K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2640"/>
  <sheetViews>
    <sheetView topLeftCell="J1" workbookViewId="0">
      <selection sqref="A1:K1048576"/>
    </sheetView>
  </sheetViews>
  <sheetFormatPr defaultRowHeight="14.4" x14ac:dyDescent="0.3"/>
  <cols>
    <col min="2" max="2" width="18.77734375" bestFit="1" customWidth="1"/>
    <col min="3" max="4" width="18.77734375" customWidth="1"/>
  </cols>
  <sheetData>
    <row r="1" spans="1:39" x14ac:dyDescent="0.3">
      <c r="A1" t="s">
        <v>0</v>
      </c>
      <c r="B1" t="s">
        <v>1</v>
      </c>
      <c r="C1" t="s">
        <v>57</v>
      </c>
      <c r="D1" t="s">
        <v>58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</row>
    <row r="2" spans="1:39" x14ac:dyDescent="0.3">
      <c r="A2">
        <v>2019</v>
      </c>
      <c r="B2">
        <v>1</v>
      </c>
      <c r="C2" t="str">
        <f>CONCATENATE(B2,"/01/",A2)</f>
        <v>1/01/2019</v>
      </c>
      <c r="D2" s="1" t="str">
        <f>C2</f>
        <v>1/01/2019</v>
      </c>
      <c r="E2" t="s">
        <v>37</v>
      </c>
      <c r="F2" t="s">
        <v>38</v>
      </c>
      <c r="G2" t="s">
        <v>39</v>
      </c>
      <c r="H2">
        <v>184</v>
      </c>
      <c r="I2">
        <v>164</v>
      </c>
      <c r="L2">
        <v>0</v>
      </c>
      <c r="M2">
        <v>0</v>
      </c>
      <c r="O2">
        <v>0</v>
      </c>
      <c r="Q2">
        <v>0</v>
      </c>
      <c r="R2">
        <v>22</v>
      </c>
      <c r="T2">
        <v>0</v>
      </c>
      <c r="U2">
        <v>0</v>
      </c>
      <c r="V2">
        <v>0</v>
      </c>
      <c r="W2" s="1">
        <v>44160</v>
      </c>
      <c r="AA2" t="s">
        <v>40</v>
      </c>
      <c r="AB2" t="s">
        <v>40</v>
      </c>
      <c r="AE2" t="s">
        <v>40</v>
      </c>
      <c r="AG2" t="s">
        <v>40</v>
      </c>
      <c r="AJ2" t="s">
        <v>40</v>
      </c>
    </row>
    <row r="3" spans="1:39" x14ac:dyDescent="0.3">
      <c r="A3">
        <v>2019</v>
      </c>
      <c r="B3">
        <v>1</v>
      </c>
      <c r="C3" t="str">
        <f t="shared" ref="C3:C66" si="0">CONCATENATE(B3,"/01/",A3)</f>
        <v>1/01/2019</v>
      </c>
      <c r="D3" s="1" t="str">
        <f t="shared" ref="D3:D66" si="1">C3</f>
        <v>1/01/2019</v>
      </c>
      <c r="E3" t="s">
        <v>37</v>
      </c>
      <c r="F3" t="s">
        <v>38</v>
      </c>
      <c r="G3" t="s">
        <v>41</v>
      </c>
      <c r="H3">
        <v>125</v>
      </c>
      <c r="I3">
        <v>46</v>
      </c>
      <c r="J3">
        <v>0</v>
      </c>
      <c r="M3">
        <v>0</v>
      </c>
      <c r="N3">
        <v>0</v>
      </c>
      <c r="U3">
        <v>0</v>
      </c>
      <c r="V3">
        <v>0</v>
      </c>
      <c r="W3" s="1">
        <v>44160</v>
      </c>
      <c r="AB3" t="s">
        <v>40</v>
      </c>
      <c r="AC3" t="s">
        <v>40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K3" t="s">
        <v>40</v>
      </c>
    </row>
    <row r="4" spans="1:39" x14ac:dyDescent="0.3">
      <c r="A4">
        <v>2019</v>
      </c>
      <c r="B4">
        <v>1</v>
      </c>
      <c r="C4" t="str">
        <f t="shared" si="0"/>
        <v>1/01/2019</v>
      </c>
      <c r="D4" s="1" t="str">
        <f t="shared" si="1"/>
        <v>1/01/2019</v>
      </c>
      <c r="E4" t="s">
        <v>37</v>
      </c>
      <c r="F4" t="s">
        <v>38</v>
      </c>
      <c r="G4" t="s">
        <v>42</v>
      </c>
      <c r="H4">
        <v>198</v>
      </c>
      <c r="I4">
        <v>100</v>
      </c>
      <c r="K4">
        <v>29</v>
      </c>
      <c r="M4">
        <v>0</v>
      </c>
      <c r="Q4">
        <v>0</v>
      </c>
      <c r="U4">
        <v>0</v>
      </c>
      <c r="V4">
        <v>0</v>
      </c>
      <c r="W4" s="1">
        <v>44160</v>
      </c>
      <c r="AA4" t="s">
        <v>40</v>
      </c>
      <c r="AC4" t="s">
        <v>40</v>
      </c>
      <c r="AE4" t="s">
        <v>40</v>
      </c>
      <c r="AF4" t="s">
        <v>40</v>
      </c>
      <c r="AG4" t="s">
        <v>40</v>
      </c>
      <c r="AI4" t="s">
        <v>40</v>
      </c>
      <c r="AJ4" t="s">
        <v>40</v>
      </c>
      <c r="AK4" t="s">
        <v>40</v>
      </c>
    </row>
    <row r="5" spans="1:39" x14ac:dyDescent="0.3">
      <c r="A5">
        <v>2019</v>
      </c>
      <c r="B5">
        <v>1</v>
      </c>
      <c r="C5" t="str">
        <f t="shared" si="0"/>
        <v>1/01/2019</v>
      </c>
      <c r="D5" s="1" t="str">
        <f t="shared" si="1"/>
        <v>1/01/2019</v>
      </c>
      <c r="E5" t="s">
        <v>37</v>
      </c>
      <c r="F5" t="s">
        <v>38</v>
      </c>
      <c r="G5" t="s">
        <v>43</v>
      </c>
      <c r="H5">
        <v>336</v>
      </c>
      <c r="I5">
        <v>262</v>
      </c>
      <c r="K5">
        <v>96</v>
      </c>
      <c r="M5">
        <v>0</v>
      </c>
      <c r="N5">
        <v>11</v>
      </c>
      <c r="S5">
        <v>26</v>
      </c>
      <c r="T5">
        <v>10</v>
      </c>
      <c r="U5">
        <v>0</v>
      </c>
      <c r="V5">
        <v>0</v>
      </c>
      <c r="W5" s="1">
        <v>44160</v>
      </c>
      <c r="AA5" t="s">
        <v>40</v>
      </c>
      <c r="AC5" t="s">
        <v>40</v>
      </c>
      <c r="AF5" t="s">
        <v>40</v>
      </c>
      <c r="AG5" t="s">
        <v>40</v>
      </c>
      <c r="AH5" t="s">
        <v>40</v>
      </c>
      <c r="AI5" t="s">
        <v>40</v>
      </c>
    </row>
    <row r="6" spans="1:39" x14ac:dyDescent="0.3">
      <c r="A6">
        <v>2019</v>
      </c>
      <c r="B6">
        <v>1</v>
      </c>
      <c r="C6" t="str">
        <f t="shared" si="0"/>
        <v>1/01/2019</v>
      </c>
      <c r="D6" s="1" t="str">
        <f t="shared" si="1"/>
        <v>1/01/2019</v>
      </c>
      <c r="E6" t="s">
        <v>37</v>
      </c>
      <c r="F6" t="s">
        <v>38</v>
      </c>
      <c r="G6" t="s">
        <v>44</v>
      </c>
      <c r="H6">
        <v>590</v>
      </c>
      <c r="I6">
        <v>504</v>
      </c>
      <c r="K6">
        <v>212</v>
      </c>
      <c r="L6">
        <v>40</v>
      </c>
      <c r="N6">
        <v>15</v>
      </c>
      <c r="S6">
        <v>64</v>
      </c>
      <c r="T6">
        <v>28</v>
      </c>
      <c r="U6">
        <v>0</v>
      </c>
      <c r="V6">
        <v>0</v>
      </c>
      <c r="W6" s="1">
        <v>44160</v>
      </c>
      <c r="AA6" t="s">
        <v>40</v>
      </c>
      <c r="AD6" t="s">
        <v>40</v>
      </c>
      <c r="AF6" t="s">
        <v>40</v>
      </c>
      <c r="AG6" t="s">
        <v>40</v>
      </c>
      <c r="AH6" t="s">
        <v>40</v>
      </c>
      <c r="AI6" t="s">
        <v>40</v>
      </c>
    </row>
    <row r="7" spans="1:39" x14ac:dyDescent="0.3">
      <c r="A7">
        <v>2019</v>
      </c>
      <c r="B7">
        <v>1</v>
      </c>
      <c r="C7" t="str">
        <f t="shared" si="0"/>
        <v>1/01/2019</v>
      </c>
      <c r="D7" s="1" t="str">
        <f t="shared" si="1"/>
        <v>1/01/2019</v>
      </c>
      <c r="E7" t="s">
        <v>37</v>
      </c>
      <c r="F7" t="s">
        <v>38</v>
      </c>
      <c r="G7" t="s">
        <v>45</v>
      </c>
      <c r="H7">
        <v>44</v>
      </c>
      <c r="I7">
        <v>28</v>
      </c>
      <c r="M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s="1">
        <v>44160</v>
      </c>
      <c r="AA7" t="s">
        <v>40</v>
      </c>
      <c r="AB7" t="s">
        <v>40</v>
      </c>
      <c r="AC7" t="s">
        <v>40</v>
      </c>
      <c r="AE7" t="s">
        <v>40</v>
      </c>
      <c r="AF7" t="s">
        <v>40</v>
      </c>
    </row>
    <row r="8" spans="1:39" x14ac:dyDescent="0.3">
      <c r="A8">
        <v>2019</v>
      </c>
      <c r="B8">
        <v>1</v>
      </c>
      <c r="C8" t="str">
        <f t="shared" si="0"/>
        <v>1/01/2019</v>
      </c>
      <c r="D8" s="1" t="str">
        <f t="shared" si="1"/>
        <v>1/01/2019</v>
      </c>
      <c r="E8" t="s">
        <v>37</v>
      </c>
      <c r="F8" t="s">
        <v>38</v>
      </c>
      <c r="G8" t="s">
        <v>46</v>
      </c>
      <c r="H8" s="2">
        <v>1001</v>
      </c>
      <c r="I8">
        <v>952</v>
      </c>
      <c r="J8">
        <v>20</v>
      </c>
      <c r="K8">
        <v>369</v>
      </c>
      <c r="L8">
        <v>63</v>
      </c>
      <c r="N8">
        <v>33</v>
      </c>
      <c r="O8">
        <v>25</v>
      </c>
      <c r="P8">
        <v>26</v>
      </c>
      <c r="Q8">
        <v>21</v>
      </c>
      <c r="S8">
        <v>148</v>
      </c>
      <c r="T8">
        <v>36</v>
      </c>
      <c r="U8">
        <v>0</v>
      </c>
      <c r="V8">
        <v>0</v>
      </c>
      <c r="W8" s="1">
        <v>44160</v>
      </c>
      <c r="AD8" t="s">
        <v>40</v>
      </c>
      <c r="AI8" t="s">
        <v>40</v>
      </c>
    </row>
    <row r="9" spans="1:39" x14ac:dyDescent="0.3">
      <c r="A9">
        <v>2019</v>
      </c>
      <c r="B9">
        <v>1</v>
      </c>
      <c r="C9" t="str">
        <f t="shared" si="0"/>
        <v>1/01/2019</v>
      </c>
      <c r="D9" s="1" t="str">
        <f t="shared" si="1"/>
        <v>1/01/2019</v>
      </c>
      <c r="E9" t="s">
        <v>37</v>
      </c>
      <c r="F9" t="s">
        <v>38</v>
      </c>
      <c r="G9" t="s">
        <v>47</v>
      </c>
      <c r="H9" s="2">
        <v>1367</v>
      </c>
      <c r="I9" s="2">
        <v>1323</v>
      </c>
      <c r="J9">
        <v>22</v>
      </c>
      <c r="K9">
        <v>385</v>
      </c>
      <c r="L9">
        <v>88</v>
      </c>
      <c r="M9">
        <v>32</v>
      </c>
      <c r="N9">
        <v>41</v>
      </c>
      <c r="O9">
        <v>43</v>
      </c>
      <c r="P9">
        <v>38</v>
      </c>
      <c r="Q9">
        <v>54</v>
      </c>
      <c r="S9">
        <v>252</v>
      </c>
      <c r="T9">
        <v>78</v>
      </c>
      <c r="U9">
        <v>0</v>
      </c>
      <c r="V9">
        <v>0</v>
      </c>
      <c r="W9" s="1">
        <v>44160</v>
      </c>
      <c r="AI9" t="s">
        <v>40</v>
      </c>
    </row>
    <row r="10" spans="1:39" x14ac:dyDescent="0.3">
      <c r="A10">
        <v>2019</v>
      </c>
      <c r="B10">
        <v>1</v>
      </c>
      <c r="C10" t="str">
        <f t="shared" si="0"/>
        <v>1/01/2019</v>
      </c>
      <c r="D10" s="1" t="str">
        <f t="shared" si="1"/>
        <v>1/01/2019</v>
      </c>
      <c r="E10" t="s">
        <v>37</v>
      </c>
      <c r="F10" t="s">
        <v>38</v>
      </c>
      <c r="G10" t="s">
        <v>48</v>
      </c>
      <c r="H10" s="2">
        <v>1969</v>
      </c>
      <c r="I10" s="2">
        <v>1926</v>
      </c>
      <c r="J10">
        <v>34</v>
      </c>
      <c r="K10">
        <v>368</v>
      </c>
      <c r="L10">
        <v>96</v>
      </c>
      <c r="M10">
        <v>126</v>
      </c>
      <c r="N10">
        <v>55</v>
      </c>
      <c r="O10">
        <v>77</v>
      </c>
      <c r="P10">
        <v>58</v>
      </c>
      <c r="Q10">
        <v>54</v>
      </c>
      <c r="S10">
        <v>424</v>
      </c>
      <c r="T10">
        <v>146</v>
      </c>
      <c r="U10">
        <v>0</v>
      </c>
      <c r="V10">
        <v>0</v>
      </c>
      <c r="W10" s="1">
        <v>44160</v>
      </c>
      <c r="AI10" t="s">
        <v>40</v>
      </c>
    </row>
    <row r="11" spans="1:39" x14ac:dyDescent="0.3">
      <c r="A11">
        <v>2019</v>
      </c>
      <c r="B11">
        <v>1</v>
      </c>
      <c r="C11" t="str">
        <f t="shared" si="0"/>
        <v>1/01/2019</v>
      </c>
      <c r="D11" s="1" t="str">
        <f t="shared" si="1"/>
        <v>1/01/2019</v>
      </c>
      <c r="E11" t="s">
        <v>37</v>
      </c>
      <c r="F11" t="s">
        <v>38</v>
      </c>
      <c r="G11" t="s">
        <v>49</v>
      </c>
      <c r="H11" s="2">
        <v>2730</v>
      </c>
      <c r="I11" s="2">
        <v>2672</v>
      </c>
      <c r="J11">
        <v>28</v>
      </c>
      <c r="K11">
        <v>275</v>
      </c>
      <c r="L11">
        <v>83</v>
      </c>
      <c r="M11">
        <v>375</v>
      </c>
      <c r="N11">
        <v>93</v>
      </c>
      <c r="O11">
        <v>115</v>
      </c>
      <c r="P11">
        <v>38</v>
      </c>
      <c r="Q11">
        <v>44</v>
      </c>
      <c r="R11">
        <v>19</v>
      </c>
      <c r="S11">
        <v>749</v>
      </c>
      <c r="T11">
        <v>242</v>
      </c>
      <c r="U11">
        <v>0</v>
      </c>
      <c r="V11">
        <v>0</v>
      </c>
      <c r="W11" s="1">
        <v>44160</v>
      </c>
    </row>
    <row r="12" spans="1:39" x14ac:dyDescent="0.3">
      <c r="A12">
        <v>2019</v>
      </c>
      <c r="B12">
        <v>1</v>
      </c>
      <c r="C12" t="str">
        <f t="shared" si="0"/>
        <v>1/01/2019</v>
      </c>
      <c r="D12" s="1" t="str">
        <f t="shared" si="1"/>
        <v>1/01/2019</v>
      </c>
      <c r="E12" t="s">
        <v>37</v>
      </c>
      <c r="F12" t="s">
        <v>50</v>
      </c>
      <c r="G12" t="s">
        <v>39</v>
      </c>
      <c r="H12">
        <v>17</v>
      </c>
      <c r="I12">
        <v>15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S12">
        <v>0</v>
      </c>
      <c r="T12">
        <v>0</v>
      </c>
      <c r="U12">
        <v>0</v>
      </c>
      <c r="V12">
        <v>0</v>
      </c>
      <c r="W12" s="1">
        <v>44160</v>
      </c>
      <c r="AI12" t="s">
        <v>40</v>
      </c>
    </row>
    <row r="13" spans="1:39" x14ac:dyDescent="0.3">
      <c r="A13">
        <v>2019</v>
      </c>
      <c r="B13">
        <v>1</v>
      </c>
      <c r="C13" t="str">
        <f t="shared" si="0"/>
        <v>1/01/2019</v>
      </c>
      <c r="D13" s="1" t="str">
        <f t="shared" si="1"/>
        <v>1/01/2019</v>
      </c>
      <c r="E13" t="s">
        <v>37</v>
      </c>
      <c r="F13" t="s">
        <v>50</v>
      </c>
      <c r="G13" t="s">
        <v>41</v>
      </c>
      <c r="H13">
        <v>12</v>
      </c>
      <c r="J13">
        <v>0</v>
      </c>
      <c r="K13">
        <v>0</v>
      </c>
      <c r="L13">
        <v>0</v>
      </c>
      <c r="M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">
        <v>44160</v>
      </c>
      <c r="Z13" t="s">
        <v>40</v>
      </c>
      <c r="AE13" t="s">
        <v>40</v>
      </c>
    </row>
    <row r="14" spans="1:39" x14ac:dyDescent="0.3">
      <c r="A14">
        <v>2019</v>
      </c>
      <c r="B14">
        <v>1</v>
      </c>
      <c r="C14" t="str">
        <f t="shared" si="0"/>
        <v>1/01/2019</v>
      </c>
      <c r="D14" s="1" t="str">
        <f t="shared" si="1"/>
        <v>1/01/2019</v>
      </c>
      <c r="E14" t="s">
        <v>37</v>
      </c>
      <c r="F14" t="s">
        <v>50</v>
      </c>
      <c r="G14" t="s">
        <v>42</v>
      </c>
      <c r="H14">
        <v>43</v>
      </c>
      <c r="I14">
        <v>21</v>
      </c>
      <c r="J14">
        <v>0</v>
      </c>
      <c r="K14">
        <v>0</v>
      </c>
      <c r="M14">
        <v>0</v>
      </c>
      <c r="O14">
        <v>0</v>
      </c>
      <c r="P14">
        <v>0</v>
      </c>
      <c r="R14">
        <v>0</v>
      </c>
      <c r="T14">
        <v>0</v>
      </c>
      <c r="U14">
        <v>0</v>
      </c>
      <c r="V14">
        <v>0</v>
      </c>
      <c r="W14" s="1">
        <v>44160</v>
      </c>
      <c r="AC14" t="s">
        <v>40</v>
      </c>
      <c r="AE14" t="s">
        <v>40</v>
      </c>
      <c r="AH14" t="s">
        <v>40</v>
      </c>
      <c r="AJ14" t="s">
        <v>40</v>
      </c>
    </row>
    <row r="15" spans="1:39" x14ac:dyDescent="0.3">
      <c r="A15">
        <v>2019</v>
      </c>
      <c r="B15">
        <v>1</v>
      </c>
      <c r="C15" t="str">
        <f t="shared" si="0"/>
        <v>1/01/2019</v>
      </c>
      <c r="D15" s="1" t="str">
        <f t="shared" si="1"/>
        <v>1/01/2019</v>
      </c>
      <c r="E15" t="s">
        <v>37</v>
      </c>
      <c r="F15" t="s">
        <v>50</v>
      </c>
      <c r="G15" t="s">
        <v>43</v>
      </c>
      <c r="H15">
        <v>55</v>
      </c>
      <c r="I15">
        <v>38</v>
      </c>
      <c r="J15">
        <v>0</v>
      </c>
      <c r="M15">
        <v>0</v>
      </c>
      <c r="O15">
        <v>0</v>
      </c>
      <c r="U15">
        <v>0</v>
      </c>
      <c r="V15">
        <v>0</v>
      </c>
      <c r="W15" s="1">
        <v>44160</v>
      </c>
      <c r="AB15" t="s">
        <v>40</v>
      </c>
      <c r="AC15" t="s">
        <v>40</v>
      </c>
      <c r="AE15" t="s">
        <v>40</v>
      </c>
      <c r="AG15" t="s">
        <v>40</v>
      </c>
      <c r="AH15" t="s">
        <v>40</v>
      </c>
      <c r="AI15" t="s">
        <v>40</v>
      </c>
      <c r="AJ15" t="s">
        <v>40</v>
      </c>
      <c r="AK15" t="s">
        <v>40</v>
      </c>
    </row>
    <row r="16" spans="1:39" x14ac:dyDescent="0.3">
      <c r="A16">
        <v>2019</v>
      </c>
      <c r="B16">
        <v>1</v>
      </c>
      <c r="C16" t="str">
        <f t="shared" si="0"/>
        <v>1/01/2019</v>
      </c>
      <c r="D16" s="1" t="str">
        <f t="shared" si="1"/>
        <v>1/01/2019</v>
      </c>
      <c r="E16" t="s">
        <v>37</v>
      </c>
      <c r="F16" t="s">
        <v>50</v>
      </c>
      <c r="G16" t="s">
        <v>44</v>
      </c>
      <c r="H16">
        <v>68</v>
      </c>
      <c r="I16">
        <v>53</v>
      </c>
      <c r="M16">
        <v>0</v>
      </c>
      <c r="P16">
        <v>0</v>
      </c>
      <c r="Q16">
        <v>0</v>
      </c>
      <c r="R16">
        <v>0</v>
      </c>
      <c r="U16">
        <v>0</v>
      </c>
      <c r="V16">
        <v>0</v>
      </c>
      <c r="W16" s="1">
        <v>44160</v>
      </c>
      <c r="AA16" t="s">
        <v>40</v>
      </c>
      <c r="AB16" t="s">
        <v>40</v>
      </c>
      <c r="AC16" t="s">
        <v>40</v>
      </c>
      <c r="AE16" t="s">
        <v>40</v>
      </c>
      <c r="AF16" t="s">
        <v>40</v>
      </c>
      <c r="AJ16" t="s">
        <v>40</v>
      </c>
      <c r="AK16" t="s">
        <v>40</v>
      </c>
    </row>
    <row r="17" spans="1:37" x14ac:dyDescent="0.3">
      <c r="A17">
        <v>2019</v>
      </c>
      <c r="B17">
        <v>1</v>
      </c>
      <c r="C17" t="str">
        <f t="shared" si="0"/>
        <v>1/01/2019</v>
      </c>
      <c r="D17" s="1" t="str">
        <f t="shared" si="1"/>
        <v>1/01/2019</v>
      </c>
      <c r="E17" t="s">
        <v>37</v>
      </c>
      <c r="F17" t="s">
        <v>50</v>
      </c>
      <c r="G17" t="s">
        <v>45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s="1">
        <v>44160</v>
      </c>
      <c r="Y17" t="s">
        <v>40</v>
      </c>
      <c r="Z17" t="s">
        <v>40</v>
      </c>
    </row>
    <row r="18" spans="1:37" x14ac:dyDescent="0.3">
      <c r="A18">
        <v>2019</v>
      </c>
      <c r="B18">
        <v>1</v>
      </c>
      <c r="C18" t="str">
        <f t="shared" si="0"/>
        <v>1/01/2019</v>
      </c>
      <c r="D18" s="1" t="str">
        <f t="shared" si="1"/>
        <v>1/01/2019</v>
      </c>
      <c r="E18" t="s">
        <v>37</v>
      </c>
      <c r="F18" t="s">
        <v>50</v>
      </c>
      <c r="G18" t="s">
        <v>46</v>
      </c>
      <c r="H18">
        <v>129</v>
      </c>
      <c r="I18">
        <v>119</v>
      </c>
      <c r="K18">
        <v>29</v>
      </c>
      <c r="L18">
        <v>10</v>
      </c>
      <c r="M18">
        <v>0</v>
      </c>
      <c r="S18">
        <v>23</v>
      </c>
      <c r="U18">
        <v>0</v>
      </c>
      <c r="V18">
        <v>0</v>
      </c>
      <c r="W18" s="1">
        <v>44160</v>
      </c>
      <c r="AA18" t="s">
        <v>40</v>
      </c>
      <c r="AE18" t="s">
        <v>40</v>
      </c>
      <c r="AF18" t="s">
        <v>40</v>
      </c>
      <c r="AG18" t="s">
        <v>40</v>
      </c>
      <c r="AH18" t="s">
        <v>40</v>
      </c>
      <c r="AI18" t="s">
        <v>40</v>
      </c>
      <c r="AK18" t="s">
        <v>40</v>
      </c>
    </row>
    <row r="19" spans="1:37" x14ac:dyDescent="0.3">
      <c r="A19">
        <v>2019</v>
      </c>
      <c r="B19">
        <v>1</v>
      </c>
      <c r="C19" t="str">
        <f t="shared" si="0"/>
        <v>1/01/2019</v>
      </c>
      <c r="D19" s="1" t="str">
        <f t="shared" si="1"/>
        <v>1/01/2019</v>
      </c>
      <c r="E19" t="s">
        <v>37</v>
      </c>
      <c r="F19" t="s">
        <v>50</v>
      </c>
      <c r="G19" t="s">
        <v>47</v>
      </c>
      <c r="H19">
        <v>149</v>
      </c>
      <c r="I19">
        <v>143</v>
      </c>
      <c r="K19">
        <v>37</v>
      </c>
      <c r="L19">
        <v>13</v>
      </c>
      <c r="R19">
        <v>0</v>
      </c>
      <c r="S19">
        <v>30</v>
      </c>
      <c r="U19">
        <v>0</v>
      </c>
      <c r="V19">
        <v>0</v>
      </c>
      <c r="W19" s="1">
        <v>44160</v>
      </c>
      <c r="AA19" t="s">
        <v>40</v>
      </c>
      <c r="AD19" t="s">
        <v>40</v>
      </c>
      <c r="AE19" t="s">
        <v>40</v>
      </c>
      <c r="AF19" t="s">
        <v>40</v>
      </c>
      <c r="AG19" t="s">
        <v>40</v>
      </c>
      <c r="AH19" t="s">
        <v>40</v>
      </c>
      <c r="AK19" t="s">
        <v>40</v>
      </c>
    </row>
    <row r="20" spans="1:37" x14ac:dyDescent="0.3">
      <c r="A20">
        <v>2019</v>
      </c>
      <c r="B20">
        <v>1</v>
      </c>
      <c r="C20" t="str">
        <f t="shared" si="0"/>
        <v>1/01/2019</v>
      </c>
      <c r="D20" s="1" t="str">
        <f t="shared" si="1"/>
        <v>1/01/2019</v>
      </c>
      <c r="E20" t="s">
        <v>37</v>
      </c>
      <c r="F20" t="s">
        <v>50</v>
      </c>
      <c r="G20" t="s">
        <v>48</v>
      </c>
      <c r="H20">
        <v>148</v>
      </c>
      <c r="I20">
        <v>140</v>
      </c>
      <c r="K20">
        <v>28</v>
      </c>
      <c r="S20">
        <v>34</v>
      </c>
      <c r="T20">
        <v>12</v>
      </c>
      <c r="U20">
        <v>0</v>
      </c>
      <c r="V20">
        <v>0</v>
      </c>
      <c r="W20" s="1">
        <v>44160</v>
      </c>
      <c r="AA20" t="s">
        <v>40</v>
      </c>
      <c r="AC20" t="s">
        <v>40</v>
      </c>
      <c r="AD20" t="s">
        <v>40</v>
      </c>
      <c r="AE20" t="s">
        <v>40</v>
      </c>
      <c r="AF20" t="s">
        <v>40</v>
      </c>
      <c r="AG20" t="s">
        <v>40</v>
      </c>
      <c r="AH20" t="s">
        <v>40</v>
      </c>
      <c r="AI20" t="s">
        <v>40</v>
      </c>
    </row>
    <row r="21" spans="1:37" x14ac:dyDescent="0.3">
      <c r="A21">
        <v>2019</v>
      </c>
      <c r="B21">
        <v>1</v>
      </c>
      <c r="C21" t="str">
        <f t="shared" si="0"/>
        <v>1/01/2019</v>
      </c>
      <c r="D21" s="1" t="str">
        <f t="shared" si="1"/>
        <v>1/01/2019</v>
      </c>
      <c r="E21" t="s">
        <v>37</v>
      </c>
      <c r="F21" t="s">
        <v>50</v>
      </c>
      <c r="G21" t="s">
        <v>49</v>
      </c>
      <c r="H21">
        <v>150</v>
      </c>
      <c r="I21">
        <v>143</v>
      </c>
      <c r="M21">
        <v>19</v>
      </c>
      <c r="S21">
        <v>45</v>
      </c>
      <c r="U21">
        <v>0</v>
      </c>
      <c r="V21">
        <v>0</v>
      </c>
      <c r="W21" s="1">
        <v>44160</v>
      </c>
      <c r="AA21" t="s">
        <v>40</v>
      </c>
      <c r="AB21" t="s">
        <v>40</v>
      </c>
      <c r="AC21" t="s">
        <v>40</v>
      </c>
      <c r="AE21" t="s">
        <v>40</v>
      </c>
      <c r="AF21" t="s">
        <v>40</v>
      </c>
      <c r="AG21" t="s">
        <v>40</v>
      </c>
      <c r="AH21" t="s">
        <v>40</v>
      </c>
      <c r="AI21" t="s">
        <v>40</v>
      </c>
      <c r="AK21" t="s">
        <v>40</v>
      </c>
    </row>
    <row r="22" spans="1:37" x14ac:dyDescent="0.3">
      <c r="A22">
        <v>2019</v>
      </c>
      <c r="B22">
        <v>1</v>
      </c>
      <c r="C22" t="str">
        <f t="shared" si="0"/>
        <v>1/01/2019</v>
      </c>
      <c r="D22" s="1" t="str">
        <f t="shared" si="1"/>
        <v>1/01/2019</v>
      </c>
      <c r="E22" t="s">
        <v>37</v>
      </c>
      <c r="F22" t="s">
        <v>51</v>
      </c>
      <c r="G22" t="s">
        <v>39</v>
      </c>
      <c r="H22">
        <v>24</v>
      </c>
      <c r="I22">
        <v>23</v>
      </c>
      <c r="J22">
        <v>0</v>
      </c>
      <c r="K22">
        <v>0</v>
      </c>
      <c r="L22">
        <v>0</v>
      </c>
      <c r="M22">
        <v>0</v>
      </c>
      <c r="O22">
        <v>0</v>
      </c>
      <c r="P22">
        <v>0</v>
      </c>
      <c r="Q22">
        <v>0</v>
      </c>
      <c r="T22">
        <v>0</v>
      </c>
      <c r="U22">
        <v>0</v>
      </c>
      <c r="V22">
        <v>0</v>
      </c>
      <c r="W22" s="1">
        <v>44160</v>
      </c>
      <c r="AE22" t="s">
        <v>40</v>
      </c>
      <c r="AI22" t="s">
        <v>40</v>
      </c>
      <c r="AJ22" t="s">
        <v>40</v>
      </c>
    </row>
    <row r="23" spans="1:37" x14ac:dyDescent="0.3">
      <c r="A23">
        <v>2019</v>
      </c>
      <c r="B23">
        <v>1</v>
      </c>
      <c r="C23" t="str">
        <f t="shared" si="0"/>
        <v>1/01/2019</v>
      </c>
      <c r="D23" s="1" t="str">
        <f t="shared" si="1"/>
        <v>1/01/2019</v>
      </c>
      <c r="E23" t="s">
        <v>37</v>
      </c>
      <c r="F23" t="s">
        <v>51</v>
      </c>
      <c r="G23" t="s">
        <v>41</v>
      </c>
      <c r="H23">
        <v>13</v>
      </c>
      <c r="J23">
        <v>0</v>
      </c>
      <c r="L23">
        <v>0</v>
      </c>
      <c r="M23">
        <v>0</v>
      </c>
      <c r="O23">
        <v>0</v>
      </c>
      <c r="P23">
        <v>0</v>
      </c>
      <c r="Q23">
        <v>0</v>
      </c>
      <c r="S23">
        <v>0</v>
      </c>
      <c r="U23">
        <v>0</v>
      </c>
      <c r="V23">
        <v>0</v>
      </c>
      <c r="W23" s="1">
        <v>44160</v>
      </c>
      <c r="Z23" t="s">
        <v>40</v>
      </c>
      <c r="AB23" t="s">
        <v>40</v>
      </c>
      <c r="AE23" t="s">
        <v>40</v>
      </c>
      <c r="AI23" t="s">
        <v>40</v>
      </c>
      <c r="AK23" t="s">
        <v>40</v>
      </c>
    </row>
    <row r="24" spans="1:37" x14ac:dyDescent="0.3">
      <c r="A24">
        <v>2019</v>
      </c>
      <c r="B24">
        <v>1</v>
      </c>
      <c r="C24" t="str">
        <f t="shared" si="0"/>
        <v>1/01/2019</v>
      </c>
      <c r="D24" s="1" t="str">
        <f t="shared" si="1"/>
        <v>1/01/2019</v>
      </c>
      <c r="E24" t="s">
        <v>37</v>
      </c>
      <c r="F24" t="s">
        <v>51</v>
      </c>
      <c r="G24" t="s">
        <v>42</v>
      </c>
      <c r="H24">
        <v>32</v>
      </c>
      <c r="I24">
        <v>22</v>
      </c>
      <c r="J24">
        <v>0</v>
      </c>
      <c r="K24">
        <v>10</v>
      </c>
      <c r="M24">
        <v>0</v>
      </c>
      <c r="N24">
        <v>0</v>
      </c>
      <c r="Q24">
        <v>0</v>
      </c>
      <c r="R24">
        <v>0</v>
      </c>
      <c r="T24">
        <v>0</v>
      </c>
      <c r="U24">
        <v>0</v>
      </c>
      <c r="V24">
        <v>0</v>
      </c>
      <c r="W24" s="1">
        <v>44160</v>
      </c>
      <c r="AC24" t="s">
        <v>40</v>
      </c>
      <c r="AF24" t="s">
        <v>40</v>
      </c>
      <c r="AG24" t="s">
        <v>40</v>
      </c>
      <c r="AJ24" t="s">
        <v>40</v>
      </c>
    </row>
    <row r="25" spans="1:37" x14ac:dyDescent="0.3">
      <c r="A25">
        <v>2019</v>
      </c>
      <c r="B25">
        <v>1</v>
      </c>
      <c r="C25" t="str">
        <f t="shared" si="0"/>
        <v>1/01/2019</v>
      </c>
      <c r="D25" s="1" t="str">
        <f t="shared" si="1"/>
        <v>1/01/2019</v>
      </c>
      <c r="E25" t="s">
        <v>37</v>
      </c>
      <c r="F25" t="s">
        <v>51</v>
      </c>
      <c r="G25" t="s">
        <v>43</v>
      </c>
      <c r="H25">
        <v>64</v>
      </c>
      <c r="I25">
        <v>51</v>
      </c>
      <c r="K25">
        <v>27</v>
      </c>
      <c r="M25">
        <v>0</v>
      </c>
      <c r="O25">
        <v>0</v>
      </c>
      <c r="Q25">
        <v>0</v>
      </c>
      <c r="U25">
        <v>0</v>
      </c>
      <c r="V25">
        <v>0</v>
      </c>
      <c r="W25" s="1">
        <v>44160</v>
      </c>
      <c r="AA25" t="s">
        <v>40</v>
      </c>
      <c r="AC25" t="s">
        <v>40</v>
      </c>
      <c r="AE25" t="s">
        <v>40</v>
      </c>
      <c r="AG25" t="s">
        <v>40</v>
      </c>
      <c r="AI25" t="s">
        <v>40</v>
      </c>
      <c r="AJ25" t="s">
        <v>40</v>
      </c>
      <c r="AK25" t="s">
        <v>40</v>
      </c>
    </row>
    <row r="26" spans="1:37" x14ac:dyDescent="0.3">
      <c r="A26">
        <v>2019</v>
      </c>
      <c r="B26">
        <v>1</v>
      </c>
      <c r="C26" t="str">
        <f t="shared" si="0"/>
        <v>1/01/2019</v>
      </c>
      <c r="D26" s="1" t="str">
        <f t="shared" si="1"/>
        <v>1/01/2019</v>
      </c>
      <c r="E26" t="s">
        <v>37</v>
      </c>
      <c r="F26" t="s">
        <v>51</v>
      </c>
      <c r="G26" t="s">
        <v>44</v>
      </c>
      <c r="H26">
        <v>108</v>
      </c>
      <c r="I26">
        <v>92</v>
      </c>
      <c r="K26">
        <v>46</v>
      </c>
      <c r="M26">
        <v>0</v>
      </c>
      <c r="Q26">
        <v>0</v>
      </c>
      <c r="R26">
        <v>0</v>
      </c>
      <c r="S26">
        <v>13</v>
      </c>
      <c r="U26">
        <v>0</v>
      </c>
      <c r="V26">
        <v>0</v>
      </c>
      <c r="W26" s="1">
        <v>44160</v>
      </c>
      <c r="AA26" t="s">
        <v>40</v>
      </c>
      <c r="AC26" t="s">
        <v>40</v>
      </c>
      <c r="AE26" t="s">
        <v>40</v>
      </c>
      <c r="AF26" t="s">
        <v>40</v>
      </c>
      <c r="AG26" t="s">
        <v>40</v>
      </c>
      <c r="AK26" t="s">
        <v>40</v>
      </c>
    </row>
    <row r="27" spans="1:37" x14ac:dyDescent="0.3">
      <c r="A27">
        <v>2019</v>
      </c>
      <c r="B27">
        <v>1</v>
      </c>
      <c r="C27" t="str">
        <f t="shared" si="0"/>
        <v>1/01/2019</v>
      </c>
      <c r="D27" s="1" t="str">
        <f t="shared" si="1"/>
        <v>1/01/2019</v>
      </c>
      <c r="E27" t="s">
        <v>37</v>
      </c>
      <c r="F27" t="s">
        <v>51</v>
      </c>
      <c r="G27" t="s">
        <v>45</v>
      </c>
      <c r="J27">
        <v>0</v>
      </c>
      <c r="L27">
        <v>0</v>
      </c>
      <c r="M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s="1">
        <v>44160</v>
      </c>
      <c r="Y27" t="s">
        <v>40</v>
      </c>
      <c r="Z27" t="s">
        <v>40</v>
      </c>
      <c r="AB27" t="s">
        <v>40</v>
      </c>
      <c r="AE27" t="s">
        <v>40</v>
      </c>
    </row>
    <row r="28" spans="1:37" x14ac:dyDescent="0.3">
      <c r="A28">
        <v>2019</v>
      </c>
      <c r="B28">
        <v>1</v>
      </c>
      <c r="C28" t="str">
        <f t="shared" si="0"/>
        <v>1/01/2019</v>
      </c>
      <c r="D28" s="1" t="str">
        <f t="shared" si="1"/>
        <v>1/01/2019</v>
      </c>
      <c r="E28" t="s">
        <v>37</v>
      </c>
      <c r="F28" t="s">
        <v>51</v>
      </c>
      <c r="G28" t="s">
        <v>46</v>
      </c>
      <c r="H28">
        <v>258</v>
      </c>
      <c r="I28">
        <v>239</v>
      </c>
      <c r="K28">
        <v>122</v>
      </c>
      <c r="S28">
        <v>30</v>
      </c>
      <c r="T28">
        <v>13</v>
      </c>
      <c r="U28">
        <v>0</v>
      </c>
      <c r="V28">
        <v>0</v>
      </c>
      <c r="W28" s="1">
        <v>44160</v>
      </c>
      <c r="AA28" t="s">
        <v>40</v>
      </c>
      <c r="AC28" t="s">
        <v>40</v>
      </c>
      <c r="AD28" t="s">
        <v>40</v>
      </c>
      <c r="AE28" t="s">
        <v>40</v>
      </c>
      <c r="AF28" t="s">
        <v>40</v>
      </c>
      <c r="AG28" t="s">
        <v>40</v>
      </c>
      <c r="AH28" t="s">
        <v>40</v>
      </c>
      <c r="AI28" t="s">
        <v>40</v>
      </c>
    </row>
    <row r="29" spans="1:37" x14ac:dyDescent="0.3">
      <c r="A29">
        <v>2019</v>
      </c>
      <c r="B29">
        <v>1</v>
      </c>
      <c r="C29" t="str">
        <f t="shared" si="0"/>
        <v>1/01/2019</v>
      </c>
      <c r="D29" s="1" t="str">
        <f t="shared" si="1"/>
        <v>1/01/2019</v>
      </c>
      <c r="E29" t="s">
        <v>37</v>
      </c>
      <c r="F29" t="s">
        <v>51</v>
      </c>
      <c r="G29" t="s">
        <v>47</v>
      </c>
      <c r="H29">
        <v>450</v>
      </c>
      <c r="I29">
        <v>437</v>
      </c>
      <c r="K29">
        <v>159</v>
      </c>
      <c r="L29">
        <v>28</v>
      </c>
      <c r="P29">
        <v>10</v>
      </c>
      <c r="S29">
        <v>83</v>
      </c>
      <c r="T29">
        <v>37</v>
      </c>
      <c r="U29">
        <v>0</v>
      </c>
      <c r="V29">
        <v>0</v>
      </c>
      <c r="W29" s="1">
        <v>44160</v>
      </c>
      <c r="AA29" t="s">
        <v>40</v>
      </c>
      <c r="AD29" t="s">
        <v>40</v>
      </c>
      <c r="AE29" t="s">
        <v>40</v>
      </c>
      <c r="AF29" t="s">
        <v>40</v>
      </c>
      <c r="AH29" t="s">
        <v>40</v>
      </c>
      <c r="AI29" t="s">
        <v>40</v>
      </c>
    </row>
    <row r="30" spans="1:37" x14ac:dyDescent="0.3">
      <c r="A30">
        <v>2019</v>
      </c>
      <c r="B30">
        <v>1</v>
      </c>
      <c r="C30" t="str">
        <f t="shared" si="0"/>
        <v>1/01/2019</v>
      </c>
      <c r="D30" s="1" t="str">
        <f t="shared" si="1"/>
        <v>1/01/2019</v>
      </c>
      <c r="E30" t="s">
        <v>37</v>
      </c>
      <c r="F30" t="s">
        <v>51</v>
      </c>
      <c r="G30" t="s">
        <v>48</v>
      </c>
      <c r="H30">
        <v>743</v>
      </c>
      <c r="I30">
        <v>722</v>
      </c>
      <c r="J30">
        <v>10</v>
      </c>
      <c r="K30">
        <v>167</v>
      </c>
      <c r="L30">
        <v>50</v>
      </c>
      <c r="M30">
        <v>29</v>
      </c>
      <c r="N30">
        <v>25</v>
      </c>
      <c r="O30">
        <v>17</v>
      </c>
      <c r="P30">
        <v>19</v>
      </c>
      <c r="Q30">
        <v>26</v>
      </c>
      <c r="S30">
        <v>157</v>
      </c>
      <c r="T30">
        <v>76</v>
      </c>
      <c r="U30">
        <v>0</v>
      </c>
      <c r="V30">
        <v>0</v>
      </c>
      <c r="W30" s="1">
        <v>44160</v>
      </c>
      <c r="AI30" t="s">
        <v>40</v>
      </c>
    </row>
    <row r="31" spans="1:37" x14ac:dyDescent="0.3">
      <c r="A31">
        <v>2019</v>
      </c>
      <c r="B31">
        <v>1</v>
      </c>
      <c r="C31" t="str">
        <f t="shared" si="0"/>
        <v>1/01/2019</v>
      </c>
      <c r="D31" s="1" t="str">
        <f t="shared" si="1"/>
        <v>1/01/2019</v>
      </c>
      <c r="E31" t="s">
        <v>37</v>
      </c>
      <c r="F31" t="s">
        <v>51</v>
      </c>
      <c r="G31" t="s">
        <v>49</v>
      </c>
      <c r="H31" s="2">
        <v>1342</v>
      </c>
      <c r="I31" s="2">
        <v>1302</v>
      </c>
      <c r="J31">
        <v>24</v>
      </c>
      <c r="K31">
        <v>156</v>
      </c>
      <c r="L31">
        <v>55</v>
      </c>
      <c r="M31">
        <v>135</v>
      </c>
      <c r="N31">
        <v>46</v>
      </c>
      <c r="O31">
        <v>45</v>
      </c>
      <c r="P31">
        <v>25</v>
      </c>
      <c r="Q31">
        <v>27</v>
      </c>
      <c r="R31">
        <v>10</v>
      </c>
      <c r="S31">
        <v>334</v>
      </c>
      <c r="T31">
        <v>116</v>
      </c>
      <c r="U31">
        <v>0</v>
      </c>
      <c r="V31">
        <v>0</v>
      </c>
      <c r="W31" s="1">
        <v>44160</v>
      </c>
    </row>
    <row r="32" spans="1:37" x14ac:dyDescent="0.3">
      <c r="A32">
        <v>2019</v>
      </c>
      <c r="B32">
        <v>1</v>
      </c>
      <c r="C32" t="str">
        <f t="shared" si="0"/>
        <v>1/01/2019</v>
      </c>
      <c r="D32" s="1" t="str">
        <f t="shared" si="1"/>
        <v>1/01/2019</v>
      </c>
      <c r="E32" t="s">
        <v>37</v>
      </c>
      <c r="F32" t="s">
        <v>52</v>
      </c>
      <c r="G32" t="s">
        <v>39</v>
      </c>
      <c r="H32">
        <v>262</v>
      </c>
      <c r="I32">
        <v>233</v>
      </c>
      <c r="L32">
        <v>0</v>
      </c>
      <c r="M32">
        <v>0</v>
      </c>
      <c r="Q32">
        <v>0</v>
      </c>
      <c r="R32">
        <v>34</v>
      </c>
      <c r="U32">
        <v>0</v>
      </c>
      <c r="V32">
        <v>0</v>
      </c>
      <c r="W32" s="1">
        <v>44160</v>
      </c>
      <c r="AA32" t="s">
        <v>40</v>
      </c>
      <c r="AB32" t="s">
        <v>40</v>
      </c>
      <c r="AE32" t="s">
        <v>40</v>
      </c>
      <c r="AF32" t="s">
        <v>40</v>
      </c>
      <c r="AG32" t="s">
        <v>40</v>
      </c>
      <c r="AJ32" t="s">
        <v>40</v>
      </c>
      <c r="AK32" t="s">
        <v>40</v>
      </c>
    </row>
    <row r="33" spans="1:37" x14ac:dyDescent="0.3">
      <c r="A33">
        <v>2019</v>
      </c>
      <c r="B33">
        <v>1</v>
      </c>
      <c r="C33" t="str">
        <f t="shared" si="0"/>
        <v>1/01/2019</v>
      </c>
      <c r="D33" s="1" t="str">
        <f t="shared" si="1"/>
        <v>1/01/2019</v>
      </c>
      <c r="E33" t="s">
        <v>37</v>
      </c>
      <c r="F33" t="s">
        <v>52</v>
      </c>
      <c r="G33" t="s">
        <v>41</v>
      </c>
      <c r="H33">
        <v>140</v>
      </c>
      <c r="I33">
        <v>65</v>
      </c>
      <c r="K33">
        <v>11</v>
      </c>
      <c r="M33">
        <v>0</v>
      </c>
      <c r="O33">
        <v>0</v>
      </c>
      <c r="Q33">
        <v>0</v>
      </c>
      <c r="U33">
        <v>0</v>
      </c>
      <c r="V33">
        <v>0</v>
      </c>
      <c r="W33" s="1">
        <v>44160</v>
      </c>
      <c r="AA33" t="s">
        <v>40</v>
      </c>
      <c r="AC33" t="s">
        <v>40</v>
      </c>
      <c r="AE33" t="s">
        <v>40</v>
      </c>
      <c r="AG33" t="s">
        <v>40</v>
      </c>
      <c r="AI33" t="s">
        <v>40</v>
      </c>
      <c r="AJ33" t="s">
        <v>40</v>
      </c>
      <c r="AK33" t="s">
        <v>40</v>
      </c>
    </row>
    <row r="34" spans="1:37" x14ac:dyDescent="0.3">
      <c r="A34">
        <v>2019</v>
      </c>
      <c r="B34">
        <v>1</v>
      </c>
      <c r="C34" t="str">
        <f t="shared" si="0"/>
        <v>1/01/2019</v>
      </c>
      <c r="D34" s="1" t="str">
        <f t="shared" si="1"/>
        <v>1/01/2019</v>
      </c>
      <c r="E34" t="s">
        <v>37</v>
      </c>
      <c r="F34" t="s">
        <v>52</v>
      </c>
      <c r="G34" t="s">
        <v>42</v>
      </c>
      <c r="H34">
        <v>305</v>
      </c>
      <c r="I34">
        <v>192</v>
      </c>
      <c r="K34">
        <v>28</v>
      </c>
      <c r="L34">
        <v>12</v>
      </c>
      <c r="M34">
        <v>0</v>
      </c>
      <c r="R34">
        <v>11</v>
      </c>
      <c r="S34">
        <v>31</v>
      </c>
      <c r="U34">
        <v>0</v>
      </c>
      <c r="V34">
        <v>0</v>
      </c>
      <c r="W34" s="1">
        <v>44160</v>
      </c>
      <c r="AA34" t="s">
        <v>40</v>
      </c>
      <c r="AE34" t="s">
        <v>40</v>
      </c>
      <c r="AF34" t="s">
        <v>40</v>
      </c>
      <c r="AG34" t="s">
        <v>40</v>
      </c>
      <c r="AH34" t="s">
        <v>40</v>
      </c>
      <c r="AK34" t="s">
        <v>40</v>
      </c>
    </row>
    <row r="35" spans="1:37" x14ac:dyDescent="0.3">
      <c r="A35">
        <v>2019</v>
      </c>
      <c r="B35">
        <v>1</v>
      </c>
      <c r="C35" t="str">
        <f t="shared" si="0"/>
        <v>1/01/2019</v>
      </c>
      <c r="D35" s="1" t="str">
        <f t="shared" si="1"/>
        <v>1/01/2019</v>
      </c>
      <c r="E35" t="s">
        <v>37</v>
      </c>
      <c r="F35" t="s">
        <v>52</v>
      </c>
      <c r="G35" t="s">
        <v>43</v>
      </c>
      <c r="H35">
        <v>532</v>
      </c>
      <c r="I35">
        <v>426</v>
      </c>
      <c r="J35">
        <v>19</v>
      </c>
      <c r="K35">
        <v>104</v>
      </c>
      <c r="L35">
        <v>24</v>
      </c>
      <c r="M35">
        <v>0</v>
      </c>
      <c r="P35">
        <v>12</v>
      </c>
      <c r="S35">
        <v>92</v>
      </c>
      <c r="T35">
        <v>12</v>
      </c>
      <c r="U35">
        <v>0</v>
      </c>
      <c r="V35">
        <v>0</v>
      </c>
      <c r="W35" s="1">
        <v>44160</v>
      </c>
      <c r="AE35" t="s">
        <v>40</v>
      </c>
      <c r="AF35" t="s">
        <v>40</v>
      </c>
      <c r="AH35" t="s">
        <v>40</v>
      </c>
      <c r="AI35" t="s">
        <v>40</v>
      </c>
    </row>
    <row r="36" spans="1:37" x14ac:dyDescent="0.3">
      <c r="A36">
        <v>2019</v>
      </c>
      <c r="B36">
        <v>1</v>
      </c>
      <c r="C36" t="str">
        <f t="shared" si="0"/>
        <v>1/01/2019</v>
      </c>
      <c r="D36" s="1" t="str">
        <f t="shared" si="1"/>
        <v>1/01/2019</v>
      </c>
      <c r="E36" t="s">
        <v>37</v>
      </c>
      <c r="F36" t="s">
        <v>52</v>
      </c>
      <c r="G36" t="s">
        <v>44</v>
      </c>
      <c r="H36" s="2">
        <v>1131</v>
      </c>
      <c r="I36" s="2">
        <v>1018</v>
      </c>
      <c r="J36">
        <v>28</v>
      </c>
      <c r="K36">
        <v>290</v>
      </c>
      <c r="L36">
        <v>61</v>
      </c>
      <c r="N36">
        <v>26</v>
      </c>
      <c r="O36">
        <v>27</v>
      </c>
      <c r="P36">
        <v>11</v>
      </c>
      <c r="Q36">
        <v>30</v>
      </c>
      <c r="R36">
        <v>11</v>
      </c>
      <c r="S36">
        <v>229</v>
      </c>
      <c r="T36">
        <v>55</v>
      </c>
      <c r="U36">
        <v>0</v>
      </c>
      <c r="V36">
        <v>0</v>
      </c>
      <c r="W36" s="1">
        <v>44160</v>
      </c>
      <c r="AD36" t="s">
        <v>40</v>
      </c>
    </row>
    <row r="37" spans="1:37" x14ac:dyDescent="0.3">
      <c r="A37">
        <v>2019</v>
      </c>
      <c r="B37">
        <v>1</v>
      </c>
      <c r="C37" t="str">
        <f t="shared" si="0"/>
        <v>1/01/2019</v>
      </c>
      <c r="D37" s="1" t="str">
        <f t="shared" si="1"/>
        <v>1/01/2019</v>
      </c>
      <c r="E37" t="s">
        <v>37</v>
      </c>
      <c r="F37" t="s">
        <v>52</v>
      </c>
      <c r="G37" t="s">
        <v>45</v>
      </c>
      <c r="H37">
        <v>44</v>
      </c>
      <c r="I37">
        <v>27</v>
      </c>
      <c r="M37">
        <v>0</v>
      </c>
      <c r="N37">
        <v>0</v>
      </c>
      <c r="Q37">
        <v>0</v>
      </c>
      <c r="U37">
        <v>0</v>
      </c>
      <c r="V37">
        <v>0</v>
      </c>
      <c r="W37" s="1">
        <v>44160</v>
      </c>
      <c r="AA37" t="s">
        <v>40</v>
      </c>
      <c r="AB37" t="s">
        <v>40</v>
      </c>
      <c r="AC37" t="s">
        <v>40</v>
      </c>
      <c r="AF37" t="s">
        <v>40</v>
      </c>
      <c r="AG37" t="s">
        <v>40</v>
      </c>
      <c r="AI37" t="s">
        <v>40</v>
      </c>
      <c r="AJ37" t="s">
        <v>40</v>
      </c>
      <c r="AK37" t="s">
        <v>40</v>
      </c>
    </row>
    <row r="38" spans="1:37" x14ac:dyDescent="0.3">
      <c r="A38">
        <v>2019</v>
      </c>
      <c r="B38">
        <v>1</v>
      </c>
      <c r="C38" t="str">
        <f t="shared" si="0"/>
        <v>1/01/2019</v>
      </c>
      <c r="D38" s="1" t="str">
        <f t="shared" si="1"/>
        <v>1/01/2019</v>
      </c>
      <c r="E38" t="s">
        <v>37</v>
      </c>
      <c r="F38" t="s">
        <v>52</v>
      </c>
      <c r="G38" t="s">
        <v>46</v>
      </c>
      <c r="H38" s="2">
        <v>2473</v>
      </c>
      <c r="I38" s="2">
        <v>2328</v>
      </c>
      <c r="J38">
        <v>52</v>
      </c>
      <c r="K38">
        <v>704</v>
      </c>
      <c r="L38">
        <v>140</v>
      </c>
      <c r="N38">
        <v>37</v>
      </c>
      <c r="O38">
        <v>105</v>
      </c>
      <c r="P38">
        <v>45</v>
      </c>
      <c r="Q38">
        <v>72</v>
      </c>
      <c r="R38">
        <v>27</v>
      </c>
      <c r="S38">
        <v>551</v>
      </c>
      <c r="T38">
        <v>140</v>
      </c>
      <c r="U38">
        <v>0</v>
      </c>
      <c r="V38">
        <v>0</v>
      </c>
      <c r="W38" s="1">
        <v>44160</v>
      </c>
      <c r="AD38" t="s">
        <v>40</v>
      </c>
    </row>
    <row r="39" spans="1:37" x14ac:dyDescent="0.3">
      <c r="A39">
        <v>2019</v>
      </c>
      <c r="B39">
        <v>1</v>
      </c>
      <c r="C39" t="str">
        <f t="shared" si="0"/>
        <v>1/01/2019</v>
      </c>
      <c r="D39" s="1" t="str">
        <f t="shared" si="1"/>
        <v>1/01/2019</v>
      </c>
      <c r="E39" t="s">
        <v>37</v>
      </c>
      <c r="F39" t="s">
        <v>52</v>
      </c>
      <c r="G39" t="s">
        <v>47</v>
      </c>
      <c r="H39" s="2">
        <v>3049</v>
      </c>
      <c r="I39" s="2">
        <v>2962</v>
      </c>
      <c r="J39">
        <v>66</v>
      </c>
      <c r="K39">
        <v>795</v>
      </c>
      <c r="L39">
        <v>170</v>
      </c>
      <c r="M39">
        <v>44</v>
      </c>
      <c r="N39">
        <v>61</v>
      </c>
      <c r="O39">
        <v>141</v>
      </c>
      <c r="P39">
        <v>46</v>
      </c>
      <c r="Q39">
        <v>98</v>
      </c>
      <c r="R39">
        <v>22</v>
      </c>
      <c r="S39">
        <v>766</v>
      </c>
      <c r="T39">
        <v>191</v>
      </c>
      <c r="U39">
        <v>0</v>
      </c>
      <c r="V39">
        <v>0</v>
      </c>
      <c r="W39" s="1">
        <v>44160</v>
      </c>
    </row>
    <row r="40" spans="1:37" x14ac:dyDescent="0.3">
      <c r="A40">
        <v>2019</v>
      </c>
      <c r="B40">
        <v>1</v>
      </c>
      <c r="C40" t="str">
        <f t="shared" si="0"/>
        <v>1/01/2019</v>
      </c>
      <c r="D40" s="1" t="str">
        <f t="shared" si="1"/>
        <v>1/01/2019</v>
      </c>
      <c r="E40" t="s">
        <v>37</v>
      </c>
      <c r="F40" t="s">
        <v>52</v>
      </c>
      <c r="G40" t="s">
        <v>48</v>
      </c>
      <c r="H40" s="2">
        <v>3277</v>
      </c>
      <c r="I40" s="2">
        <v>3214</v>
      </c>
      <c r="J40">
        <v>73</v>
      </c>
      <c r="K40">
        <v>626</v>
      </c>
      <c r="L40">
        <v>153</v>
      </c>
      <c r="M40">
        <v>163</v>
      </c>
      <c r="N40">
        <v>71</v>
      </c>
      <c r="O40">
        <v>137</v>
      </c>
      <c r="P40">
        <v>64</v>
      </c>
      <c r="Q40">
        <v>103</v>
      </c>
      <c r="R40">
        <v>34</v>
      </c>
      <c r="S40">
        <v>818</v>
      </c>
      <c r="T40">
        <v>259</v>
      </c>
      <c r="U40">
        <v>0</v>
      </c>
      <c r="V40">
        <v>0</v>
      </c>
      <c r="W40" s="1">
        <v>44160</v>
      </c>
    </row>
    <row r="41" spans="1:37" x14ac:dyDescent="0.3">
      <c r="A41">
        <v>2019</v>
      </c>
      <c r="B41">
        <v>1</v>
      </c>
      <c r="C41" t="str">
        <f t="shared" si="0"/>
        <v>1/01/2019</v>
      </c>
      <c r="D41" s="1" t="str">
        <f t="shared" si="1"/>
        <v>1/01/2019</v>
      </c>
      <c r="E41" t="s">
        <v>37</v>
      </c>
      <c r="F41" t="s">
        <v>52</v>
      </c>
      <c r="G41" t="s">
        <v>49</v>
      </c>
      <c r="H41" s="2">
        <v>3725</v>
      </c>
      <c r="I41" s="2">
        <v>3687</v>
      </c>
      <c r="J41">
        <v>61</v>
      </c>
      <c r="K41">
        <v>359</v>
      </c>
      <c r="L41">
        <v>126</v>
      </c>
      <c r="M41">
        <v>399</v>
      </c>
      <c r="N41">
        <v>73</v>
      </c>
      <c r="O41">
        <v>114</v>
      </c>
      <c r="P41">
        <v>35</v>
      </c>
      <c r="Q41">
        <v>117</v>
      </c>
      <c r="R41">
        <v>44</v>
      </c>
      <c r="S41" s="2">
        <v>1072</v>
      </c>
      <c r="T41">
        <v>328</v>
      </c>
      <c r="U41">
        <v>0</v>
      </c>
      <c r="V41">
        <v>0</v>
      </c>
      <c r="W41" s="1">
        <v>44160</v>
      </c>
    </row>
    <row r="42" spans="1:37" x14ac:dyDescent="0.3">
      <c r="A42">
        <v>2019</v>
      </c>
      <c r="B42">
        <v>1</v>
      </c>
      <c r="C42" t="str">
        <f t="shared" si="0"/>
        <v>1/01/2019</v>
      </c>
      <c r="D42" s="1" t="str">
        <f t="shared" si="1"/>
        <v>1/01/2019</v>
      </c>
      <c r="E42" t="s">
        <v>37</v>
      </c>
      <c r="F42" t="s">
        <v>53</v>
      </c>
      <c r="G42" t="s">
        <v>39</v>
      </c>
      <c r="H42">
        <v>335</v>
      </c>
      <c r="I42">
        <v>287</v>
      </c>
      <c r="L42">
        <v>0</v>
      </c>
      <c r="M42">
        <v>0</v>
      </c>
      <c r="Q42">
        <v>0</v>
      </c>
      <c r="R42">
        <v>28</v>
      </c>
      <c r="U42">
        <v>0</v>
      </c>
      <c r="V42">
        <v>0</v>
      </c>
      <c r="W42" s="1">
        <v>44160</v>
      </c>
      <c r="AA42" t="s">
        <v>40</v>
      </c>
      <c r="AB42" t="s">
        <v>40</v>
      </c>
      <c r="AE42" t="s">
        <v>40</v>
      </c>
      <c r="AF42" t="s">
        <v>40</v>
      </c>
      <c r="AG42" t="s">
        <v>40</v>
      </c>
      <c r="AJ42" t="s">
        <v>40</v>
      </c>
      <c r="AK42" t="s">
        <v>40</v>
      </c>
    </row>
    <row r="43" spans="1:37" x14ac:dyDescent="0.3">
      <c r="A43">
        <v>2019</v>
      </c>
      <c r="B43">
        <v>1</v>
      </c>
      <c r="C43" t="str">
        <f t="shared" si="0"/>
        <v>1/01/2019</v>
      </c>
      <c r="D43" s="1" t="str">
        <f t="shared" si="1"/>
        <v>1/01/2019</v>
      </c>
      <c r="E43" t="s">
        <v>37</v>
      </c>
      <c r="F43" t="s">
        <v>53</v>
      </c>
      <c r="G43" t="s">
        <v>41</v>
      </c>
      <c r="H43">
        <v>338</v>
      </c>
      <c r="I43">
        <v>140</v>
      </c>
      <c r="K43">
        <v>31</v>
      </c>
      <c r="M43">
        <v>0</v>
      </c>
      <c r="S43">
        <v>19</v>
      </c>
      <c r="U43">
        <v>0</v>
      </c>
      <c r="V43">
        <v>0</v>
      </c>
      <c r="W43" s="1">
        <v>44160</v>
      </c>
      <c r="AA43" t="s">
        <v>40</v>
      </c>
      <c r="AC43" t="s">
        <v>40</v>
      </c>
      <c r="AE43" t="s">
        <v>40</v>
      </c>
      <c r="AF43" t="s">
        <v>40</v>
      </c>
      <c r="AG43" t="s">
        <v>40</v>
      </c>
      <c r="AH43" t="s">
        <v>40</v>
      </c>
      <c r="AI43" t="s">
        <v>40</v>
      </c>
      <c r="AK43" t="s">
        <v>40</v>
      </c>
    </row>
    <row r="44" spans="1:37" x14ac:dyDescent="0.3">
      <c r="A44">
        <v>2019</v>
      </c>
      <c r="B44">
        <v>1</v>
      </c>
      <c r="C44" t="str">
        <f t="shared" si="0"/>
        <v>1/01/2019</v>
      </c>
      <c r="D44" s="1" t="str">
        <f t="shared" si="1"/>
        <v>1/01/2019</v>
      </c>
      <c r="E44" t="s">
        <v>37</v>
      </c>
      <c r="F44" t="s">
        <v>53</v>
      </c>
      <c r="G44" t="s">
        <v>42</v>
      </c>
      <c r="H44">
        <v>831</v>
      </c>
      <c r="I44">
        <v>345</v>
      </c>
      <c r="K44">
        <v>76</v>
      </c>
      <c r="L44">
        <v>12</v>
      </c>
      <c r="M44">
        <v>0</v>
      </c>
      <c r="N44">
        <v>12</v>
      </c>
      <c r="R44">
        <v>10</v>
      </c>
      <c r="S44">
        <v>43</v>
      </c>
      <c r="U44">
        <v>0</v>
      </c>
      <c r="V44">
        <v>0</v>
      </c>
      <c r="W44" s="1">
        <v>44160</v>
      </c>
      <c r="AA44" t="s">
        <v>40</v>
      </c>
      <c r="AF44" t="s">
        <v>40</v>
      </c>
      <c r="AG44" t="s">
        <v>40</v>
      </c>
      <c r="AH44" t="s">
        <v>40</v>
      </c>
      <c r="AK44" t="s">
        <v>40</v>
      </c>
    </row>
    <row r="45" spans="1:37" x14ac:dyDescent="0.3">
      <c r="A45">
        <v>2019</v>
      </c>
      <c r="B45">
        <v>1</v>
      </c>
      <c r="C45" t="str">
        <f t="shared" si="0"/>
        <v>1/01/2019</v>
      </c>
      <c r="D45" s="1" t="str">
        <f t="shared" si="1"/>
        <v>1/01/2019</v>
      </c>
      <c r="E45" t="s">
        <v>37</v>
      </c>
      <c r="F45" t="s">
        <v>53</v>
      </c>
      <c r="G45" t="s">
        <v>43</v>
      </c>
      <c r="H45" s="2">
        <v>1580</v>
      </c>
      <c r="I45" s="2">
        <v>1045</v>
      </c>
      <c r="J45">
        <v>17</v>
      </c>
      <c r="K45">
        <v>321</v>
      </c>
      <c r="L45">
        <v>33</v>
      </c>
      <c r="M45">
        <v>0</v>
      </c>
      <c r="N45">
        <v>33</v>
      </c>
      <c r="O45">
        <v>18</v>
      </c>
      <c r="P45">
        <v>10</v>
      </c>
      <c r="R45">
        <v>18</v>
      </c>
      <c r="S45">
        <v>155</v>
      </c>
      <c r="T45">
        <v>33</v>
      </c>
      <c r="U45">
        <v>0</v>
      </c>
      <c r="V45">
        <v>0</v>
      </c>
      <c r="W45" s="1">
        <v>44160</v>
      </c>
      <c r="AH45" t="s">
        <v>40</v>
      </c>
    </row>
    <row r="46" spans="1:37" x14ac:dyDescent="0.3">
      <c r="A46">
        <v>2019</v>
      </c>
      <c r="B46">
        <v>1</v>
      </c>
      <c r="C46" t="str">
        <f t="shared" si="0"/>
        <v>1/01/2019</v>
      </c>
      <c r="D46" s="1" t="str">
        <f t="shared" si="1"/>
        <v>1/01/2019</v>
      </c>
      <c r="E46" t="s">
        <v>37</v>
      </c>
      <c r="F46" t="s">
        <v>53</v>
      </c>
      <c r="G46" t="s">
        <v>44</v>
      </c>
      <c r="H46" s="2">
        <v>3577</v>
      </c>
      <c r="I46" s="2">
        <v>2949</v>
      </c>
      <c r="J46">
        <v>55</v>
      </c>
      <c r="K46" s="2">
        <v>1054</v>
      </c>
      <c r="L46">
        <v>109</v>
      </c>
      <c r="N46">
        <v>72</v>
      </c>
      <c r="O46">
        <v>157</v>
      </c>
      <c r="P46">
        <v>50</v>
      </c>
      <c r="Q46">
        <v>51</v>
      </c>
      <c r="R46">
        <v>35</v>
      </c>
      <c r="S46">
        <v>495</v>
      </c>
      <c r="T46">
        <v>100</v>
      </c>
      <c r="U46">
        <v>0</v>
      </c>
      <c r="V46">
        <v>0</v>
      </c>
      <c r="W46" s="1">
        <v>44160</v>
      </c>
      <c r="AD46" t="s">
        <v>40</v>
      </c>
    </row>
    <row r="47" spans="1:37" x14ac:dyDescent="0.3">
      <c r="A47">
        <v>2019</v>
      </c>
      <c r="B47">
        <v>1</v>
      </c>
      <c r="C47" t="str">
        <f t="shared" si="0"/>
        <v>1/01/2019</v>
      </c>
      <c r="D47" s="1" t="str">
        <f t="shared" si="1"/>
        <v>1/01/2019</v>
      </c>
      <c r="E47" t="s">
        <v>37</v>
      </c>
      <c r="F47" t="s">
        <v>53</v>
      </c>
      <c r="G47" t="s">
        <v>45</v>
      </c>
      <c r="H47">
        <v>96</v>
      </c>
      <c r="I47">
        <v>58</v>
      </c>
      <c r="K47">
        <v>14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U47">
        <v>0</v>
      </c>
      <c r="V47">
        <v>0</v>
      </c>
      <c r="W47" s="1">
        <v>44160</v>
      </c>
      <c r="AA47" t="s">
        <v>40</v>
      </c>
      <c r="AI47" t="s">
        <v>40</v>
      </c>
      <c r="AJ47" t="s">
        <v>40</v>
      </c>
      <c r="AK47" t="s">
        <v>40</v>
      </c>
    </row>
    <row r="48" spans="1:37" x14ac:dyDescent="0.3">
      <c r="A48">
        <v>2019</v>
      </c>
      <c r="B48">
        <v>1</v>
      </c>
      <c r="C48" t="str">
        <f t="shared" si="0"/>
        <v>1/01/2019</v>
      </c>
      <c r="D48" s="1" t="str">
        <f t="shared" si="1"/>
        <v>1/01/2019</v>
      </c>
      <c r="E48" t="s">
        <v>37</v>
      </c>
      <c r="F48" t="s">
        <v>53</v>
      </c>
      <c r="G48" t="s">
        <v>46</v>
      </c>
      <c r="H48" s="2">
        <v>9381</v>
      </c>
      <c r="I48" s="2">
        <v>8727</v>
      </c>
      <c r="J48">
        <v>170</v>
      </c>
      <c r="K48" s="2">
        <v>3299</v>
      </c>
      <c r="L48">
        <v>314</v>
      </c>
      <c r="M48">
        <v>52</v>
      </c>
      <c r="N48">
        <v>191</v>
      </c>
      <c r="O48">
        <v>727</v>
      </c>
      <c r="P48">
        <v>134</v>
      </c>
      <c r="Q48">
        <v>111</v>
      </c>
      <c r="R48">
        <v>70</v>
      </c>
      <c r="S48" s="2">
        <v>1537</v>
      </c>
      <c r="T48">
        <v>279</v>
      </c>
      <c r="U48">
        <v>0</v>
      </c>
      <c r="V48">
        <v>0</v>
      </c>
      <c r="W48" s="1">
        <v>44160</v>
      </c>
    </row>
    <row r="49" spans="1:37" x14ac:dyDescent="0.3">
      <c r="A49">
        <v>2019</v>
      </c>
      <c r="B49">
        <v>1</v>
      </c>
      <c r="C49" t="str">
        <f t="shared" si="0"/>
        <v>1/01/2019</v>
      </c>
      <c r="D49" s="1" t="str">
        <f t="shared" si="1"/>
        <v>1/01/2019</v>
      </c>
      <c r="E49" t="s">
        <v>37</v>
      </c>
      <c r="F49" t="s">
        <v>53</v>
      </c>
      <c r="G49" t="s">
        <v>47</v>
      </c>
      <c r="H49" s="2">
        <v>16075</v>
      </c>
      <c r="I49" s="2">
        <v>15527</v>
      </c>
      <c r="J49">
        <v>275</v>
      </c>
      <c r="K49" s="2">
        <v>5157</v>
      </c>
      <c r="L49">
        <v>543</v>
      </c>
      <c r="M49">
        <v>336</v>
      </c>
      <c r="N49">
        <v>330</v>
      </c>
      <c r="O49" s="2">
        <v>1653</v>
      </c>
      <c r="P49">
        <v>329</v>
      </c>
      <c r="Q49">
        <v>304</v>
      </c>
      <c r="R49">
        <v>113</v>
      </c>
      <c r="S49" s="2">
        <v>2863</v>
      </c>
      <c r="T49">
        <v>627</v>
      </c>
      <c r="U49">
        <v>0</v>
      </c>
      <c r="V49">
        <v>0</v>
      </c>
      <c r="W49" s="1">
        <v>44160</v>
      </c>
    </row>
    <row r="50" spans="1:37" x14ac:dyDescent="0.3">
      <c r="A50">
        <v>2019</v>
      </c>
      <c r="B50">
        <v>1</v>
      </c>
      <c r="C50" t="str">
        <f t="shared" si="0"/>
        <v>1/01/2019</v>
      </c>
      <c r="D50" s="1" t="str">
        <f t="shared" si="1"/>
        <v>1/01/2019</v>
      </c>
      <c r="E50" t="s">
        <v>37</v>
      </c>
      <c r="F50" t="s">
        <v>53</v>
      </c>
      <c r="G50" t="s">
        <v>48</v>
      </c>
      <c r="H50" s="2">
        <v>24187</v>
      </c>
      <c r="I50" s="2">
        <v>23553</v>
      </c>
      <c r="J50">
        <v>368</v>
      </c>
      <c r="K50" s="2">
        <v>5216</v>
      </c>
      <c r="L50">
        <v>583</v>
      </c>
      <c r="M50" s="2">
        <v>1541</v>
      </c>
      <c r="N50">
        <v>488</v>
      </c>
      <c r="O50" s="2">
        <v>2403</v>
      </c>
      <c r="P50">
        <v>452</v>
      </c>
      <c r="Q50">
        <v>427</v>
      </c>
      <c r="R50">
        <v>230</v>
      </c>
      <c r="S50" s="2">
        <v>5043</v>
      </c>
      <c r="T50" s="2">
        <v>1491</v>
      </c>
      <c r="U50">
        <v>0</v>
      </c>
      <c r="V50">
        <v>0</v>
      </c>
      <c r="W50" s="1">
        <v>44160</v>
      </c>
    </row>
    <row r="51" spans="1:37" x14ac:dyDescent="0.3">
      <c r="A51">
        <v>2019</v>
      </c>
      <c r="B51">
        <v>1</v>
      </c>
      <c r="C51" t="str">
        <f t="shared" si="0"/>
        <v>1/01/2019</v>
      </c>
      <c r="D51" s="1" t="str">
        <f t="shared" si="1"/>
        <v>1/01/2019</v>
      </c>
      <c r="E51" t="s">
        <v>37</v>
      </c>
      <c r="F51" t="s">
        <v>53</v>
      </c>
      <c r="G51" t="s">
        <v>49</v>
      </c>
      <c r="H51" s="2">
        <v>41559</v>
      </c>
      <c r="I51" s="2">
        <v>40334</v>
      </c>
      <c r="J51">
        <v>484</v>
      </c>
      <c r="K51" s="2">
        <v>3898</v>
      </c>
      <c r="L51">
        <v>649</v>
      </c>
      <c r="M51" s="2">
        <v>4293</v>
      </c>
      <c r="N51" s="2">
        <v>1143</v>
      </c>
      <c r="O51" s="2">
        <v>2281</v>
      </c>
      <c r="P51">
        <v>596</v>
      </c>
      <c r="Q51">
        <v>645</v>
      </c>
      <c r="R51">
        <v>665</v>
      </c>
      <c r="S51" s="2">
        <v>11506</v>
      </c>
      <c r="T51" s="2">
        <v>3293</v>
      </c>
      <c r="U51">
        <v>0</v>
      </c>
      <c r="V51">
        <v>0</v>
      </c>
      <c r="W51" s="1">
        <v>44160</v>
      </c>
    </row>
    <row r="52" spans="1:37" x14ac:dyDescent="0.3">
      <c r="A52">
        <v>2019</v>
      </c>
      <c r="B52">
        <v>1</v>
      </c>
      <c r="C52" t="str">
        <f t="shared" si="0"/>
        <v>1/01/2019</v>
      </c>
      <c r="D52" s="1" t="str">
        <f t="shared" si="1"/>
        <v>1/01/2019</v>
      </c>
      <c r="E52" t="s">
        <v>37</v>
      </c>
      <c r="F52" t="s">
        <v>54</v>
      </c>
      <c r="G52" t="s">
        <v>39</v>
      </c>
      <c r="H52">
        <v>37</v>
      </c>
      <c r="I52">
        <v>30</v>
      </c>
      <c r="K52">
        <v>0</v>
      </c>
      <c r="L52">
        <v>0</v>
      </c>
      <c r="M52">
        <v>0</v>
      </c>
      <c r="N52">
        <v>0</v>
      </c>
      <c r="P52">
        <v>0</v>
      </c>
      <c r="Q52">
        <v>0</v>
      </c>
      <c r="S52">
        <v>0</v>
      </c>
      <c r="T52">
        <v>0</v>
      </c>
      <c r="U52">
        <v>0</v>
      </c>
      <c r="V52">
        <v>0</v>
      </c>
      <c r="W52" s="1">
        <v>44160</v>
      </c>
      <c r="AA52" t="s">
        <v>40</v>
      </c>
      <c r="AF52" t="s">
        <v>40</v>
      </c>
      <c r="AI52" t="s">
        <v>40</v>
      </c>
    </row>
    <row r="53" spans="1:37" x14ac:dyDescent="0.3">
      <c r="A53">
        <v>2019</v>
      </c>
      <c r="B53">
        <v>1</v>
      </c>
      <c r="C53" t="str">
        <f t="shared" si="0"/>
        <v>1/01/2019</v>
      </c>
      <c r="D53" s="1" t="str">
        <f t="shared" si="1"/>
        <v>1/01/2019</v>
      </c>
      <c r="E53" t="s">
        <v>37</v>
      </c>
      <c r="F53" t="s">
        <v>54</v>
      </c>
      <c r="G53" t="s">
        <v>41</v>
      </c>
      <c r="H53">
        <v>17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S53">
        <v>0</v>
      </c>
      <c r="T53">
        <v>0</v>
      </c>
      <c r="U53">
        <v>0</v>
      </c>
      <c r="V53">
        <v>0</v>
      </c>
      <c r="W53" s="1">
        <v>44160</v>
      </c>
      <c r="Z53" t="s">
        <v>40</v>
      </c>
      <c r="AI53" t="s">
        <v>40</v>
      </c>
    </row>
    <row r="54" spans="1:37" x14ac:dyDescent="0.3">
      <c r="A54">
        <v>2019</v>
      </c>
      <c r="B54">
        <v>1</v>
      </c>
      <c r="C54" t="str">
        <f t="shared" si="0"/>
        <v>1/01/2019</v>
      </c>
      <c r="D54" s="1" t="str">
        <f t="shared" si="1"/>
        <v>1/01/2019</v>
      </c>
      <c r="E54" t="s">
        <v>37</v>
      </c>
      <c r="F54" t="s">
        <v>54</v>
      </c>
      <c r="G54" t="s">
        <v>42</v>
      </c>
      <c r="H54">
        <v>28</v>
      </c>
      <c r="I54">
        <v>15</v>
      </c>
      <c r="J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U54">
        <v>0</v>
      </c>
      <c r="V54">
        <v>0</v>
      </c>
      <c r="W54" s="1">
        <v>44160</v>
      </c>
      <c r="AB54" t="s">
        <v>40</v>
      </c>
      <c r="AC54" t="s">
        <v>40</v>
      </c>
      <c r="AJ54" t="s">
        <v>40</v>
      </c>
      <c r="AK54" t="s">
        <v>40</v>
      </c>
    </row>
    <row r="55" spans="1:37" x14ac:dyDescent="0.3">
      <c r="A55">
        <v>2019</v>
      </c>
      <c r="B55">
        <v>1</v>
      </c>
      <c r="C55" t="str">
        <f t="shared" si="0"/>
        <v>1/01/2019</v>
      </c>
      <c r="D55" s="1" t="str">
        <f t="shared" si="1"/>
        <v>1/01/2019</v>
      </c>
      <c r="E55" t="s">
        <v>37</v>
      </c>
      <c r="F55" t="s">
        <v>54</v>
      </c>
      <c r="G55" t="s">
        <v>43</v>
      </c>
      <c r="H55">
        <v>35</v>
      </c>
      <c r="I55">
        <v>25</v>
      </c>
      <c r="J55">
        <v>0</v>
      </c>
      <c r="M55">
        <v>0</v>
      </c>
      <c r="N55">
        <v>0</v>
      </c>
      <c r="P55">
        <v>0</v>
      </c>
      <c r="Q55">
        <v>0</v>
      </c>
      <c r="T55">
        <v>0</v>
      </c>
      <c r="U55">
        <v>0</v>
      </c>
      <c r="V55">
        <v>0</v>
      </c>
      <c r="W55" s="1">
        <v>44160</v>
      </c>
      <c r="AB55" t="s">
        <v>40</v>
      </c>
      <c r="AC55" t="s">
        <v>40</v>
      </c>
      <c r="AF55" t="s">
        <v>40</v>
      </c>
      <c r="AI55" t="s">
        <v>40</v>
      </c>
      <c r="AJ55" t="s">
        <v>40</v>
      </c>
    </row>
    <row r="56" spans="1:37" x14ac:dyDescent="0.3">
      <c r="A56">
        <v>2019</v>
      </c>
      <c r="B56">
        <v>1</v>
      </c>
      <c r="C56" t="str">
        <f t="shared" si="0"/>
        <v>1/01/2019</v>
      </c>
      <c r="D56" s="1" t="str">
        <f t="shared" si="1"/>
        <v>1/01/2019</v>
      </c>
      <c r="E56" t="s">
        <v>37</v>
      </c>
      <c r="F56" t="s">
        <v>54</v>
      </c>
      <c r="G56" t="s">
        <v>44</v>
      </c>
      <c r="H56">
        <v>87</v>
      </c>
      <c r="I56">
        <v>75</v>
      </c>
      <c r="J56">
        <v>0</v>
      </c>
      <c r="K56">
        <v>20</v>
      </c>
      <c r="M56">
        <v>0</v>
      </c>
      <c r="R56">
        <v>0</v>
      </c>
      <c r="S56">
        <v>17</v>
      </c>
      <c r="U56">
        <v>0</v>
      </c>
      <c r="V56">
        <v>0</v>
      </c>
      <c r="W56" s="1">
        <v>44160</v>
      </c>
      <c r="AC56" t="s">
        <v>40</v>
      </c>
      <c r="AE56" t="s">
        <v>40</v>
      </c>
      <c r="AF56" t="s">
        <v>40</v>
      </c>
      <c r="AG56" t="s">
        <v>40</v>
      </c>
      <c r="AH56" t="s">
        <v>40</v>
      </c>
      <c r="AK56" t="s">
        <v>40</v>
      </c>
    </row>
    <row r="57" spans="1:37" x14ac:dyDescent="0.3">
      <c r="A57">
        <v>2019</v>
      </c>
      <c r="B57">
        <v>1</v>
      </c>
      <c r="C57" t="str">
        <f t="shared" si="0"/>
        <v>1/01/2019</v>
      </c>
      <c r="D57" s="1" t="str">
        <f t="shared" si="1"/>
        <v>1/01/2019</v>
      </c>
      <c r="E57" t="s">
        <v>37</v>
      </c>
      <c r="F57" t="s">
        <v>54</v>
      </c>
      <c r="G57" t="s">
        <v>45</v>
      </c>
      <c r="J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U57">
        <v>0</v>
      </c>
      <c r="V57">
        <v>0</v>
      </c>
      <c r="W57" s="1">
        <v>44160</v>
      </c>
      <c r="Y57" t="s">
        <v>40</v>
      </c>
      <c r="Z57" t="s">
        <v>40</v>
      </c>
      <c r="AB57" t="s">
        <v>40</v>
      </c>
      <c r="AJ57" t="s">
        <v>40</v>
      </c>
      <c r="AK57" t="s">
        <v>40</v>
      </c>
    </row>
    <row r="58" spans="1:37" x14ac:dyDescent="0.3">
      <c r="A58">
        <v>2019</v>
      </c>
      <c r="B58">
        <v>1</v>
      </c>
      <c r="C58" t="str">
        <f t="shared" si="0"/>
        <v>1/01/2019</v>
      </c>
      <c r="D58" s="1" t="str">
        <f t="shared" si="1"/>
        <v>1/01/2019</v>
      </c>
      <c r="E58" t="s">
        <v>37</v>
      </c>
      <c r="F58" t="s">
        <v>54</v>
      </c>
      <c r="G58" t="s">
        <v>46</v>
      </c>
      <c r="H58">
        <v>149</v>
      </c>
      <c r="I58">
        <v>132</v>
      </c>
      <c r="K58">
        <v>50</v>
      </c>
      <c r="S58">
        <v>19</v>
      </c>
      <c r="U58">
        <v>0</v>
      </c>
      <c r="V58">
        <v>0</v>
      </c>
      <c r="W58" s="1">
        <v>44160</v>
      </c>
      <c r="AA58" t="s">
        <v>40</v>
      </c>
      <c r="AC58" t="s">
        <v>40</v>
      </c>
      <c r="AD58" t="s">
        <v>40</v>
      </c>
      <c r="AE58" t="s">
        <v>40</v>
      </c>
      <c r="AF58" t="s">
        <v>40</v>
      </c>
      <c r="AG58" t="s">
        <v>40</v>
      </c>
      <c r="AH58" t="s">
        <v>40</v>
      </c>
      <c r="AI58" t="s">
        <v>40</v>
      </c>
      <c r="AK58" t="s">
        <v>40</v>
      </c>
    </row>
    <row r="59" spans="1:37" x14ac:dyDescent="0.3">
      <c r="A59">
        <v>2019</v>
      </c>
      <c r="B59">
        <v>1</v>
      </c>
      <c r="C59" t="str">
        <f t="shared" si="0"/>
        <v>1/01/2019</v>
      </c>
      <c r="D59" s="1" t="str">
        <f t="shared" si="1"/>
        <v>1/01/2019</v>
      </c>
      <c r="E59" t="s">
        <v>37</v>
      </c>
      <c r="F59" t="s">
        <v>54</v>
      </c>
      <c r="G59" t="s">
        <v>47</v>
      </c>
      <c r="H59">
        <v>169</v>
      </c>
      <c r="I59">
        <v>161</v>
      </c>
      <c r="K59">
        <v>52</v>
      </c>
      <c r="O59">
        <v>17</v>
      </c>
      <c r="R59">
        <v>0</v>
      </c>
      <c r="S59">
        <v>31</v>
      </c>
      <c r="U59">
        <v>0</v>
      </c>
      <c r="V59">
        <v>0</v>
      </c>
      <c r="W59" s="1">
        <v>44160</v>
      </c>
      <c r="AA59" t="s">
        <v>40</v>
      </c>
      <c r="AC59" t="s">
        <v>40</v>
      </c>
      <c r="AD59" t="s">
        <v>40</v>
      </c>
      <c r="AE59" t="s">
        <v>40</v>
      </c>
      <c r="AG59" t="s">
        <v>40</v>
      </c>
      <c r="AH59" t="s">
        <v>40</v>
      </c>
      <c r="AK59" t="s">
        <v>40</v>
      </c>
    </row>
    <row r="60" spans="1:37" x14ac:dyDescent="0.3">
      <c r="A60">
        <v>2019</v>
      </c>
      <c r="B60">
        <v>1</v>
      </c>
      <c r="C60" t="str">
        <f t="shared" si="0"/>
        <v>1/01/2019</v>
      </c>
      <c r="D60" s="1" t="str">
        <f t="shared" si="1"/>
        <v>1/01/2019</v>
      </c>
      <c r="E60" t="s">
        <v>37</v>
      </c>
      <c r="F60" t="s">
        <v>54</v>
      </c>
      <c r="G60" t="s">
        <v>48</v>
      </c>
      <c r="H60">
        <v>162</v>
      </c>
      <c r="I60">
        <v>159</v>
      </c>
      <c r="K60">
        <v>35</v>
      </c>
      <c r="O60">
        <v>15</v>
      </c>
      <c r="S60">
        <v>31</v>
      </c>
      <c r="T60">
        <v>12</v>
      </c>
      <c r="U60">
        <v>0</v>
      </c>
      <c r="V60">
        <v>0</v>
      </c>
      <c r="W60" s="1">
        <v>44160</v>
      </c>
      <c r="AA60" t="s">
        <v>40</v>
      </c>
      <c r="AC60" t="s">
        <v>40</v>
      </c>
      <c r="AD60" t="s">
        <v>40</v>
      </c>
      <c r="AE60" t="s">
        <v>40</v>
      </c>
      <c r="AG60" t="s">
        <v>40</v>
      </c>
      <c r="AH60" t="s">
        <v>40</v>
      </c>
      <c r="AI60" t="s">
        <v>40</v>
      </c>
    </row>
    <row r="61" spans="1:37" x14ac:dyDescent="0.3">
      <c r="A61">
        <v>2019</v>
      </c>
      <c r="B61">
        <v>1</v>
      </c>
      <c r="C61" t="str">
        <f t="shared" si="0"/>
        <v>1/01/2019</v>
      </c>
      <c r="D61" s="1" t="str">
        <f t="shared" si="1"/>
        <v>1/01/2019</v>
      </c>
      <c r="E61" t="s">
        <v>37</v>
      </c>
      <c r="F61" t="s">
        <v>54</v>
      </c>
      <c r="G61" t="s">
        <v>49</v>
      </c>
      <c r="H61">
        <v>203</v>
      </c>
      <c r="I61">
        <v>196</v>
      </c>
      <c r="J61">
        <v>0</v>
      </c>
      <c r="K61">
        <v>14</v>
      </c>
      <c r="M61">
        <v>18</v>
      </c>
      <c r="O61">
        <v>12</v>
      </c>
      <c r="R61">
        <v>0</v>
      </c>
      <c r="S61">
        <v>53</v>
      </c>
      <c r="T61">
        <v>23</v>
      </c>
      <c r="U61">
        <v>0</v>
      </c>
      <c r="V61">
        <v>0</v>
      </c>
      <c r="W61" s="1">
        <v>44160</v>
      </c>
      <c r="AC61" t="s">
        <v>40</v>
      </c>
      <c r="AE61" t="s">
        <v>40</v>
      </c>
      <c r="AG61" t="s">
        <v>40</v>
      </c>
      <c r="AH61" t="s">
        <v>40</v>
      </c>
    </row>
    <row r="62" spans="1:37" x14ac:dyDescent="0.3">
      <c r="A62">
        <v>2019</v>
      </c>
      <c r="B62">
        <v>1</v>
      </c>
      <c r="C62" t="str">
        <f t="shared" si="0"/>
        <v>1/01/2019</v>
      </c>
      <c r="D62" s="1" t="str">
        <f t="shared" si="1"/>
        <v>1/01/2019</v>
      </c>
      <c r="E62" t="s">
        <v>55</v>
      </c>
      <c r="F62" t="s">
        <v>38</v>
      </c>
      <c r="G62" t="s">
        <v>39</v>
      </c>
      <c r="H62">
        <v>262</v>
      </c>
      <c r="I62">
        <v>237</v>
      </c>
      <c r="L62">
        <v>0</v>
      </c>
      <c r="M62">
        <v>0</v>
      </c>
      <c r="O62">
        <v>0</v>
      </c>
      <c r="Q62">
        <v>0</v>
      </c>
      <c r="R62">
        <v>25</v>
      </c>
      <c r="U62">
        <v>0</v>
      </c>
      <c r="V62">
        <v>0</v>
      </c>
      <c r="W62" s="1">
        <v>44160</v>
      </c>
      <c r="AA62" t="s">
        <v>40</v>
      </c>
      <c r="AB62" t="s">
        <v>40</v>
      </c>
      <c r="AE62" t="s">
        <v>40</v>
      </c>
      <c r="AG62" t="s">
        <v>40</v>
      </c>
      <c r="AJ62" t="s">
        <v>40</v>
      </c>
      <c r="AK62" t="s">
        <v>40</v>
      </c>
    </row>
    <row r="63" spans="1:37" x14ac:dyDescent="0.3">
      <c r="A63">
        <v>2019</v>
      </c>
      <c r="B63">
        <v>1</v>
      </c>
      <c r="C63" t="str">
        <f t="shared" si="0"/>
        <v>1/01/2019</v>
      </c>
      <c r="D63" s="1" t="str">
        <f t="shared" si="1"/>
        <v>1/01/2019</v>
      </c>
      <c r="E63" t="s">
        <v>55</v>
      </c>
      <c r="F63" t="s">
        <v>38</v>
      </c>
      <c r="G63" t="s">
        <v>41</v>
      </c>
      <c r="H63">
        <v>340</v>
      </c>
      <c r="I63">
        <v>67</v>
      </c>
      <c r="J63">
        <v>0</v>
      </c>
      <c r="K63">
        <v>14</v>
      </c>
      <c r="M63">
        <v>0</v>
      </c>
      <c r="U63">
        <v>0</v>
      </c>
      <c r="V63">
        <v>0</v>
      </c>
      <c r="W63" s="1">
        <v>44160</v>
      </c>
      <c r="AC63" t="s">
        <v>40</v>
      </c>
      <c r="AE63" t="s">
        <v>40</v>
      </c>
      <c r="AF63" t="s">
        <v>40</v>
      </c>
      <c r="AG63" t="s">
        <v>40</v>
      </c>
      <c r="AH63" t="s">
        <v>40</v>
      </c>
      <c r="AI63" t="s">
        <v>40</v>
      </c>
      <c r="AJ63" t="s">
        <v>40</v>
      </c>
      <c r="AK63" t="s">
        <v>40</v>
      </c>
    </row>
    <row r="64" spans="1:37" x14ac:dyDescent="0.3">
      <c r="A64">
        <v>2019</v>
      </c>
      <c r="B64">
        <v>1</v>
      </c>
      <c r="C64" t="str">
        <f t="shared" si="0"/>
        <v>1/01/2019</v>
      </c>
      <c r="D64" s="1" t="str">
        <f t="shared" si="1"/>
        <v>1/01/2019</v>
      </c>
      <c r="E64" t="s">
        <v>55</v>
      </c>
      <c r="F64" t="s">
        <v>38</v>
      </c>
      <c r="G64" t="s">
        <v>42</v>
      </c>
      <c r="H64">
        <v>552</v>
      </c>
      <c r="I64">
        <v>195</v>
      </c>
      <c r="K64">
        <v>33</v>
      </c>
      <c r="M64">
        <v>0</v>
      </c>
      <c r="N64">
        <v>10</v>
      </c>
      <c r="R64">
        <v>13</v>
      </c>
      <c r="S64">
        <v>28</v>
      </c>
      <c r="U64">
        <v>0</v>
      </c>
      <c r="V64">
        <v>0</v>
      </c>
      <c r="W64" s="1">
        <v>44160</v>
      </c>
      <c r="AA64" t="s">
        <v>40</v>
      </c>
      <c r="AC64" t="s">
        <v>40</v>
      </c>
      <c r="AF64" t="s">
        <v>40</v>
      </c>
      <c r="AG64" t="s">
        <v>40</v>
      </c>
      <c r="AH64" t="s">
        <v>40</v>
      </c>
      <c r="AK64" t="s">
        <v>40</v>
      </c>
    </row>
    <row r="65" spans="1:37" x14ac:dyDescent="0.3">
      <c r="A65">
        <v>2019</v>
      </c>
      <c r="B65">
        <v>1</v>
      </c>
      <c r="C65" t="str">
        <f t="shared" si="0"/>
        <v>1/01/2019</v>
      </c>
      <c r="D65" s="1" t="str">
        <f t="shared" si="1"/>
        <v>1/01/2019</v>
      </c>
      <c r="E65" t="s">
        <v>55</v>
      </c>
      <c r="F65" t="s">
        <v>38</v>
      </c>
      <c r="G65" t="s">
        <v>43</v>
      </c>
      <c r="H65">
        <v>637</v>
      </c>
      <c r="I65">
        <v>386</v>
      </c>
      <c r="K65">
        <v>70</v>
      </c>
      <c r="L65">
        <v>22</v>
      </c>
      <c r="M65">
        <v>0</v>
      </c>
      <c r="N65">
        <v>18</v>
      </c>
      <c r="R65">
        <v>15</v>
      </c>
      <c r="S65">
        <v>71</v>
      </c>
      <c r="T65">
        <v>17</v>
      </c>
      <c r="U65">
        <v>0</v>
      </c>
      <c r="V65">
        <v>0</v>
      </c>
      <c r="W65" s="1">
        <v>44160</v>
      </c>
      <c r="AA65" t="s">
        <v>40</v>
      </c>
      <c r="AF65" t="s">
        <v>40</v>
      </c>
      <c r="AG65" t="s">
        <v>40</v>
      </c>
      <c r="AH65" t="s">
        <v>40</v>
      </c>
    </row>
    <row r="66" spans="1:37" x14ac:dyDescent="0.3">
      <c r="A66">
        <v>2019</v>
      </c>
      <c r="B66">
        <v>1</v>
      </c>
      <c r="C66" t="str">
        <f t="shared" si="0"/>
        <v>1/01/2019</v>
      </c>
      <c r="D66" s="1" t="str">
        <f t="shared" si="1"/>
        <v>1/01/2019</v>
      </c>
      <c r="E66" t="s">
        <v>55</v>
      </c>
      <c r="F66" t="s">
        <v>38</v>
      </c>
      <c r="G66" t="s">
        <v>44</v>
      </c>
      <c r="H66" s="2">
        <v>1150</v>
      </c>
      <c r="I66">
        <v>897</v>
      </c>
      <c r="J66">
        <v>12</v>
      </c>
      <c r="K66">
        <v>189</v>
      </c>
      <c r="L66">
        <v>70</v>
      </c>
      <c r="N66">
        <v>39</v>
      </c>
      <c r="O66">
        <v>11</v>
      </c>
      <c r="P66">
        <v>10</v>
      </c>
      <c r="Q66">
        <v>24</v>
      </c>
      <c r="R66">
        <v>13</v>
      </c>
      <c r="S66">
        <v>181</v>
      </c>
      <c r="T66">
        <v>53</v>
      </c>
      <c r="U66">
        <v>0</v>
      </c>
      <c r="V66">
        <v>0</v>
      </c>
      <c r="W66" s="1">
        <v>44160</v>
      </c>
      <c r="AD66" t="s">
        <v>40</v>
      </c>
    </row>
    <row r="67" spans="1:37" x14ac:dyDescent="0.3">
      <c r="A67">
        <v>2019</v>
      </c>
      <c r="B67">
        <v>1</v>
      </c>
      <c r="C67" t="str">
        <f t="shared" ref="C67:C130" si="2">CONCATENATE(B67,"/01/",A67)</f>
        <v>1/01/2019</v>
      </c>
      <c r="D67" s="1" t="str">
        <f t="shared" ref="D67:D130" si="3">C67</f>
        <v>1/01/2019</v>
      </c>
      <c r="E67" t="s">
        <v>55</v>
      </c>
      <c r="F67" t="s">
        <v>38</v>
      </c>
      <c r="G67" t="s">
        <v>45</v>
      </c>
      <c r="H67">
        <v>54</v>
      </c>
      <c r="I67">
        <v>27</v>
      </c>
      <c r="J67">
        <v>0</v>
      </c>
      <c r="K67">
        <v>12</v>
      </c>
      <c r="M67">
        <v>0</v>
      </c>
      <c r="O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 s="1">
        <v>44160</v>
      </c>
      <c r="AC67" t="s">
        <v>40</v>
      </c>
      <c r="AE67" t="s">
        <v>40</v>
      </c>
      <c r="AG67" t="s">
        <v>40</v>
      </c>
    </row>
    <row r="68" spans="1:37" x14ac:dyDescent="0.3">
      <c r="A68">
        <v>2019</v>
      </c>
      <c r="B68">
        <v>1</v>
      </c>
      <c r="C68" t="str">
        <f t="shared" si="2"/>
        <v>1/01/2019</v>
      </c>
      <c r="D68" s="1" t="str">
        <f t="shared" si="3"/>
        <v>1/01/2019</v>
      </c>
      <c r="E68" t="s">
        <v>55</v>
      </c>
      <c r="F68" t="s">
        <v>38</v>
      </c>
      <c r="G68" t="s">
        <v>46</v>
      </c>
      <c r="H68" s="2">
        <v>1805</v>
      </c>
      <c r="I68" s="2">
        <v>1617</v>
      </c>
      <c r="J68">
        <v>29</v>
      </c>
      <c r="K68">
        <v>403</v>
      </c>
      <c r="L68">
        <v>117</v>
      </c>
      <c r="N68">
        <v>51</v>
      </c>
      <c r="O68">
        <v>29</v>
      </c>
      <c r="P68">
        <v>23</v>
      </c>
      <c r="Q68">
        <v>49</v>
      </c>
      <c r="R68">
        <v>20</v>
      </c>
      <c r="S68">
        <v>402</v>
      </c>
      <c r="T68">
        <v>68</v>
      </c>
      <c r="U68">
        <v>0</v>
      </c>
      <c r="V68">
        <v>0</v>
      </c>
      <c r="W68" s="1">
        <v>44160</v>
      </c>
      <c r="AD68" t="s">
        <v>40</v>
      </c>
    </row>
    <row r="69" spans="1:37" x14ac:dyDescent="0.3">
      <c r="A69">
        <v>2019</v>
      </c>
      <c r="B69">
        <v>1</v>
      </c>
      <c r="C69" t="str">
        <f t="shared" si="2"/>
        <v>1/01/2019</v>
      </c>
      <c r="D69" s="1" t="str">
        <f t="shared" si="3"/>
        <v>1/01/2019</v>
      </c>
      <c r="E69" t="s">
        <v>55</v>
      </c>
      <c r="F69" t="s">
        <v>38</v>
      </c>
      <c r="G69" t="s">
        <v>47</v>
      </c>
      <c r="H69" s="2">
        <v>2007</v>
      </c>
      <c r="I69" s="2">
        <v>1919</v>
      </c>
      <c r="J69">
        <v>33</v>
      </c>
      <c r="K69">
        <v>545</v>
      </c>
      <c r="L69">
        <v>140</v>
      </c>
      <c r="M69">
        <v>15</v>
      </c>
      <c r="N69">
        <v>53</v>
      </c>
      <c r="O69">
        <v>52</v>
      </c>
      <c r="P69">
        <v>42</v>
      </c>
      <c r="Q69">
        <v>65</v>
      </c>
      <c r="S69">
        <v>495</v>
      </c>
      <c r="T69">
        <v>111</v>
      </c>
      <c r="U69">
        <v>0</v>
      </c>
      <c r="V69">
        <v>0</v>
      </c>
      <c r="W69" s="1">
        <v>44160</v>
      </c>
      <c r="AI69" t="s">
        <v>40</v>
      </c>
    </row>
    <row r="70" spans="1:37" x14ac:dyDescent="0.3">
      <c r="A70">
        <v>2019</v>
      </c>
      <c r="B70">
        <v>1</v>
      </c>
      <c r="C70" t="str">
        <f t="shared" si="2"/>
        <v>1/01/2019</v>
      </c>
      <c r="D70" s="1" t="str">
        <f t="shared" si="3"/>
        <v>1/01/2019</v>
      </c>
      <c r="E70" t="s">
        <v>55</v>
      </c>
      <c r="F70" t="s">
        <v>38</v>
      </c>
      <c r="G70" t="s">
        <v>48</v>
      </c>
      <c r="H70" s="2">
        <v>1980</v>
      </c>
      <c r="I70" s="2">
        <v>1919</v>
      </c>
      <c r="J70">
        <v>29</v>
      </c>
      <c r="K70">
        <v>434</v>
      </c>
      <c r="L70">
        <v>120</v>
      </c>
      <c r="M70">
        <v>81</v>
      </c>
      <c r="N70">
        <v>63</v>
      </c>
      <c r="O70">
        <v>103</v>
      </c>
      <c r="P70">
        <v>48</v>
      </c>
      <c r="Q70">
        <v>56</v>
      </c>
      <c r="R70">
        <v>10</v>
      </c>
      <c r="S70">
        <v>481</v>
      </c>
      <c r="T70">
        <v>131</v>
      </c>
      <c r="U70">
        <v>0</v>
      </c>
      <c r="V70">
        <v>0</v>
      </c>
      <c r="W70" s="1">
        <v>44160</v>
      </c>
    </row>
    <row r="71" spans="1:37" x14ac:dyDescent="0.3">
      <c r="A71">
        <v>2019</v>
      </c>
      <c r="B71">
        <v>1</v>
      </c>
      <c r="C71" t="str">
        <f t="shared" si="2"/>
        <v>1/01/2019</v>
      </c>
      <c r="D71" s="1" t="str">
        <f t="shared" si="3"/>
        <v>1/01/2019</v>
      </c>
      <c r="E71" t="s">
        <v>55</v>
      </c>
      <c r="F71" t="s">
        <v>38</v>
      </c>
      <c r="G71" t="s">
        <v>49</v>
      </c>
      <c r="H71" s="2">
        <v>1799</v>
      </c>
      <c r="I71" s="2">
        <v>1750</v>
      </c>
      <c r="J71">
        <v>19</v>
      </c>
      <c r="K71">
        <v>257</v>
      </c>
      <c r="L71">
        <v>81</v>
      </c>
      <c r="M71">
        <v>128</v>
      </c>
      <c r="N71">
        <v>54</v>
      </c>
      <c r="O71">
        <v>94</v>
      </c>
      <c r="P71">
        <v>27</v>
      </c>
      <c r="Q71">
        <v>41</v>
      </c>
      <c r="R71">
        <v>10</v>
      </c>
      <c r="S71">
        <v>537</v>
      </c>
      <c r="T71">
        <v>139</v>
      </c>
      <c r="U71">
        <v>0</v>
      </c>
      <c r="V71">
        <v>0</v>
      </c>
      <c r="W71" s="1">
        <v>44160</v>
      </c>
    </row>
    <row r="72" spans="1:37" x14ac:dyDescent="0.3">
      <c r="A72">
        <v>2019</v>
      </c>
      <c r="B72">
        <v>1</v>
      </c>
      <c r="C72" t="str">
        <f t="shared" si="2"/>
        <v>1/01/2019</v>
      </c>
      <c r="D72" s="1" t="str">
        <f t="shared" si="3"/>
        <v>1/01/2019</v>
      </c>
      <c r="E72" t="s">
        <v>55</v>
      </c>
      <c r="F72" t="s">
        <v>50</v>
      </c>
      <c r="G72" t="s">
        <v>39</v>
      </c>
      <c r="H72">
        <v>22</v>
      </c>
      <c r="I72">
        <v>20</v>
      </c>
      <c r="J72">
        <v>0</v>
      </c>
      <c r="K72">
        <v>0</v>
      </c>
      <c r="L72">
        <v>0</v>
      </c>
      <c r="M72">
        <v>0</v>
      </c>
      <c r="O72">
        <v>0</v>
      </c>
      <c r="P72">
        <v>0</v>
      </c>
      <c r="Q72">
        <v>0</v>
      </c>
      <c r="S72">
        <v>0</v>
      </c>
      <c r="U72">
        <v>0</v>
      </c>
      <c r="V72">
        <v>0</v>
      </c>
      <c r="W72" s="1">
        <v>44160</v>
      </c>
      <c r="AE72" t="s">
        <v>40</v>
      </c>
      <c r="AI72" t="s">
        <v>40</v>
      </c>
      <c r="AK72" t="s">
        <v>40</v>
      </c>
    </row>
    <row r="73" spans="1:37" x14ac:dyDescent="0.3">
      <c r="A73">
        <v>2019</v>
      </c>
      <c r="B73">
        <v>1</v>
      </c>
      <c r="C73" t="str">
        <f t="shared" si="2"/>
        <v>1/01/2019</v>
      </c>
      <c r="D73" s="1" t="str">
        <f t="shared" si="3"/>
        <v>1/01/2019</v>
      </c>
      <c r="E73" t="s">
        <v>55</v>
      </c>
      <c r="F73" t="s">
        <v>50</v>
      </c>
      <c r="G73" t="s">
        <v>41</v>
      </c>
      <c r="H73">
        <v>22</v>
      </c>
      <c r="J73">
        <v>0</v>
      </c>
      <c r="K73">
        <v>0</v>
      </c>
      <c r="L73">
        <v>0</v>
      </c>
      <c r="M73">
        <v>0</v>
      </c>
      <c r="O73">
        <v>0</v>
      </c>
      <c r="Q73">
        <v>0</v>
      </c>
      <c r="R73">
        <v>0</v>
      </c>
      <c r="T73">
        <v>0</v>
      </c>
      <c r="U73">
        <v>0</v>
      </c>
      <c r="V73">
        <v>0</v>
      </c>
      <c r="W73" s="1">
        <v>44160</v>
      </c>
      <c r="Z73" t="s">
        <v>40</v>
      </c>
      <c r="AE73" t="s">
        <v>40</v>
      </c>
      <c r="AG73" t="s">
        <v>40</v>
      </c>
      <c r="AJ73" t="s">
        <v>40</v>
      </c>
    </row>
    <row r="74" spans="1:37" x14ac:dyDescent="0.3">
      <c r="A74">
        <v>2019</v>
      </c>
      <c r="B74">
        <v>1</v>
      </c>
      <c r="C74" t="str">
        <f t="shared" si="2"/>
        <v>1/01/2019</v>
      </c>
      <c r="D74" s="1" t="str">
        <f t="shared" si="3"/>
        <v>1/01/2019</v>
      </c>
      <c r="E74" t="s">
        <v>55</v>
      </c>
      <c r="F74" t="s">
        <v>50</v>
      </c>
      <c r="G74" t="s">
        <v>42</v>
      </c>
      <c r="H74">
        <v>55</v>
      </c>
      <c r="I74">
        <v>23</v>
      </c>
      <c r="M74">
        <v>0</v>
      </c>
      <c r="O74">
        <v>0</v>
      </c>
      <c r="P74">
        <v>0</v>
      </c>
      <c r="Q74">
        <v>0</v>
      </c>
      <c r="R74">
        <v>0</v>
      </c>
      <c r="U74">
        <v>0</v>
      </c>
      <c r="V74">
        <v>0</v>
      </c>
      <c r="W74" s="1">
        <v>44160</v>
      </c>
      <c r="AA74" t="s">
        <v>40</v>
      </c>
      <c r="AB74" t="s">
        <v>40</v>
      </c>
      <c r="AC74" t="s">
        <v>40</v>
      </c>
      <c r="AE74" t="s">
        <v>40</v>
      </c>
      <c r="AJ74" t="s">
        <v>40</v>
      </c>
      <c r="AK74" t="s">
        <v>40</v>
      </c>
    </row>
    <row r="75" spans="1:37" x14ac:dyDescent="0.3">
      <c r="A75">
        <v>2019</v>
      </c>
      <c r="B75">
        <v>1</v>
      </c>
      <c r="C75" t="str">
        <f t="shared" si="2"/>
        <v>1/01/2019</v>
      </c>
      <c r="D75" s="1" t="str">
        <f t="shared" si="3"/>
        <v>1/01/2019</v>
      </c>
      <c r="E75" t="s">
        <v>55</v>
      </c>
      <c r="F75" t="s">
        <v>50</v>
      </c>
      <c r="G75" t="s">
        <v>43</v>
      </c>
      <c r="H75">
        <v>73</v>
      </c>
      <c r="I75">
        <v>35</v>
      </c>
      <c r="M75">
        <v>0</v>
      </c>
      <c r="O75">
        <v>0</v>
      </c>
      <c r="P75">
        <v>0</v>
      </c>
      <c r="T75">
        <v>0</v>
      </c>
      <c r="U75">
        <v>0</v>
      </c>
      <c r="V75">
        <v>0</v>
      </c>
      <c r="W75" s="1">
        <v>44160</v>
      </c>
      <c r="AA75" t="s">
        <v>40</v>
      </c>
      <c r="AB75" t="s">
        <v>40</v>
      </c>
      <c r="AC75" t="s">
        <v>40</v>
      </c>
      <c r="AE75" t="s">
        <v>40</v>
      </c>
      <c r="AH75" t="s">
        <v>40</v>
      </c>
      <c r="AI75" t="s">
        <v>40</v>
      </c>
      <c r="AJ75" t="s">
        <v>40</v>
      </c>
    </row>
    <row r="76" spans="1:37" x14ac:dyDescent="0.3">
      <c r="A76">
        <v>2019</v>
      </c>
      <c r="B76">
        <v>1</v>
      </c>
      <c r="C76" t="str">
        <f t="shared" si="2"/>
        <v>1/01/2019</v>
      </c>
      <c r="D76" s="1" t="str">
        <f t="shared" si="3"/>
        <v>1/01/2019</v>
      </c>
      <c r="E76" t="s">
        <v>55</v>
      </c>
      <c r="F76" t="s">
        <v>50</v>
      </c>
      <c r="G76" t="s">
        <v>44</v>
      </c>
      <c r="H76">
        <v>125</v>
      </c>
      <c r="I76">
        <v>88</v>
      </c>
      <c r="K76">
        <v>11</v>
      </c>
      <c r="L76">
        <v>12</v>
      </c>
      <c r="M76">
        <v>0</v>
      </c>
      <c r="S76">
        <v>18</v>
      </c>
      <c r="U76">
        <v>0</v>
      </c>
      <c r="V76">
        <v>0</v>
      </c>
      <c r="W76" s="1">
        <v>44160</v>
      </c>
      <c r="AA76" t="s">
        <v>40</v>
      </c>
      <c r="AE76" t="s">
        <v>40</v>
      </c>
      <c r="AF76" t="s">
        <v>40</v>
      </c>
      <c r="AG76" t="s">
        <v>40</v>
      </c>
      <c r="AH76" t="s">
        <v>40</v>
      </c>
      <c r="AI76" t="s">
        <v>40</v>
      </c>
      <c r="AK76" t="s">
        <v>40</v>
      </c>
    </row>
    <row r="77" spans="1:37" x14ac:dyDescent="0.3">
      <c r="A77">
        <v>2019</v>
      </c>
      <c r="B77">
        <v>1</v>
      </c>
      <c r="C77" t="str">
        <f t="shared" si="2"/>
        <v>1/01/2019</v>
      </c>
      <c r="D77" s="1" t="str">
        <f t="shared" si="3"/>
        <v>1/01/2019</v>
      </c>
      <c r="E77" t="s">
        <v>55</v>
      </c>
      <c r="F77" t="s">
        <v>50</v>
      </c>
      <c r="G77" t="s">
        <v>45</v>
      </c>
      <c r="J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 s="1">
        <v>44160</v>
      </c>
      <c r="Y77" t="s">
        <v>40</v>
      </c>
      <c r="Z77" t="s">
        <v>40</v>
      </c>
      <c r="AB77" t="s">
        <v>40</v>
      </c>
    </row>
    <row r="78" spans="1:37" x14ac:dyDescent="0.3">
      <c r="A78">
        <v>2019</v>
      </c>
      <c r="B78">
        <v>1</v>
      </c>
      <c r="C78" t="str">
        <f t="shared" si="2"/>
        <v>1/01/2019</v>
      </c>
      <c r="D78" s="1" t="str">
        <f t="shared" si="3"/>
        <v>1/01/2019</v>
      </c>
      <c r="E78" t="s">
        <v>55</v>
      </c>
      <c r="F78" t="s">
        <v>50</v>
      </c>
      <c r="G78" t="s">
        <v>46</v>
      </c>
      <c r="H78">
        <v>170</v>
      </c>
      <c r="I78">
        <v>150</v>
      </c>
      <c r="K78">
        <v>33</v>
      </c>
      <c r="L78">
        <v>12</v>
      </c>
      <c r="M78">
        <v>0</v>
      </c>
      <c r="S78">
        <v>38</v>
      </c>
      <c r="U78">
        <v>0</v>
      </c>
      <c r="V78">
        <v>0</v>
      </c>
      <c r="W78" s="1">
        <v>44160</v>
      </c>
      <c r="AA78" t="s">
        <v>40</v>
      </c>
      <c r="AE78" t="s">
        <v>40</v>
      </c>
      <c r="AF78" t="s">
        <v>40</v>
      </c>
      <c r="AG78" t="s">
        <v>40</v>
      </c>
      <c r="AH78" t="s">
        <v>40</v>
      </c>
      <c r="AI78" t="s">
        <v>40</v>
      </c>
      <c r="AK78" t="s">
        <v>40</v>
      </c>
    </row>
    <row r="79" spans="1:37" x14ac:dyDescent="0.3">
      <c r="A79">
        <v>2019</v>
      </c>
      <c r="B79">
        <v>1</v>
      </c>
      <c r="C79" t="str">
        <f t="shared" si="2"/>
        <v>1/01/2019</v>
      </c>
      <c r="D79" s="1" t="str">
        <f t="shared" si="3"/>
        <v>1/01/2019</v>
      </c>
      <c r="E79" t="s">
        <v>55</v>
      </c>
      <c r="F79" t="s">
        <v>50</v>
      </c>
      <c r="G79" t="s">
        <v>47</v>
      </c>
      <c r="H79">
        <v>187</v>
      </c>
      <c r="I79">
        <v>174</v>
      </c>
      <c r="K79">
        <v>41</v>
      </c>
      <c r="L79">
        <v>17</v>
      </c>
      <c r="M79">
        <v>0</v>
      </c>
      <c r="O79">
        <v>15</v>
      </c>
      <c r="Q79">
        <v>0</v>
      </c>
      <c r="S79">
        <v>40</v>
      </c>
      <c r="T79">
        <v>10</v>
      </c>
      <c r="U79">
        <v>0</v>
      </c>
      <c r="V79">
        <v>0</v>
      </c>
      <c r="W79" s="1">
        <v>44160</v>
      </c>
      <c r="AA79" t="s">
        <v>40</v>
      </c>
      <c r="AE79" t="s">
        <v>40</v>
      </c>
      <c r="AG79" t="s">
        <v>40</v>
      </c>
      <c r="AI79" t="s">
        <v>40</v>
      </c>
    </row>
    <row r="80" spans="1:37" x14ac:dyDescent="0.3">
      <c r="A80">
        <v>2019</v>
      </c>
      <c r="B80">
        <v>1</v>
      </c>
      <c r="C80" t="str">
        <f t="shared" si="2"/>
        <v>1/01/2019</v>
      </c>
      <c r="D80" s="1" t="str">
        <f t="shared" si="3"/>
        <v>1/01/2019</v>
      </c>
      <c r="E80" t="s">
        <v>55</v>
      </c>
      <c r="F80" t="s">
        <v>50</v>
      </c>
      <c r="G80" t="s">
        <v>48</v>
      </c>
      <c r="H80">
        <v>147</v>
      </c>
      <c r="I80">
        <v>146</v>
      </c>
      <c r="K80">
        <v>30</v>
      </c>
      <c r="L80">
        <v>11</v>
      </c>
      <c r="O80">
        <v>11</v>
      </c>
      <c r="R80">
        <v>0</v>
      </c>
      <c r="S80">
        <v>38</v>
      </c>
      <c r="U80">
        <v>0</v>
      </c>
      <c r="V80">
        <v>0</v>
      </c>
      <c r="W80" s="1">
        <v>44160</v>
      </c>
      <c r="AA80" t="s">
        <v>40</v>
      </c>
      <c r="AD80" t="s">
        <v>40</v>
      </c>
      <c r="AE80" t="s">
        <v>40</v>
      </c>
      <c r="AG80" t="s">
        <v>40</v>
      </c>
      <c r="AH80" t="s">
        <v>40</v>
      </c>
      <c r="AK80" t="s">
        <v>40</v>
      </c>
    </row>
    <row r="81" spans="1:37" x14ac:dyDescent="0.3">
      <c r="A81">
        <v>2019</v>
      </c>
      <c r="B81">
        <v>1</v>
      </c>
      <c r="C81" t="str">
        <f t="shared" si="2"/>
        <v>1/01/2019</v>
      </c>
      <c r="D81" s="1" t="str">
        <f t="shared" si="3"/>
        <v>1/01/2019</v>
      </c>
      <c r="E81" t="s">
        <v>55</v>
      </c>
      <c r="F81" t="s">
        <v>50</v>
      </c>
      <c r="G81" t="s">
        <v>49</v>
      </c>
      <c r="H81">
        <v>75</v>
      </c>
      <c r="I81">
        <v>71</v>
      </c>
      <c r="K81">
        <v>12</v>
      </c>
      <c r="N81">
        <v>0</v>
      </c>
      <c r="R81">
        <v>0</v>
      </c>
      <c r="S81">
        <v>24</v>
      </c>
      <c r="U81">
        <v>0</v>
      </c>
      <c r="V81">
        <v>0</v>
      </c>
      <c r="W81" s="1">
        <v>44160</v>
      </c>
      <c r="AA81" t="s">
        <v>40</v>
      </c>
      <c r="AC81" t="s">
        <v>40</v>
      </c>
      <c r="AD81" t="s">
        <v>40</v>
      </c>
      <c r="AF81" t="s">
        <v>40</v>
      </c>
      <c r="AG81" t="s">
        <v>40</v>
      </c>
      <c r="AH81" t="s">
        <v>40</v>
      </c>
      <c r="AK81" t="s">
        <v>40</v>
      </c>
    </row>
    <row r="82" spans="1:37" x14ac:dyDescent="0.3">
      <c r="A82">
        <v>2019</v>
      </c>
      <c r="B82">
        <v>1</v>
      </c>
      <c r="C82" t="str">
        <f t="shared" si="2"/>
        <v>1/01/2019</v>
      </c>
      <c r="D82" s="1" t="str">
        <f t="shared" si="3"/>
        <v>1/01/2019</v>
      </c>
      <c r="E82" t="s">
        <v>55</v>
      </c>
      <c r="F82" t="s">
        <v>51</v>
      </c>
      <c r="G82" t="s">
        <v>39</v>
      </c>
      <c r="H82">
        <v>45</v>
      </c>
      <c r="I82">
        <v>43</v>
      </c>
      <c r="K82">
        <v>0</v>
      </c>
      <c r="L82">
        <v>0</v>
      </c>
      <c r="M82">
        <v>0</v>
      </c>
      <c r="O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 s="1">
        <v>44160</v>
      </c>
      <c r="AA82" t="s">
        <v>40</v>
      </c>
      <c r="AE82" t="s">
        <v>40</v>
      </c>
      <c r="AG82" t="s">
        <v>40</v>
      </c>
    </row>
    <row r="83" spans="1:37" x14ac:dyDescent="0.3">
      <c r="A83">
        <v>2019</v>
      </c>
      <c r="B83">
        <v>1</v>
      </c>
      <c r="C83" t="str">
        <f t="shared" si="2"/>
        <v>1/01/2019</v>
      </c>
      <c r="D83" s="1" t="str">
        <f t="shared" si="3"/>
        <v>1/01/2019</v>
      </c>
      <c r="E83" t="s">
        <v>55</v>
      </c>
      <c r="F83" t="s">
        <v>51</v>
      </c>
      <c r="G83" t="s">
        <v>41</v>
      </c>
      <c r="H83">
        <v>48</v>
      </c>
      <c r="I83">
        <v>19</v>
      </c>
      <c r="J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T83">
        <v>0</v>
      </c>
      <c r="U83">
        <v>0</v>
      </c>
      <c r="V83">
        <v>0</v>
      </c>
      <c r="W83" s="1">
        <v>44160</v>
      </c>
      <c r="AB83" t="s">
        <v>40</v>
      </c>
      <c r="AJ83" t="s">
        <v>40</v>
      </c>
    </row>
    <row r="84" spans="1:37" x14ac:dyDescent="0.3">
      <c r="A84">
        <v>2019</v>
      </c>
      <c r="B84">
        <v>1</v>
      </c>
      <c r="C84" t="str">
        <f t="shared" si="2"/>
        <v>1/01/2019</v>
      </c>
      <c r="D84" s="1" t="str">
        <f t="shared" si="3"/>
        <v>1/01/2019</v>
      </c>
      <c r="E84" t="s">
        <v>55</v>
      </c>
      <c r="F84" t="s">
        <v>51</v>
      </c>
      <c r="G84" t="s">
        <v>42</v>
      </c>
      <c r="H84">
        <v>65</v>
      </c>
      <c r="I84">
        <v>29</v>
      </c>
      <c r="J84">
        <v>0</v>
      </c>
      <c r="M84">
        <v>0</v>
      </c>
      <c r="O84">
        <v>0</v>
      </c>
      <c r="P84">
        <v>0</v>
      </c>
      <c r="Q84">
        <v>0</v>
      </c>
      <c r="U84">
        <v>0</v>
      </c>
      <c r="V84">
        <v>0</v>
      </c>
      <c r="W84" s="1">
        <v>44160</v>
      </c>
      <c r="AB84" t="s">
        <v>40</v>
      </c>
      <c r="AC84" t="s">
        <v>40</v>
      </c>
      <c r="AE84" t="s">
        <v>40</v>
      </c>
      <c r="AI84" t="s">
        <v>40</v>
      </c>
      <c r="AJ84" t="s">
        <v>40</v>
      </c>
      <c r="AK84" t="s">
        <v>40</v>
      </c>
    </row>
    <row r="85" spans="1:37" x14ac:dyDescent="0.3">
      <c r="A85">
        <v>2019</v>
      </c>
      <c r="B85">
        <v>1</v>
      </c>
      <c r="C85" t="str">
        <f t="shared" si="2"/>
        <v>1/01/2019</v>
      </c>
      <c r="D85" s="1" t="str">
        <f t="shared" si="3"/>
        <v>1/01/2019</v>
      </c>
      <c r="E85" t="s">
        <v>55</v>
      </c>
      <c r="F85" t="s">
        <v>51</v>
      </c>
      <c r="G85" t="s">
        <v>43</v>
      </c>
      <c r="H85">
        <v>109</v>
      </c>
      <c r="I85">
        <v>65</v>
      </c>
      <c r="K85">
        <v>13</v>
      </c>
      <c r="L85">
        <v>0</v>
      </c>
      <c r="M85">
        <v>0</v>
      </c>
      <c r="P85">
        <v>0</v>
      </c>
      <c r="S85">
        <v>18</v>
      </c>
      <c r="U85">
        <v>0</v>
      </c>
      <c r="V85">
        <v>0</v>
      </c>
      <c r="W85" s="1">
        <v>44160</v>
      </c>
      <c r="AA85" t="s">
        <v>40</v>
      </c>
      <c r="AE85" t="s">
        <v>40</v>
      </c>
      <c r="AF85" t="s">
        <v>40</v>
      </c>
      <c r="AH85" t="s">
        <v>40</v>
      </c>
      <c r="AI85" t="s">
        <v>40</v>
      </c>
      <c r="AK85" t="s">
        <v>40</v>
      </c>
    </row>
    <row r="86" spans="1:37" x14ac:dyDescent="0.3">
      <c r="A86">
        <v>2019</v>
      </c>
      <c r="B86">
        <v>1</v>
      </c>
      <c r="C86" t="str">
        <f t="shared" si="2"/>
        <v>1/01/2019</v>
      </c>
      <c r="D86" s="1" t="str">
        <f t="shared" si="3"/>
        <v>1/01/2019</v>
      </c>
      <c r="E86" t="s">
        <v>55</v>
      </c>
      <c r="F86" t="s">
        <v>51</v>
      </c>
      <c r="G86" t="s">
        <v>44</v>
      </c>
      <c r="H86">
        <v>222</v>
      </c>
      <c r="I86">
        <v>189</v>
      </c>
      <c r="K86">
        <v>40</v>
      </c>
      <c r="L86">
        <v>18</v>
      </c>
      <c r="M86">
        <v>0</v>
      </c>
      <c r="S86">
        <v>54</v>
      </c>
      <c r="T86">
        <v>11</v>
      </c>
      <c r="U86">
        <v>0</v>
      </c>
      <c r="V86">
        <v>0</v>
      </c>
      <c r="W86" s="1">
        <v>44160</v>
      </c>
      <c r="AA86" t="s">
        <v>40</v>
      </c>
      <c r="AE86" t="s">
        <v>40</v>
      </c>
      <c r="AF86" t="s">
        <v>40</v>
      </c>
      <c r="AG86" t="s">
        <v>40</v>
      </c>
      <c r="AH86" t="s">
        <v>40</v>
      </c>
      <c r="AI86" t="s">
        <v>40</v>
      </c>
    </row>
    <row r="87" spans="1:37" x14ac:dyDescent="0.3">
      <c r="A87">
        <v>2019</v>
      </c>
      <c r="B87">
        <v>1</v>
      </c>
      <c r="C87" t="str">
        <f t="shared" si="2"/>
        <v>1/01/2019</v>
      </c>
      <c r="D87" s="1" t="str">
        <f t="shared" si="3"/>
        <v>1/01/2019</v>
      </c>
      <c r="E87" t="s">
        <v>55</v>
      </c>
      <c r="F87" t="s">
        <v>51</v>
      </c>
      <c r="G87" t="s">
        <v>45</v>
      </c>
      <c r="H87">
        <v>11</v>
      </c>
      <c r="J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T87">
        <v>0</v>
      </c>
      <c r="U87">
        <v>0</v>
      </c>
      <c r="V87">
        <v>0</v>
      </c>
      <c r="W87" s="1">
        <v>44160</v>
      </c>
      <c r="Z87" t="s">
        <v>40</v>
      </c>
      <c r="AB87" t="s">
        <v>40</v>
      </c>
      <c r="AI87" t="s">
        <v>40</v>
      </c>
      <c r="AJ87" t="s">
        <v>40</v>
      </c>
    </row>
    <row r="88" spans="1:37" x14ac:dyDescent="0.3">
      <c r="A88">
        <v>2019</v>
      </c>
      <c r="B88">
        <v>1</v>
      </c>
      <c r="C88" t="str">
        <f t="shared" si="2"/>
        <v>1/01/2019</v>
      </c>
      <c r="D88" s="1" t="str">
        <f t="shared" si="3"/>
        <v>1/01/2019</v>
      </c>
      <c r="E88" t="s">
        <v>55</v>
      </c>
      <c r="F88" t="s">
        <v>51</v>
      </c>
      <c r="G88" t="s">
        <v>46</v>
      </c>
      <c r="H88">
        <v>488</v>
      </c>
      <c r="I88">
        <v>449</v>
      </c>
      <c r="K88">
        <v>164</v>
      </c>
      <c r="L88">
        <v>28</v>
      </c>
      <c r="M88">
        <v>0</v>
      </c>
      <c r="N88">
        <v>12</v>
      </c>
      <c r="S88">
        <v>128</v>
      </c>
      <c r="T88">
        <v>20</v>
      </c>
      <c r="U88">
        <v>0</v>
      </c>
      <c r="V88">
        <v>0</v>
      </c>
      <c r="W88" s="1">
        <v>44160</v>
      </c>
      <c r="AA88" t="s">
        <v>40</v>
      </c>
      <c r="AF88" t="s">
        <v>40</v>
      </c>
      <c r="AG88" t="s">
        <v>40</v>
      </c>
      <c r="AH88" t="s">
        <v>40</v>
      </c>
      <c r="AI88" t="s">
        <v>40</v>
      </c>
    </row>
    <row r="89" spans="1:37" x14ac:dyDescent="0.3">
      <c r="A89">
        <v>2019</v>
      </c>
      <c r="B89">
        <v>1</v>
      </c>
      <c r="C89" t="str">
        <f t="shared" si="2"/>
        <v>1/01/2019</v>
      </c>
      <c r="D89" s="1" t="str">
        <f t="shared" si="3"/>
        <v>1/01/2019</v>
      </c>
      <c r="E89" t="s">
        <v>55</v>
      </c>
      <c r="F89" t="s">
        <v>51</v>
      </c>
      <c r="G89" t="s">
        <v>47</v>
      </c>
      <c r="H89">
        <v>578</v>
      </c>
      <c r="I89">
        <v>546</v>
      </c>
      <c r="K89">
        <v>195</v>
      </c>
      <c r="L89">
        <v>22</v>
      </c>
      <c r="N89">
        <v>17</v>
      </c>
      <c r="O89">
        <v>10</v>
      </c>
      <c r="Q89">
        <v>12</v>
      </c>
      <c r="S89">
        <v>148</v>
      </c>
      <c r="T89">
        <v>36</v>
      </c>
      <c r="U89">
        <v>0</v>
      </c>
      <c r="V89">
        <v>0</v>
      </c>
      <c r="W89" s="1">
        <v>44160</v>
      </c>
      <c r="AA89" t="s">
        <v>40</v>
      </c>
      <c r="AD89" t="s">
        <v>40</v>
      </c>
      <c r="AG89" t="s">
        <v>40</v>
      </c>
      <c r="AI89" t="s">
        <v>40</v>
      </c>
    </row>
    <row r="90" spans="1:37" x14ac:dyDescent="0.3">
      <c r="A90">
        <v>2019</v>
      </c>
      <c r="B90">
        <v>1</v>
      </c>
      <c r="C90" t="str">
        <f t="shared" si="2"/>
        <v>1/01/2019</v>
      </c>
      <c r="D90" s="1" t="str">
        <f t="shared" si="3"/>
        <v>1/01/2019</v>
      </c>
      <c r="E90" t="s">
        <v>55</v>
      </c>
      <c r="F90" t="s">
        <v>51</v>
      </c>
      <c r="G90" t="s">
        <v>48</v>
      </c>
      <c r="H90">
        <v>848</v>
      </c>
      <c r="I90">
        <v>820</v>
      </c>
      <c r="J90">
        <v>13</v>
      </c>
      <c r="K90">
        <v>195</v>
      </c>
      <c r="L90">
        <v>49</v>
      </c>
      <c r="M90">
        <v>26</v>
      </c>
      <c r="N90">
        <v>37</v>
      </c>
      <c r="O90">
        <v>36</v>
      </c>
      <c r="P90">
        <v>14</v>
      </c>
      <c r="Q90">
        <v>27</v>
      </c>
      <c r="S90">
        <v>218</v>
      </c>
      <c r="T90">
        <v>57</v>
      </c>
      <c r="U90">
        <v>0</v>
      </c>
      <c r="V90">
        <v>0</v>
      </c>
      <c r="W90" s="1">
        <v>44160</v>
      </c>
      <c r="AI90" t="s">
        <v>40</v>
      </c>
    </row>
    <row r="91" spans="1:37" x14ac:dyDescent="0.3">
      <c r="A91">
        <v>2019</v>
      </c>
      <c r="B91">
        <v>1</v>
      </c>
      <c r="C91" t="str">
        <f t="shared" si="2"/>
        <v>1/01/2019</v>
      </c>
      <c r="D91" s="1" t="str">
        <f t="shared" si="3"/>
        <v>1/01/2019</v>
      </c>
      <c r="E91" t="s">
        <v>55</v>
      </c>
      <c r="F91" t="s">
        <v>51</v>
      </c>
      <c r="G91" t="s">
        <v>49</v>
      </c>
      <c r="H91">
        <v>879</v>
      </c>
      <c r="I91">
        <v>845</v>
      </c>
      <c r="K91">
        <v>120</v>
      </c>
      <c r="L91">
        <v>47</v>
      </c>
      <c r="M91">
        <v>47</v>
      </c>
      <c r="N91">
        <v>49</v>
      </c>
      <c r="O91">
        <v>54</v>
      </c>
      <c r="Q91">
        <v>14</v>
      </c>
      <c r="R91">
        <v>10</v>
      </c>
      <c r="S91">
        <v>241</v>
      </c>
      <c r="T91">
        <v>66</v>
      </c>
      <c r="U91">
        <v>0</v>
      </c>
      <c r="V91">
        <v>0</v>
      </c>
      <c r="W91" s="1">
        <v>44160</v>
      </c>
      <c r="AA91" t="s">
        <v>40</v>
      </c>
      <c r="AG91" t="s">
        <v>40</v>
      </c>
    </row>
    <row r="92" spans="1:37" x14ac:dyDescent="0.3">
      <c r="A92">
        <v>2019</v>
      </c>
      <c r="B92">
        <v>1</v>
      </c>
      <c r="C92" t="str">
        <f t="shared" si="2"/>
        <v>1/01/2019</v>
      </c>
      <c r="D92" s="1" t="str">
        <f t="shared" si="3"/>
        <v>1/01/2019</v>
      </c>
      <c r="E92" t="s">
        <v>55</v>
      </c>
      <c r="F92" t="s">
        <v>52</v>
      </c>
      <c r="G92" t="s">
        <v>39</v>
      </c>
      <c r="H92">
        <v>289</v>
      </c>
      <c r="I92">
        <v>242</v>
      </c>
      <c r="L92">
        <v>0</v>
      </c>
      <c r="M92">
        <v>0</v>
      </c>
      <c r="Q92">
        <v>0</v>
      </c>
      <c r="R92">
        <v>40</v>
      </c>
      <c r="T92">
        <v>0</v>
      </c>
      <c r="U92">
        <v>0</v>
      </c>
      <c r="V92">
        <v>0</v>
      </c>
      <c r="W92" s="1">
        <v>44160</v>
      </c>
      <c r="AA92" t="s">
        <v>40</v>
      </c>
      <c r="AB92" t="s">
        <v>40</v>
      </c>
      <c r="AE92" t="s">
        <v>40</v>
      </c>
      <c r="AF92" t="s">
        <v>40</v>
      </c>
      <c r="AG92" t="s">
        <v>40</v>
      </c>
      <c r="AJ92" t="s">
        <v>40</v>
      </c>
    </row>
    <row r="93" spans="1:37" x14ac:dyDescent="0.3">
      <c r="A93">
        <v>2019</v>
      </c>
      <c r="B93">
        <v>1</v>
      </c>
      <c r="C93" t="str">
        <f t="shared" si="2"/>
        <v>1/01/2019</v>
      </c>
      <c r="D93" s="1" t="str">
        <f t="shared" si="3"/>
        <v>1/01/2019</v>
      </c>
      <c r="E93" t="s">
        <v>55</v>
      </c>
      <c r="F93" t="s">
        <v>52</v>
      </c>
      <c r="G93" t="s">
        <v>41</v>
      </c>
      <c r="H93">
        <v>401</v>
      </c>
      <c r="I93">
        <v>73</v>
      </c>
      <c r="K93">
        <v>12</v>
      </c>
      <c r="M93">
        <v>0</v>
      </c>
      <c r="P93">
        <v>0</v>
      </c>
      <c r="Q93">
        <v>0</v>
      </c>
      <c r="S93">
        <v>12</v>
      </c>
      <c r="U93">
        <v>0</v>
      </c>
      <c r="V93">
        <v>0</v>
      </c>
      <c r="W93" s="1">
        <v>44160</v>
      </c>
      <c r="AA93" t="s">
        <v>40</v>
      </c>
      <c r="AC93" t="s">
        <v>40</v>
      </c>
      <c r="AE93" t="s">
        <v>40</v>
      </c>
      <c r="AF93" t="s">
        <v>40</v>
      </c>
      <c r="AI93" t="s">
        <v>40</v>
      </c>
      <c r="AK93" t="s">
        <v>40</v>
      </c>
    </row>
    <row r="94" spans="1:37" x14ac:dyDescent="0.3">
      <c r="A94">
        <v>2019</v>
      </c>
      <c r="B94">
        <v>1</v>
      </c>
      <c r="C94" t="str">
        <f t="shared" si="2"/>
        <v>1/01/2019</v>
      </c>
      <c r="D94" s="1" t="str">
        <f t="shared" si="3"/>
        <v>1/01/2019</v>
      </c>
      <c r="E94" t="s">
        <v>55</v>
      </c>
      <c r="F94" t="s">
        <v>52</v>
      </c>
      <c r="G94" t="s">
        <v>42</v>
      </c>
      <c r="H94">
        <v>650</v>
      </c>
      <c r="I94">
        <v>199</v>
      </c>
      <c r="K94">
        <v>20</v>
      </c>
      <c r="L94">
        <v>16</v>
      </c>
      <c r="M94">
        <v>0</v>
      </c>
      <c r="S94">
        <v>53</v>
      </c>
      <c r="U94">
        <v>0</v>
      </c>
      <c r="V94">
        <v>0</v>
      </c>
      <c r="W94" s="1">
        <v>44160</v>
      </c>
      <c r="AA94" t="s">
        <v>40</v>
      </c>
      <c r="AE94" t="s">
        <v>40</v>
      </c>
      <c r="AF94" t="s">
        <v>40</v>
      </c>
      <c r="AG94" t="s">
        <v>40</v>
      </c>
      <c r="AH94" t="s">
        <v>40</v>
      </c>
      <c r="AI94" t="s">
        <v>40</v>
      </c>
      <c r="AK94" t="s">
        <v>40</v>
      </c>
    </row>
    <row r="95" spans="1:37" x14ac:dyDescent="0.3">
      <c r="A95">
        <v>2019</v>
      </c>
      <c r="B95">
        <v>1</v>
      </c>
      <c r="C95" t="str">
        <f t="shared" si="2"/>
        <v>1/01/2019</v>
      </c>
      <c r="D95" s="1" t="str">
        <f t="shared" si="3"/>
        <v>1/01/2019</v>
      </c>
      <c r="E95" t="s">
        <v>55</v>
      </c>
      <c r="F95" t="s">
        <v>52</v>
      </c>
      <c r="G95" t="s">
        <v>43</v>
      </c>
      <c r="H95">
        <v>854</v>
      </c>
      <c r="I95">
        <v>500</v>
      </c>
      <c r="K95">
        <v>60</v>
      </c>
      <c r="L95">
        <v>40</v>
      </c>
      <c r="M95">
        <v>0</v>
      </c>
      <c r="Q95">
        <v>18</v>
      </c>
      <c r="R95">
        <v>13</v>
      </c>
      <c r="S95">
        <v>153</v>
      </c>
      <c r="T95">
        <v>20</v>
      </c>
      <c r="U95">
        <v>0</v>
      </c>
      <c r="V95">
        <v>0</v>
      </c>
      <c r="W95" s="1">
        <v>44160</v>
      </c>
      <c r="AA95" t="s">
        <v>40</v>
      </c>
      <c r="AE95" t="s">
        <v>40</v>
      </c>
      <c r="AF95" t="s">
        <v>40</v>
      </c>
      <c r="AG95" t="s">
        <v>40</v>
      </c>
    </row>
    <row r="96" spans="1:37" x14ac:dyDescent="0.3">
      <c r="A96">
        <v>2019</v>
      </c>
      <c r="B96">
        <v>1</v>
      </c>
      <c r="C96" t="str">
        <f t="shared" si="2"/>
        <v>1/01/2019</v>
      </c>
      <c r="D96" s="1" t="str">
        <f t="shared" si="3"/>
        <v>1/01/2019</v>
      </c>
      <c r="E96" t="s">
        <v>55</v>
      </c>
      <c r="F96" t="s">
        <v>52</v>
      </c>
      <c r="G96" t="s">
        <v>44</v>
      </c>
      <c r="H96" s="2">
        <v>1542</v>
      </c>
      <c r="I96" s="2">
        <v>1235</v>
      </c>
      <c r="J96">
        <v>23</v>
      </c>
      <c r="K96">
        <v>207</v>
      </c>
      <c r="L96">
        <v>88</v>
      </c>
      <c r="N96">
        <v>24</v>
      </c>
      <c r="O96">
        <v>26</v>
      </c>
      <c r="P96">
        <v>12</v>
      </c>
      <c r="Q96">
        <v>39</v>
      </c>
      <c r="R96">
        <v>14</v>
      </c>
      <c r="S96">
        <v>439</v>
      </c>
      <c r="T96">
        <v>62</v>
      </c>
      <c r="U96">
        <v>0</v>
      </c>
      <c r="V96">
        <v>0</v>
      </c>
      <c r="W96" s="1">
        <v>44160</v>
      </c>
      <c r="AD96" t="s">
        <v>40</v>
      </c>
    </row>
    <row r="97" spans="1:37" x14ac:dyDescent="0.3">
      <c r="A97">
        <v>2019</v>
      </c>
      <c r="B97">
        <v>1</v>
      </c>
      <c r="C97" t="str">
        <f t="shared" si="2"/>
        <v>1/01/2019</v>
      </c>
      <c r="D97" s="1" t="str">
        <f t="shared" si="3"/>
        <v>1/01/2019</v>
      </c>
      <c r="E97" t="s">
        <v>55</v>
      </c>
      <c r="F97" t="s">
        <v>52</v>
      </c>
      <c r="G97" t="s">
        <v>45</v>
      </c>
      <c r="H97">
        <v>63</v>
      </c>
      <c r="I97">
        <v>36</v>
      </c>
      <c r="J97">
        <v>0</v>
      </c>
      <c r="L97">
        <v>0</v>
      </c>
      <c r="M97">
        <v>0</v>
      </c>
      <c r="N97">
        <v>0</v>
      </c>
      <c r="Q97">
        <v>0</v>
      </c>
      <c r="R97">
        <v>0</v>
      </c>
      <c r="S97">
        <v>0</v>
      </c>
      <c r="U97">
        <v>0</v>
      </c>
      <c r="V97">
        <v>0</v>
      </c>
      <c r="W97" s="1">
        <v>44160</v>
      </c>
      <c r="AB97" t="s">
        <v>40</v>
      </c>
      <c r="AF97" t="s">
        <v>40</v>
      </c>
      <c r="AG97" t="s">
        <v>40</v>
      </c>
      <c r="AK97" t="s">
        <v>40</v>
      </c>
    </row>
    <row r="98" spans="1:37" x14ac:dyDescent="0.3">
      <c r="A98">
        <v>2019</v>
      </c>
      <c r="B98">
        <v>1</v>
      </c>
      <c r="C98" t="str">
        <f t="shared" si="2"/>
        <v>1/01/2019</v>
      </c>
      <c r="D98" s="1" t="str">
        <f t="shared" si="3"/>
        <v>1/01/2019</v>
      </c>
      <c r="E98" t="s">
        <v>55</v>
      </c>
      <c r="F98" t="s">
        <v>52</v>
      </c>
      <c r="G98" t="s">
        <v>46</v>
      </c>
      <c r="H98" s="2">
        <v>3494</v>
      </c>
      <c r="I98" s="2">
        <v>3125</v>
      </c>
      <c r="J98">
        <v>65</v>
      </c>
      <c r="K98">
        <v>761</v>
      </c>
      <c r="L98">
        <v>187</v>
      </c>
      <c r="N98">
        <v>51</v>
      </c>
      <c r="O98">
        <v>95</v>
      </c>
      <c r="P98">
        <v>38</v>
      </c>
      <c r="Q98">
        <v>80</v>
      </c>
      <c r="R98">
        <v>39</v>
      </c>
      <c r="S98">
        <v>997</v>
      </c>
      <c r="T98">
        <v>177</v>
      </c>
      <c r="U98">
        <v>0</v>
      </c>
      <c r="V98">
        <v>0</v>
      </c>
      <c r="W98" s="1">
        <v>44160</v>
      </c>
      <c r="AD98" t="s">
        <v>40</v>
      </c>
    </row>
    <row r="99" spans="1:37" x14ac:dyDescent="0.3">
      <c r="A99">
        <v>2019</v>
      </c>
      <c r="B99">
        <v>1</v>
      </c>
      <c r="C99" t="str">
        <f t="shared" si="2"/>
        <v>1/01/2019</v>
      </c>
      <c r="D99" s="1" t="str">
        <f t="shared" si="3"/>
        <v>1/01/2019</v>
      </c>
      <c r="E99" t="s">
        <v>55</v>
      </c>
      <c r="F99" t="s">
        <v>52</v>
      </c>
      <c r="G99" t="s">
        <v>47</v>
      </c>
      <c r="H99" s="2">
        <v>3776</v>
      </c>
      <c r="I99" s="2">
        <v>3607</v>
      </c>
      <c r="J99">
        <v>80</v>
      </c>
      <c r="K99" s="2">
        <v>1011</v>
      </c>
      <c r="L99">
        <v>200</v>
      </c>
      <c r="M99">
        <v>22</v>
      </c>
      <c r="N99">
        <v>57</v>
      </c>
      <c r="O99">
        <v>158</v>
      </c>
      <c r="P99">
        <v>56</v>
      </c>
      <c r="Q99">
        <v>129</v>
      </c>
      <c r="R99">
        <v>27</v>
      </c>
      <c r="S99" s="2">
        <v>1051</v>
      </c>
      <c r="T99">
        <v>181</v>
      </c>
      <c r="U99">
        <v>0</v>
      </c>
      <c r="V99">
        <v>0</v>
      </c>
      <c r="W99" s="1">
        <v>44160</v>
      </c>
    </row>
    <row r="100" spans="1:37" x14ac:dyDescent="0.3">
      <c r="A100">
        <v>2019</v>
      </c>
      <c r="B100">
        <v>1</v>
      </c>
      <c r="C100" t="str">
        <f t="shared" si="2"/>
        <v>1/01/2019</v>
      </c>
      <c r="D100" s="1" t="str">
        <f t="shared" si="3"/>
        <v>1/01/2019</v>
      </c>
      <c r="E100" t="s">
        <v>55</v>
      </c>
      <c r="F100" t="s">
        <v>52</v>
      </c>
      <c r="G100" t="s">
        <v>48</v>
      </c>
      <c r="H100" s="2">
        <v>2987</v>
      </c>
      <c r="I100" s="2">
        <v>2907</v>
      </c>
      <c r="J100">
        <v>64</v>
      </c>
      <c r="K100">
        <v>653</v>
      </c>
      <c r="L100">
        <v>152</v>
      </c>
      <c r="M100">
        <v>81</v>
      </c>
      <c r="N100">
        <v>72</v>
      </c>
      <c r="O100">
        <v>131</v>
      </c>
      <c r="P100">
        <v>34</v>
      </c>
      <c r="Q100">
        <v>107</v>
      </c>
      <c r="R100">
        <v>18</v>
      </c>
      <c r="S100">
        <v>824</v>
      </c>
      <c r="T100">
        <v>182</v>
      </c>
      <c r="U100">
        <v>0</v>
      </c>
      <c r="V100">
        <v>0</v>
      </c>
      <c r="W100" s="1">
        <v>44160</v>
      </c>
    </row>
    <row r="101" spans="1:37" x14ac:dyDescent="0.3">
      <c r="A101">
        <v>2019</v>
      </c>
      <c r="B101">
        <v>1</v>
      </c>
      <c r="C101" t="str">
        <f t="shared" si="2"/>
        <v>1/01/2019</v>
      </c>
      <c r="D101" s="1" t="str">
        <f t="shared" si="3"/>
        <v>1/01/2019</v>
      </c>
      <c r="E101" t="s">
        <v>55</v>
      </c>
      <c r="F101" t="s">
        <v>52</v>
      </c>
      <c r="G101" t="s">
        <v>49</v>
      </c>
      <c r="H101" s="2">
        <v>1787</v>
      </c>
      <c r="I101" s="2">
        <v>1748</v>
      </c>
      <c r="J101">
        <v>22</v>
      </c>
      <c r="K101">
        <v>261</v>
      </c>
      <c r="L101">
        <v>65</v>
      </c>
      <c r="M101">
        <v>109</v>
      </c>
      <c r="N101">
        <v>38</v>
      </c>
      <c r="O101">
        <v>86</v>
      </c>
      <c r="P101">
        <v>14</v>
      </c>
      <c r="Q101">
        <v>78</v>
      </c>
      <c r="R101">
        <v>17</v>
      </c>
      <c r="S101">
        <v>522</v>
      </c>
      <c r="T101">
        <v>112</v>
      </c>
      <c r="U101">
        <v>0</v>
      </c>
      <c r="V101">
        <v>0</v>
      </c>
      <c r="W101" s="1">
        <v>44160</v>
      </c>
    </row>
    <row r="102" spans="1:37" x14ac:dyDescent="0.3">
      <c r="A102">
        <v>2019</v>
      </c>
      <c r="B102">
        <v>1</v>
      </c>
      <c r="C102" t="str">
        <f t="shared" si="2"/>
        <v>1/01/2019</v>
      </c>
      <c r="D102" s="1" t="str">
        <f t="shared" si="3"/>
        <v>1/01/2019</v>
      </c>
      <c r="E102" t="s">
        <v>55</v>
      </c>
      <c r="F102" t="s">
        <v>53</v>
      </c>
      <c r="G102" t="s">
        <v>39</v>
      </c>
      <c r="H102">
        <v>490</v>
      </c>
      <c r="I102">
        <v>424</v>
      </c>
      <c r="M102">
        <v>0</v>
      </c>
      <c r="P102">
        <v>12</v>
      </c>
      <c r="R102">
        <v>54</v>
      </c>
      <c r="S102">
        <v>11</v>
      </c>
      <c r="U102">
        <v>0</v>
      </c>
      <c r="V102">
        <v>0</v>
      </c>
      <c r="W102" s="1">
        <v>44160</v>
      </c>
      <c r="AA102" t="s">
        <v>40</v>
      </c>
      <c r="AB102" t="s">
        <v>40</v>
      </c>
      <c r="AC102" t="s">
        <v>40</v>
      </c>
      <c r="AE102" t="s">
        <v>40</v>
      </c>
      <c r="AF102" t="s">
        <v>40</v>
      </c>
      <c r="AH102" t="s">
        <v>40</v>
      </c>
      <c r="AK102" t="s">
        <v>40</v>
      </c>
    </row>
    <row r="103" spans="1:37" x14ac:dyDescent="0.3">
      <c r="A103">
        <v>2019</v>
      </c>
      <c r="B103">
        <v>1</v>
      </c>
      <c r="C103" t="str">
        <f t="shared" si="2"/>
        <v>1/01/2019</v>
      </c>
      <c r="D103" s="1" t="str">
        <f t="shared" si="3"/>
        <v>1/01/2019</v>
      </c>
      <c r="E103" t="s">
        <v>55</v>
      </c>
      <c r="F103" t="s">
        <v>53</v>
      </c>
      <c r="G103" t="s">
        <v>41</v>
      </c>
      <c r="H103">
        <v>849</v>
      </c>
      <c r="I103">
        <v>187</v>
      </c>
      <c r="K103">
        <v>35</v>
      </c>
      <c r="L103">
        <v>11</v>
      </c>
      <c r="M103">
        <v>0</v>
      </c>
      <c r="O103">
        <v>0</v>
      </c>
      <c r="R103">
        <v>13</v>
      </c>
      <c r="S103">
        <v>19</v>
      </c>
      <c r="U103">
        <v>0</v>
      </c>
      <c r="V103">
        <v>0</v>
      </c>
      <c r="W103" s="1">
        <v>44160</v>
      </c>
      <c r="AA103" t="s">
        <v>40</v>
      </c>
      <c r="AE103" t="s">
        <v>40</v>
      </c>
      <c r="AG103" t="s">
        <v>40</v>
      </c>
      <c r="AH103" t="s">
        <v>40</v>
      </c>
      <c r="AK103" t="s">
        <v>40</v>
      </c>
    </row>
    <row r="104" spans="1:37" x14ac:dyDescent="0.3">
      <c r="A104">
        <v>2019</v>
      </c>
      <c r="B104">
        <v>1</v>
      </c>
      <c r="C104" t="str">
        <f t="shared" si="2"/>
        <v>1/01/2019</v>
      </c>
      <c r="D104" s="1" t="str">
        <f t="shared" si="3"/>
        <v>1/01/2019</v>
      </c>
      <c r="E104" t="s">
        <v>55</v>
      </c>
      <c r="F104" t="s">
        <v>53</v>
      </c>
      <c r="G104" t="s">
        <v>42</v>
      </c>
      <c r="H104" s="2">
        <v>1802</v>
      </c>
      <c r="I104">
        <v>467</v>
      </c>
      <c r="J104">
        <v>12</v>
      </c>
      <c r="K104">
        <v>63</v>
      </c>
      <c r="L104">
        <v>19</v>
      </c>
      <c r="M104">
        <v>0</v>
      </c>
      <c r="N104">
        <v>11</v>
      </c>
      <c r="R104">
        <v>22</v>
      </c>
      <c r="S104">
        <v>105</v>
      </c>
      <c r="T104">
        <v>15</v>
      </c>
      <c r="U104">
        <v>0</v>
      </c>
      <c r="V104">
        <v>0</v>
      </c>
      <c r="W104" s="1">
        <v>44160</v>
      </c>
      <c r="AF104" t="s">
        <v>40</v>
      </c>
      <c r="AG104" t="s">
        <v>40</v>
      </c>
      <c r="AH104" t="s">
        <v>40</v>
      </c>
    </row>
    <row r="105" spans="1:37" x14ac:dyDescent="0.3">
      <c r="A105">
        <v>2019</v>
      </c>
      <c r="B105">
        <v>1</v>
      </c>
      <c r="C105" t="str">
        <f t="shared" si="2"/>
        <v>1/01/2019</v>
      </c>
      <c r="D105" s="1" t="str">
        <f t="shared" si="3"/>
        <v>1/01/2019</v>
      </c>
      <c r="E105" t="s">
        <v>55</v>
      </c>
      <c r="F105" t="s">
        <v>53</v>
      </c>
      <c r="G105" t="s">
        <v>43</v>
      </c>
      <c r="H105" s="2">
        <v>2672</v>
      </c>
      <c r="I105" s="2">
        <v>1282</v>
      </c>
      <c r="J105">
        <v>20</v>
      </c>
      <c r="K105">
        <v>242</v>
      </c>
      <c r="L105">
        <v>78</v>
      </c>
      <c r="M105">
        <v>0</v>
      </c>
      <c r="N105">
        <v>32</v>
      </c>
      <c r="O105">
        <v>16</v>
      </c>
      <c r="P105">
        <v>13</v>
      </c>
      <c r="Q105">
        <v>17</v>
      </c>
      <c r="R105">
        <v>22</v>
      </c>
      <c r="S105">
        <v>342</v>
      </c>
      <c r="T105">
        <v>26</v>
      </c>
      <c r="U105">
        <v>0</v>
      </c>
      <c r="V105">
        <v>0</v>
      </c>
      <c r="W105" s="1">
        <v>44160</v>
      </c>
    </row>
    <row r="106" spans="1:37" x14ac:dyDescent="0.3">
      <c r="A106">
        <v>2019</v>
      </c>
      <c r="B106">
        <v>1</v>
      </c>
      <c r="C106" t="str">
        <f t="shared" si="2"/>
        <v>1/01/2019</v>
      </c>
      <c r="D106" s="1" t="str">
        <f t="shared" si="3"/>
        <v>1/01/2019</v>
      </c>
      <c r="E106" t="s">
        <v>55</v>
      </c>
      <c r="F106" t="s">
        <v>53</v>
      </c>
      <c r="G106" t="s">
        <v>44</v>
      </c>
      <c r="H106" s="2">
        <v>5681</v>
      </c>
      <c r="I106" s="2">
        <v>4265</v>
      </c>
      <c r="J106">
        <v>54</v>
      </c>
      <c r="K106" s="2">
        <v>1060</v>
      </c>
      <c r="L106">
        <v>215</v>
      </c>
      <c r="N106">
        <v>95</v>
      </c>
      <c r="O106">
        <v>117</v>
      </c>
      <c r="P106">
        <v>56</v>
      </c>
      <c r="Q106">
        <v>62</v>
      </c>
      <c r="R106">
        <v>38</v>
      </c>
      <c r="S106" s="2">
        <v>1205</v>
      </c>
      <c r="T106">
        <v>144</v>
      </c>
      <c r="U106">
        <v>0</v>
      </c>
      <c r="V106">
        <v>0</v>
      </c>
      <c r="W106" s="1">
        <v>44160</v>
      </c>
      <c r="AD106" t="s">
        <v>40</v>
      </c>
    </row>
    <row r="107" spans="1:37" x14ac:dyDescent="0.3">
      <c r="A107">
        <v>2019</v>
      </c>
      <c r="B107">
        <v>1</v>
      </c>
      <c r="C107" t="str">
        <f t="shared" si="2"/>
        <v>1/01/2019</v>
      </c>
      <c r="D107" s="1" t="str">
        <f t="shared" si="3"/>
        <v>1/01/2019</v>
      </c>
      <c r="E107" t="s">
        <v>55</v>
      </c>
      <c r="F107" t="s">
        <v>53</v>
      </c>
      <c r="G107" t="s">
        <v>45</v>
      </c>
      <c r="H107">
        <v>135</v>
      </c>
      <c r="I107">
        <v>70</v>
      </c>
      <c r="J107">
        <v>0</v>
      </c>
      <c r="K107">
        <v>18</v>
      </c>
      <c r="M107">
        <v>0</v>
      </c>
      <c r="Q107">
        <v>0</v>
      </c>
      <c r="U107">
        <v>0</v>
      </c>
      <c r="V107">
        <v>0</v>
      </c>
      <c r="W107" s="1">
        <v>44160</v>
      </c>
      <c r="AC107" t="s">
        <v>40</v>
      </c>
      <c r="AE107" t="s">
        <v>40</v>
      </c>
      <c r="AF107" t="s">
        <v>40</v>
      </c>
      <c r="AG107" t="s">
        <v>40</v>
      </c>
      <c r="AI107" t="s">
        <v>40</v>
      </c>
      <c r="AJ107" t="s">
        <v>40</v>
      </c>
      <c r="AK107" t="s">
        <v>40</v>
      </c>
    </row>
    <row r="108" spans="1:37" x14ac:dyDescent="0.3">
      <c r="A108">
        <v>2019</v>
      </c>
      <c r="B108">
        <v>1</v>
      </c>
      <c r="C108" t="str">
        <f t="shared" si="2"/>
        <v>1/01/2019</v>
      </c>
      <c r="D108" s="1" t="str">
        <f t="shared" si="3"/>
        <v>1/01/2019</v>
      </c>
      <c r="E108" t="s">
        <v>55</v>
      </c>
      <c r="F108" t="s">
        <v>53</v>
      </c>
      <c r="G108" t="s">
        <v>46</v>
      </c>
      <c r="H108" s="2">
        <v>14354</v>
      </c>
      <c r="I108" s="2">
        <v>12841</v>
      </c>
      <c r="J108">
        <v>192</v>
      </c>
      <c r="K108" s="2">
        <v>3881</v>
      </c>
      <c r="L108">
        <v>555</v>
      </c>
      <c r="M108">
        <v>29</v>
      </c>
      <c r="N108">
        <v>250</v>
      </c>
      <c r="O108">
        <v>774</v>
      </c>
      <c r="P108">
        <v>166</v>
      </c>
      <c r="Q108">
        <v>170</v>
      </c>
      <c r="R108">
        <v>121</v>
      </c>
      <c r="S108" s="2">
        <v>3516</v>
      </c>
      <c r="T108">
        <v>412</v>
      </c>
      <c r="U108">
        <v>0</v>
      </c>
      <c r="V108">
        <v>0</v>
      </c>
      <c r="W108" s="1">
        <v>44160</v>
      </c>
    </row>
    <row r="109" spans="1:37" x14ac:dyDescent="0.3">
      <c r="A109">
        <v>2019</v>
      </c>
      <c r="B109">
        <v>1</v>
      </c>
      <c r="C109" t="str">
        <f t="shared" si="2"/>
        <v>1/01/2019</v>
      </c>
      <c r="D109" s="1" t="str">
        <f t="shared" si="3"/>
        <v>1/01/2019</v>
      </c>
      <c r="E109" t="s">
        <v>55</v>
      </c>
      <c r="F109" t="s">
        <v>53</v>
      </c>
      <c r="G109" t="s">
        <v>47</v>
      </c>
      <c r="H109" s="2">
        <v>21834</v>
      </c>
      <c r="I109" s="2">
        <v>20741</v>
      </c>
      <c r="J109">
        <v>294</v>
      </c>
      <c r="K109" s="2">
        <v>6282</v>
      </c>
      <c r="L109">
        <v>856</v>
      </c>
      <c r="M109">
        <v>208</v>
      </c>
      <c r="N109">
        <v>406</v>
      </c>
      <c r="O109" s="2">
        <v>1660</v>
      </c>
      <c r="P109">
        <v>392</v>
      </c>
      <c r="Q109">
        <v>356</v>
      </c>
      <c r="R109">
        <v>149</v>
      </c>
      <c r="S109" s="2">
        <v>5561</v>
      </c>
      <c r="T109">
        <v>756</v>
      </c>
      <c r="U109">
        <v>0</v>
      </c>
      <c r="V109">
        <v>0</v>
      </c>
      <c r="W109" s="1">
        <v>44160</v>
      </c>
    </row>
    <row r="110" spans="1:37" x14ac:dyDescent="0.3">
      <c r="A110">
        <v>2019</v>
      </c>
      <c r="B110">
        <v>1</v>
      </c>
      <c r="C110" t="str">
        <f t="shared" si="2"/>
        <v>1/01/2019</v>
      </c>
      <c r="D110" s="1" t="str">
        <f t="shared" si="3"/>
        <v>1/01/2019</v>
      </c>
      <c r="E110" t="s">
        <v>55</v>
      </c>
      <c r="F110" t="s">
        <v>53</v>
      </c>
      <c r="G110" t="s">
        <v>48</v>
      </c>
      <c r="H110" s="2">
        <v>25992</v>
      </c>
      <c r="I110" s="2">
        <v>24992</v>
      </c>
      <c r="J110">
        <v>342</v>
      </c>
      <c r="K110" s="2">
        <v>6212</v>
      </c>
      <c r="L110">
        <v>823</v>
      </c>
      <c r="M110">
        <v>892</v>
      </c>
      <c r="N110">
        <v>532</v>
      </c>
      <c r="O110" s="2">
        <v>2031</v>
      </c>
      <c r="P110">
        <v>549</v>
      </c>
      <c r="Q110">
        <v>493</v>
      </c>
      <c r="R110">
        <v>183</v>
      </c>
      <c r="S110" s="2">
        <v>6453</v>
      </c>
      <c r="T110" s="2">
        <v>1252</v>
      </c>
      <c r="U110">
        <v>0</v>
      </c>
      <c r="V110">
        <v>0</v>
      </c>
      <c r="W110" s="1">
        <v>44160</v>
      </c>
    </row>
    <row r="111" spans="1:37" x14ac:dyDescent="0.3">
      <c r="A111">
        <v>2019</v>
      </c>
      <c r="B111">
        <v>1</v>
      </c>
      <c r="C111" t="str">
        <f t="shared" si="2"/>
        <v>1/01/2019</v>
      </c>
      <c r="D111" s="1" t="str">
        <f t="shared" si="3"/>
        <v>1/01/2019</v>
      </c>
      <c r="E111" t="s">
        <v>55</v>
      </c>
      <c r="F111" t="s">
        <v>53</v>
      </c>
      <c r="G111" t="s">
        <v>49</v>
      </c>
      <c r="H111" s="2">
        <v>26509</v>
      </c>
      <c r="I111" s="2">
        <v>25569</v>
      </c>
      <c r="J111">
        <v>321</v>
      </c>
      <c r="K111" s="2">
        <v>3612</v>
      </c>
      <c r="L111">
        <v>533</v>
      </c>
      <c r="M111" s="2">
        <v>1696</v>
      </c>
      <c r="N111">
        <v>702</v>
      </c>
      <c r="O111" s="2">
        <v>1497</v>
      </c>
      <c r="P111">
        <v>463</v>
      </c>
      <c r="Q111">
        <v>573</v>
      </c>
      <c r="R111">
        <v>290</v>
      </c>
      <c r="S111" s="2">
        <v>8241</v>
      </c>
      <c r="T111" s="2">
        <v>1597</v>
      </c>
      <c r="U111">
        <v>0</v>
      </c>
      <c r="V111">
        <v>0</v>
      </c>
      <c r="W111" s="1">
        <v>44160</v>
      </c>
    </row>
    <row r="112" spans="1:37" x14ac:dyDescent="0.3">
      <c r="A112">
        <v>2019</v>
      </c>
      <c r="B112">
        <v>1</v>
      </c>
      <c r="C112" t="str">
        <f t="shared" si="2"/>
        <v>1/01/2019</v>
      </c>
      <c r="D112" s="1" t="str">
        <f t="shared" si="3"/>
        <v>1/01/2019</v>
      </c>
      <c r="E112" t="s">
        <v>55</v>
      </c>
      <c r="F112" t="s">
        <v>54</v>
      </c>
      <c r="G112" t="s">
        <v>39</v>
      </c>
      <c r="H112">
        <v>55</v>
      </c>
      <c r="I112">
        <v>47</v>
      </c>
      <c r="J112">
        <v>0</v>
      </c>
      <c r="L112">
        <v>0</v>
      </c>
      <c r="M112">
        <v>0</v>
      </c>
      <c r="O112">
        <v>0</v>
      </c>
      <c r="Q112">
        <v>0</v>
      </c>
      <c r="T112">
        <v>0</v>
      </c>
      <c r="U112">
        <v>0</v>
      </c>
      <c r="V112">
        <v>0</v>
      </c>
      <c r="W112" s="1">
        <v>44160</v>
      </c>
      <c r="AB112" t="s">
        <v>40</v>
      </c>
      <c r="AE112" t="s">
        <v>40</v>
      </c>
      <c r="AG112" t="s">
        <v>40</v>
      </c>
      <c r="AI112" t="s">
        <v>40</v>
      </c>
      <c r="AJ112" t="s">
        <v>40</v>
      </c>
    </row>
    <row r="113" spans="1:37" x14ac:dyDescent="0.3">
      <c r="A113">
        <v>2019</v>
      </c>
      <c r="B113">
        <v>1</v>
      </c>
      <c r="C113" t="str">
        <f t="shared" si="2"/>
        <v>1/01/2019</v>
      </c>
      <c r="D113" s="1" t="str">
        <f t="shared" si="3"/>
        <v>1/01/2019</v>
      </c>
      <c r="E113" t="s">
        <v>55</v>
      </c>
      <c r="F113" t="s">
        <v>54</v>
      </c>
      <c r="G113" t="s">
        <v>41</v>
      </c>
      <c r="H113">
        <v>35</v>
      </c>
      <c r="J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 s="1">
        <v>44160</v>
      </c>
      <c r="Z113" t="s">
        <v>40</v>
      </c>
      <c r="AB113" t="s">
        <v>40</v>
      </c>
      <c r="AC113" t="s">
        <v>40</v>
      </c>
    </row>
    <row r="114" spans="1:37" x14ac:dyDescent="0.3">
      <c r="A114">
        <v>2019</v>
      </c>
      <c r="B114">
        <v>1</v>
      </c>
      <c r="C114" t="str">
        <f t="shared" si="2"/>
        <v>1/01/2019</v>
      </c>
      <c r="D114" s="1" t="str">
        <f t="shared" si="3"/>
        <v>1/01/2019</v>
      </c>
      <c r="E114" t="s">
        <v>55</v>
      </c>
      <c r="F114" t="s">
        <v>54</v>
      </c>
      <c r="G114" t="s">
        <v>42</v>
      </c>
      <c r="H114">
        <v>55</v>
      </c>
      <c r="I114">
        <v>17</v>
      </c>
      <c r="M114">
        <v>0</v>
      </c>
      <c r="O114">
        <v>0</v>
      </c>
      <c r="T114">
        <v>0</v>
      </c>
      <c r="U114">
        <v>0</v>
      </c>
      <c r="V114">
        <v>0</v>
      </c>
      <c r="W114" s="1">
        <v>44160</v>
      </c>
      <c r="AA114" t="s">
        <v>40</v>
      </c>
      <c r="AB114" t="s">
        <v>40</v>
      </c>
      <c r="AC114" t="s">
        <v>40</v>
      </c>
      <c r="AE114" t="s">
        <v>40</v>
      </c>
      <c r="AG114" t="s">
        <v>40</v>
      </c>
      <c r="AH114" t="s">
        <v>40</v>
      </c>
      <c r="AI114" t="s">
        <v>40</v>
      </c>
      <c r="AJ114" t="s">
        <v>40</v>
      </c>
    </row>
    <row r="115" spans="1:37" x14ac:dyDescent="0.3">
      <c r="A115">
        <v>2019</v>
      </c>
      <c r="B115">
        <v>1</v>
      </c>
      <c r="C115" t="str">
        <f t="shared" si="2"/>
        <v>1/01/2019</v>
      </c>
      <c r="D115" s="1" t="str">
        <f t="shared" si="3"/>
        <v>1/01/2019</v>
      </c>
      <c r="E115" t="s">
        <v>55</v>
      </c>
      <c r="F115" t="s">
        <v>54</v>
      </c>
      <c r="G115" t="s">
        <v>43</v>
      </c>
      <c r="H115">
        <v>76</v>
      </c>
      <c r="I115">
        <v>42</v>
      </c>
      <c r="J115">
        <v>0</v>
      </c>
      <c r="M115">
        <v>0</v>
      </c>
      <c r="R115">
        <v>0</v>
      </c>
      <c r="S115">
        <v>13</v>
      </c>
      <c r="U115">
        <v>0</v>
      </c>
      <c r="V115">
        <v>0</v>
      </c>
      <c r="W115" s="1">
        <v>44160</v>
      </c>
      <c r="AB115" t="s">
        <v>40</v>
      </c>
      <c r="AC115" t="s">
        <v>40</v>
      </c>
      <c r="AE115" t="s">
        <v>40</v>
      </c>
      <c r="AF115" t="s">
        <v>40</v>
      </c>
      <c r="AG115" t="s">
        <v>40</v>
      </c>
      <c r="AH115" t="s">
        <v>40</v>
      </c>
      <c r="AK115" t="s">
        <v>40</v>
      </c>
    </row>
    <row r="116" spans="1:37" x14ac:dyDescent="0.3">
      <c r="A116">
        <v>2019</v>
      </c>
      <c r="B116">
        <v>1</v>
      </c>
      <c r="C116" t="str">
        <f t="shared" si="2"/>
        <v>1/01/2019</v>
      </c>
      <c r="D116" s="1" t="str">
        <f t="shared" si="3"/>
        <v>1/01/2019</v>
      </c>
      <c r="E116" t="s">
        <v>55</v>
      </c>
      <c r="F116" t="s">
        <v>54</v>
      </c>
      <c r="G116" t="s">
        <v>44</v>
      </c>
      <c r="H116">
        <v>118</v>
      </c>
      <c r="I116">
        <v>92</v>
      </c>
      <c r="K116">
        <v>20</v>
      </c>
      <c r="M116">
        <v>0</v>
      </c>
      <c r="S116">
        <v>26</v>
      </c>
      <c r="U116">
        <v>0</v>
      </c>
      <c r="V116">
        <v>0</v>
      </c>
      <c r="W116" s="1">
        <v>44160</v>
      </c>
      <c r="AA116" t="s">
        <v>40</v>
      </c>
      <c r="AC116" t="s">
        <v>40</v>
      </c>
      <c r="AE116" t="s">
        <v>40</v>
      </c>
      <c r="AF116" t="s">
        <v>40</v>
      </c>
      <c r="AG116" t="s">
        <v>40</v>
      </c>
      <c r="AH116" t="s">
        <v>40</v>
      </c>
      <c r="AI116" t="s">
        <v>40</v>
      </c>
      <c r="AK116" t="s">
        <v>40</v>
      </c>
    </row>
    <row r="117" spans="1:37" x14ac:dyDescent="0.3">
      <c r="A117">
        <v>2019</v>
      </c>
      <c r="B117">
        <v>1</v>
      </c>
      <c r="C117" t="str">
        <f t="shared" si="2"/>
        <v>1/01/2019</v>
      </c>
      <c r="D117" s="1" t="str">
        <f t="shared" si="3"/>
        <v>1/01/2019</v>
      </c>
      <c r="E117" t="s">
        <v>55</v>
      </c>
      <c r="F117" t="s">
        <v>54</v>
      </c>
      <c r="G117" t="s">
        <v>45</v>
      </c>
      <c r="J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 s="1">
        <v>44160</v>
      </c>
      <c r="Y117" t="s">
        <v>40</v>
      </c>
      <c r="Z117" t="s">
        <v>40</v>
      </c>
      <c r="AB117" t="s">
        <v>40</v>
      </c>
    </row>
    <row r="118" spans="1:37" x14ac:dyDescent="0.3">
      <c r="A118">
        <v>2019</v>
      </c>
      <c r="B118">
        <v>1</v>
      </c>
      <c r="C118" t="str">
        <f t="shared" si="2"/>
        <v>1/01/2019</v>
      </c>
      <c r="D118" s="1" t="str">
        <f t="shared" si="3"/>
        <v>1/01/2019</v>
      </c>
      <c r="E118" t="s">
        <v>55</v>
      </c>
      <c r="F118" t="s">
        <v>54</v>
      </c>
      <c r="G118" t="s">
        <v>46</v>
      </c>
      <c r="H118">
        <v>272</v>
      </c>
      <c r="I118">
        <v>248</v>
      </c>
      <c r="K118">
        <v>49</v>
      </c>
      <c r="L118">
        <v>15</v>
      </c>
      <c r="M118">
        <v>0</v>
      </c>
      <c r="O118">
        <v>14</v>
      </c>
      <c r="S118">
        <v>100</v>
      </c>
      <c r="U118">
        <v>0</v>
      </c>
      <c r="V118">
        <v>0</v>
      </c>
      <c r="W118" s="1">
        <v>44160</v>
      </c>
      <c r="AA118" t="s">
        <v>40</v>
      </c>
      <c r="AE118" t="s">
        <v>40</v>
      </c>
      <c r="AG118" t="s">
        <v>40</v>
      </c>
      <c r="AH118" t="s">
        <v>40</v>
      </c>
      <c r="AI118" t="s">
        <v>40</v>
      </c>
      <c r="AK118" t="s">
        <v>40</v>
      </c>
    </row>
    <row r="119" spans="1:37" x14ac:dyDescent="0.3">
      <c r="A119">
        <v>2019</v>
      </c>
      <c r="B119">
        <v>1</v>
      </c>
      <c r="C119" t="str">
        <f t="shared" si="2"/>
        <v>1/01/2019</v>
      </c>
      <c r="D119" s="1" t="str">
        <f t="shared" si="3"/>
        <v>1/01/2019</v>
      </c>
      <c r="E119" t="s">
        <v>55</v>
      </c>
      <c r="F119" t="s">
        <v>54</v>
      </c>
      <c r="G119" t="s">
        <v>47</v>
      </c>
      <c r="H119">
        <v>258</v>
      </c>
      <c r="I119">
        <v>236</v>
      </c>
      <c r="K119">
        <v>72</v>
      </c>
      <c r="L119">
        <v>12</v>
      </c>
      <c r="O119">
        <v>22</v>
      </c>
      <c r="S119">
        <v>68</v>
      </c>
      <c r="U119">
        <v>0</v>
      </c>
      <c r="V119">
        <v>0</v>
      </c>
      <c r="W119" s="1">
        <v>44160</v>
      </c>
      <c r="AA119" t="s">
        <v>40</v>
      </c>
      <c r="AD119" t="s">
        <v>40</v>
      </c>
      <c r="AE119" t="s">
        <v>40</v>
      </c>
      <c r="AG119" t="s">
        <v>40</v>
      </c>
      <c r="AH119" t="s">
        <v>40</v>
      </c>
      <c r="AI119" t="s">
        <v>40</v>
      </c>
      <c r="AK119" t="s">
        <v>40</v>
      </c>
    </row>
    <row r="120" spans="1:37" x14ac:dyDescent="0.3">
      <c r="A120">
        <v>2019</v>
      </c>
      <c r="B120">
        <v>1</v>
      </c>
      <c r="C120" t="str">
        <f t="shared" si="2"/>
        <v>1/01/2019</v>
      </c>
      <c r="D120" s="1" t="str">
        <f t="shared" si="3"/>
        <v>1/01/2019</v>
      </c>
      <c r="E120" t="s">
        <v>55</v>
      </c>
      <c r="F120" t="s">
        <v>54</v>
      </c>
      <c r="G120" t="s">
        <v>48</v>
      </c>
      <c r="H120">
        <v>181</v>
      </c>
      <c r="I120">
        <v>175</v>
      </c>
      <c r="K120">
        <v>45</v>
      </c>
      <c r="O120">
        <v>14</v>
      </c>
      <c r="S120">
        <v>54</v>
      </c>
      <c r="U120">
        <v>0</v>
      </c>
      <c r="V120">
        <v>0</v>
      </c>
      <c r="W120" s="1">
        <v>44160</v>
      </c>
      <c r="AA120" t="s">
        <v>40</v>
      </c>
      <c r="AC120" t="s">
        <v>40</v>
      </c>
      <c r="AD120" t="s">
        <v>40</v>
      </c>
      <c r="AE120" t="s">
        <v>40</v>
      </c>
      <c r="AG120" t="s">
        <v>40</v>
      </c>
      <c r="AH120" t="s">
        <v>40</v>
      </c>
      <c r="AI120" t="s">
        <v>40</v>
      </c>
      <c r="AK120" t="s">
        <v>40</v>
      </c>
    </row>
    <row r="121" spans="1:37" x14ac:dyDescent="0.3">
      <c r="A121">
        <v>2019</v>
      </c>
      <c r="B121">
        <v>1</v>
      </c>
      <c r="C121" t="str">
        <f t="shared" si="2"/>
        <v>1/01/2019</v>
      </c>
      <c r="D121" s="1" t="str">
        <f t="shared" si="3"/>
        <v>1/01/2019</v>
      </c>
      <c r="E121" t="s">
        <v>55</v>
      </c>
      <c r="F121" t="s">
        <v>54</v>
      </c>
      <c r="G121" t="s">
        <v>49</v>
      </c>
      <c r="H121">
        <v>122</v>
      </c>
      <c r="I121">
        <v>118</v>
      </c>
      <c r="J121">
        <v>0</v>
      </c>
      <c r="O121">
        <v>10</v>
      </c>
      <c r="S121">
        <v>47</v>
      </c>
      <c r="U121">
        <v>0</v>
      </c>
      <c r="V121">
        <v>0</v>
      </c>
      <c r="W121" s="1">
        <v>44160</v>
      </c>
      <c r="AB121" t="s">
        <v>40</v>
      </c>
      <c r="AC121" t="s">
        <v>40</v>
      </c>
      <c r="AD121" t="s">
        <v>40</v>
      </c>
      <c r="AE121" t="s">
        <v>40</v>
      </c>
      <c r="AG121" t="s">
        <v>40</v>
      </c>
      <c r="AH121" t="s">
        <v>40</v>
      </c>
      <c r="AI121" t="s">
        <v>40</v>
      </c>
      <c r="AK121" t="s">
        <v>40</v>
      </c>
    </row>
    <row r="122" spans="1:37" x14ac:dyDescent="0.3">
      <c r="A122">
        <v>2019</v>
      </c>
      <c r="B122">
        <v>2</v>
      </c>
      <c r="C122" t="str">
        <f t="shared" si="2"/>
        <v>2/01/2019</v>
      </c>
      <c r="D122" s="1" t="str">
        <f t="shared" si="3"/>
        <v>2/01/2019</v>
      </c>
      <c r="E122" t="s">
        <v>37</v>
      </c>
      <c r="F122" t="s">
        <v>38</v>
      </c>
      <c r="G122" t="s">
        <v>39</v>
      </c>
      <c r="H122">
        <v>198</v>
      </c>
      <c r="I122">
        <v>183</v>
      </c>
      <c r="J122">
        <v>0</v>
      </c>
      <c r="L122">
        <v>0</v>
      </c>
      <c r="M122">
        <v>0</v>
      </c>
      <c r="O122">
        <v>0</v>
      </c>
      <c r="P122">
        <v>0</v>
      </c>
      <c r="Q122">
        <v>0</v>
      </c>
      <c r="R122">
        <v>14</v>
      </c>
      <c r="U122">
        <v>0</v>
      </c>
      <c r="V122">
        <v>0</v>
      </c>
      <c r="W122" s="1">
        <v>44160</v>
      </c>
      <c r="AB122" t="s">
        <v>40</v>
      </c>
      <c r="AE122" t="s">
        <v>40</v>
      </c>
      <c r="AJ122" t="s">
        <v>40</v>
      </c>
      <c r="AK122" t="s">
        <v>40</v>
      </c>
    </row>
    <row r="123" spans="1:37" x14ac:dyDescent="0.3">
      <c r="A123">
        <v>2019</v>
      </c>
      <c r="B123">
        <v>2</v>
      </c>
      <c r="C123" t="str">
        <f t="shared" si="2"/>
        <v>2/01/2019</v>
      </c>
      <c r="D123" s="1" t="str">
        <f t="shared" si="3"/>
        <v>2/01/2019</v>
      </c>
      <c r="E123" t="s">
        <v>37</v>
      </c>
      <c r="F123" t="s">
        <v>38</v>
      </c>
      <c r="G123" t="s">
        <v>41</v>
      </c>
      <c r="H123">
        <v>114</v>
      </c>
      <c r="I123">
        <v>47</v>
      </c>
      <c r="J123">
        <v>0</v>
      </c>
      <c r="K123">
        <v>19</v>
      </c>
      <c r="M123">
        <v>0</v>
      </c>
      <c r="P123">
        <v>0</v>
      </c>
      <c r="Q123">
        <v>0</v>
      </c>
      <c r="R123">
        <v>0</v>
      </c>
      <c r="U123">
        <v>0</v>
      </c>
      <c r="V123">
        <v>0</v>
      </c>
      <c r="W123" s="1">
        <v>44160</v>
      </c>
      <c r="AC123" t="s">
        <v>40</v>
      </c>
      <c r="AE123" t="s">
        <v>40</v>
      </c>
      <c r="AF123" t="s">
        <v>40</v>
      </c>
      <c r="AJ123" t="s">
        <v>40</v>
      </c>
      <c r="AK123" t="s">
        <v>40</v>
      </c>
    </row>
    <row r="124" spans="1:37" x14ac:dyDescent="0.3">
      <c r="A124">
        <v>2019</v>
      </c>
      <c r="B124">
        <v>2</v>
      </c>
      <c r="C124" t="str">
        <f t="shared" si="2"/>
        <v>2/01/2019</v>
      </c>
      <c r="D124" s="1" t="str">
        <f t="shared" si="3"/>
        <v>2/01/2019</v>
      </c>
      <c r="E124" t="s">
        <v>37</v>
      </c>
      <c r="F124" t="s">
        <v>38</v>
      </c>
      <c r="G124" t="s">
        <v>42</v>
      </c>
      <c r="H124">
        <v>170</v>
      </c>
      <c r="I124">
        <v>96</v>
      </c>
      <c r="K124">
        <v>28</v>
      </c>
      <c r="M124">
        <v>0</v>
      </c>
      <c r="R124">
        <v>0</v>
      </c>
      <c r="S124">
        <v>13</v>
      </c>
      <c r="U124">
        <v>0</v>
      </c>
      <c r="V124">
        <v>0</v>
      </c>
      <c r="W124" s="1">
        <v>44160</v>
      </c>
      <c r="AA124" t="s">
        <v>40</v>
      </c>
      <c r="AC124" t="s">
        <v>40</v>
      </c>
      <c r="AE124" t="s">
        <v>40</v>
      </c>
      <c r="AF124" t="s">
        <v>40</v>
      </c>
      <c r="AG124" t="s">
        <v>40</v>
      </c>
      <c r="AH124" t="s">
        <v>40</v>
      </c>
      <c r="AK124" t="s">
        <v>40</v>
      </c>
    </row>
    <row r="125" spans="1:37" x14ac:dyDescent="0.3">
      <c r="A125">
        <v>2019</v>
      </c>
      <c r="B125">
        <v>2</v>
      </c>
      <c r="C125" t="str">
        <f t="shared" si="2"/>
        <v>2/01/2019</v>
      </c>
      <c r="D125" s="1" t="str">
        <f t="shared" si="3"/>
        <v>2/01/2019</v>
      </c>
      <c r="E125" t="s">
        <v>37</v>
      </c>
      <c r="F125" t="s">
        <v>38</v>
      </c>
      <c r="G125" t="s">
        <v>43</v>
      </c>
      <c r="H125">
        <v>288</v>
      </c>
      <c r="I125">
        <v>217</v>
      </c>
      <c r="J125">
        <v>0</v>
      </c>
      <c r="K125">
        <v>81</v>
      </c>
      <c r="L125">
        <v>12</v>
      </c>
      <c r="M125">
        <v>0</v>
      </c>
      <c r="N125">
        <v>10</v>
      </c>
      <c r="S125">
        <v>25</v>
      </c>
      <c r="U125">
        <v>0</v>
      </c>
      <c r="V125">
        <v>0</v>
      </c>
      <c r="W125" s="1">
        <v>44160</v>
      </c>
      <c r="AF125" t="s">
        <v>40</v>
      </c>
      <c r="AG125" t="s">
        <v>40</v>
      </c>
      <c r="AH125" t="s">
        <v>40</v>
      </c>
      <c r="AI125" t="s">
        <v>40</v>
      </c>
      <c r="AK125" t="s">
        <v>40</v>
      </c>
    </row>
    <row r="126" spans="1:37" x14ac:dyDescent="0.3">
      <c r="A126">
        <v>2019</v>
      </c>
      <c r="B126">
        <v>2</v>
      </c>
      <c r="C126" t="str">
        <f t="shared" si="2"/>
        <v>2/01/2019</v>
      </c>
      <c r="D126" s="1" t="str">
        <f t="shared" si="3"/>
        <v>2/01/2019</v>
      </c>
      <c r="E126" t="s">
        <v>37</v>
      </c>
      <c r="F126" t="s">
        <v>38</v>
      </c>
      <c r="G126" t="s">
        <v>44</v>
      </c>
      <c r="H126">
        <v>498</v>
      </c>
      <c r="I126">
        <v>428</v>
      </c>
      <c r="J126">
        <v>14</v>
      </c>
      <c r="K126">
        <v>154</v>
      </c>
      <c r="L126">
        <v>33</v>
      </c>
      <c r="M126">
        <v>0</v>
      </c>
      <c r="N126">
        <v>17</v>
      </c>
      <c r="Q126">
        <v>10</v>
      </c>
      <c r="S126">
        <v>59</v>
      </c>
      <c r="T126">
        <v>29</v>
      </c>
      <c r="U126">
        <v>0</v>
      </c>
      <c r="V126">
        <v>0</v>
      </c>
      <c r="W126" s="1">
        <v>44160</v>
      </c>
      <c r="AF126" t="s">
        <v>40</v>
      </c>
      <c r="AG126" t="s">
        <v>40</v>
      </c>
      <c r="AI126" t="s">
        <v>40</v>
      </c>
    </row>
    <row r="127" spans="1:37" x14ac:dyDescent="0.3">
      <c r="A127">
        <v>2019</v>
      </c>
      <c r="B127">
        <v>2</v>
      </c>
      <c r="C127" t="str">
        <f t="shared" si="2"/>
        <v>2/01/2019</v>
      </c>
      <c r="D127" s="1" t="str">
        <f t="shared" si="3"/>
        <v>2/01/2019</v>
      </c>
      <c r="E127" t="s">
        <v>37</v>
      </c>
      <c r="F127" t="s">
        <v>38</v>
      </c>
      <c r="G127" t="s">
        <v>45</v>
      </c>
      <c r="H127">
        <v>43</v>
      </c>
      <c r="I127">
        <v>33</v>
      </c>
      <c r="K127">
        <v>12</v>
      </c>
      <c r="L127">
        <v>0</v>
      </c>
      <c r="M127">
        <v>0</v>
      </c>
      <c r="O127">
        <v>0</v>
      </c>
      <c r="Q127">
        <v>0</v>
      </c>
      <c r="R127">
        <v>0</v>
      </c>
      <c r="T127">
        <v>0</v>
      </c>
      <c r="U127">
        <v>0</v>
      </c>
      <c r="V127">
        <v>0</v>
      </c>
      <c r="W127" s="1">
        <v>44160</v>
      </c>
      <c r="AA127" t="s">
        <v>40</v>
      </c>
      <c r="AE127" t="s">
        <v>40</v>
      </c>
      <c r="AG127" t="s">
        <v>40</v>
      </c>
      <c r="AJ127" t="s">
        <v>40</v>
      </c>
    </row>
    <row r="128" spans="1:37" x14ac:dyDescent="0.3">
      <c r="A128">
        <v>2019</v>
      </c>
      <c r="B128">
        <v>2</v>
      </c>
      <c r="C128" t="str">
        <f t="shared" si="2"/>
        <v>2/01/2019</v>
      </c>
      <c r="D128" s="1" t="str">
        <f t="shared" si="3"/>
        <v>2/01/2019</v>
      </c>
      <c r="E128" t="s">
        <v>37</v>
      </c>
      <c r="F128" t="s">
        <v>38</v>
      </c>
      <c r="G128" t="s">
        <v>46</v>
      </c>
      <c r="H128">
        <v>946</v>
      </c>
      <c r="I128">
        <v>895</v>
      </c>
      <c r="J128">
        <v>20</v>
      </c>
      <c r="K128">
        <v>342</v>
      </c>
      <c r="L128">
        <v>61</v>
      </c>
      <c r="N128">
        <v>38</v>
      </c>
      <c r="O128">
        <v>24</v>
      </c>
      <c r="Q128">
        <v>27</v>
      </c>
      <c r="S128">
        <v>138</v>
      </c>
      <c r="T128">
        <v>38</v>
      </c>
      <c r="U128">
        <v>0</v>
      </c>
      <c r="V128">
        <v>0</v>
      </c>
      <c r="W128" s="1">
        <v>44160</v>
      </c>
      <c r="AD128" t="s">
        <v>40</v>
      </c>
      <c r="AG128" t="s">
        <v>40</v>
      </c>
      <c r="AI128" t="s">
        <v>40</v>
      </c>
    </row>
    <row r="129" spans="1:37" x14ac:dyDescent="0.3">
      <c r="A129">
        <v>2019</v>
      </c>
      <c r="B129">
        <v>2</v>
      </c>
      <c r="C129" t="str">
        <f t="shared" si="2"/>
        <v>2/01/2019</v>
      </c>
      <c r="D129" s="1" t="str">
        <f t="shared" si="3"/>
        <v>2/01/2019</v>
      </c>
      <c r="E129" t="s">
        <v>37</v>
      </c>
      <c r="F129" t="s">
        <v>38</v>
      </c>
      <c r="G129" t="s">
        <v>47</v>
      </c>
      <c r="H129" s="2">
        <v>1258</v>
      </c>
      <c r="I129" s="2">
        <v>1219</v>
      </c>
      <c r="J129">
        <v>20</v>
      </c>
      <c r="K129">
        <v>402</v>
      </c>
      <c r="L129">
        <v>104</v>
      </c>
      <c r="M129">
        <v>24</v>
      </c>
      <c r="N129">
        <v>25</v>
      </c>
      <c r="O129">
        <v>31</v>
      </c>
      <c r="P129">
        <v>26</v>
      </c>
      <c r="Q129">
        <v>32</v>
      </c>
      <c r="S129">
        <v>225</v>
      </c>
      <c r="T129">
        <v>78</v>
      </c>
      <c r="U129">
        <v>0</v>
      </c>
      <c r="V129">
        <v>0</v>
      </c>
      <c r="W129" s="1">
        <v>44160</v>
      </c>
      <c r="AI129" t="s">
        <v>40</v>
      </c>
    </row>
    <row r="130" spans="1:37" x14ac:dyDescent="0.3">
      <c r="A130">
        <v>2019</v>
      </c>
      <c r="B130">
        <v>2</v>
      </c>
      <c r="C130" t="str">
        <f t="shared" si="2"/>
        <v>2/01/2019</v>
      </c>
      <c r="D130" s="1" t="str">
        <f t="shared" si="3"/>
        <v>2/01/2019</v>
      </c>
      <c r="E130" t="s">
        <v>37</v>
      </c>
      <c r="F130" t="s">
        <v>38</v>
      </c>
      <c r="G130" t="s">
        <v>48</v>
      </c>
      <c r="H130" s="2">
        <v>1772</v>
      </c>
      <c r="I130" s="2">
        <v>1734</v>
      </c>
      <c r="J130">
        <v>27</v>
      </c>
      <c r="K130">
        <v>362</v>
      </c>
      <c r="L130">
        <v>103</v>
      </c>
      <c r="M130">
        <v>123</v>
      </c>
      <c r="N130">
        <v>46</v>
      </c>
      <c r="O130">
        <v>83</v>
      </c>
      <c r="P130">
        <v>49</v>
      </c>
      <c r="Q130">
        <v>47</v>
      </c>
      <c r="S130">
        <v>362</v>
      </c>
      <c r="T130">
        <v>130</v>
      </c>
      <c r="U130">
        <v>0</v>
      </c>
      <c r="V130">
        <v>0</v>
      </c>
      <c r="W130" s="1">
        <v>44160</v>
      </c>
      <c r="AI130" t="s">
        <v>40</v>
      </c>
    </row>
    <row r="131" spans="1:37" x14ac:dyDescent="0.3">
      <c r="A131">
        <v>2019</v>
      </c>
      <c r="B131">
        <v>2</v>
      </c>
      <c r="C131" t="str">
        <f t="shared" ref="C131:C194" si="4">CONCATENATE(B131,"/01/",A131)</f>
        <v>2/01/2019</v>
      </c>
      <c r="D131" s="1" t="str">
        <f t="shared" ref="D131:D194" si="5">C131</f>
        <v>2/01/2019</v>
      </c>
      <c r="E131" t="s">
        <v>37</v>
      </c>
      <c r="F131" t="s">
        <v>38</v>
      </c>
      <c r="G131" t="s">
        <v>49</v>
      </c>
      <c r="H131" s="2">
        <v>2486</v>
      </c>
      <c r="I131" s="2">
        <v>2428</v>
      </c>
      <c r="J131">
        <v>24</v>
      </c>
      <c r="K131">
        <v>241</v>
      </c>
      <c r="L131">
        <v>84</v>
      </c>
      <c r="M131">
        <v>326</v>
      </c>
      <c r="N131">
        <v>66</v>
      </c>
      <c r="O131">
        <v>93</v>
      </c>
      <c r="P131">
        <v>37</v>
      </c>
      <c r="Q131">
        <v>48</v>
      </c>
      <c r="R131">
        <v>20</v>
      </c>
      <c r="S131">
        <v>666</v>
      </c>
      <c r="T131">
        <v>221</v>
      </c>
      <c r="U131">
        <v>0</v>
      </c>
      <c r="V131">
        <v>0</v>
      </c>
      <c r="W131" s="1">
        <v>44160</v>
      </c>
    </row>
    <row r="132" spans="1:37" x14ac:dyDescent="0.3">
      <c r="A132">
        <v>2019</v>
      </c>
      <c r="B132">
        <v>2</v>
      </c>
      <c r="C132" t="str">
        <f t="shared" si="4"/>
        <v>2/01/2019</v>
      </c>
      <c r="D132" s="1" t="str">
        <f t="shared" si="5"/>
        <v>2/01/2019</v>
      </c>
      <c r="E132" t="s">
        <v>37</v>
      </c>
      <c r="F132" t="s">
        <v>50</v>
      </c>
      <c r="G132" t="s">
        <v>39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S132">
        <v>0</v>
      </c>
      <c r="T132">
        <v>0</v>
      </c>
      <c r="U132">
        <v>0</v>
      </c>
      <c r="V132">
        <v>0</v>
      </c>
      <c r="W132" s="1">
        <v>44160</v>
      </c>
      <c r="Y132" t="s">
        <v>40</v>
      </c>
      <c r="Z132" t="s">
        <v>40</v>
      </c>
      <c r="AI132" t="s">
        <v>40</v>
      </c>
    </row>
    <row r="133" spans="1:37" x14ac:dyDescent="0.3">
      <c r="A133">
        <v>2019</v>
      </c>
      <c r="B133">
        <v>2</v>
      </c>
      <c r="C133" t="str">
        <f t="shared" si="4"/>
        <v>2/01/2019</v>
      </c>
      <c r="D133" s="1" t="str">
        <f t="shared" si="5"/>
        <v>2/01/2019</v>
      </c>
      <c r="E133" t="s">
        <v>37</v>
      </c>
      <c r="F133" t="s">
        <v>50</v>
      </c>
      <c r="G133" t="s">
        <v>41</v>
      </c>
      <c r="H133">
        <v>10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 s="1">
        <v>44160</v>
      </c>
      <c r="Z133" t="s">
        <v>40</v>
      </c>
    </row>
    <row r="134" spans="1:37" x14ac:dyDescent="0.3">
      <c r="A134">
        <v>2019</v>
      </c>
      <c r="B134">
        <v>2</v>
      </c>
      <c r="C134" t="str">
        <f t="shared" si="4"/>
        <v>2/01/2019</v>
      </c>
      <c r="D134" s="1" t="str">
        <f t="shared" si="5"/>
        <v>2/01/2019</v>
      </c>
      <c r="E134" t="s">
        <v>37</v>
      </c>
      <c r="F134" t="s">
        <v>50</v>
      </c>
      <c r="G134" t="s">
        <v>42</v>
      </c>
      <c r="H134">
        <v>29</v>
      </c>
      <c r="I134">
        <v>12</v>
      </c>
      <c r="J134">
        <v>0</v>
      </c>
      <c r="M134">
        <v>0</v>
      </c>
      <c r="N134">
        <v>0</v>
      </c>
      <c r="O134">
        <v>0</v>
      </c>
      <c r="P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 s="1">
        <v>44160</v>
      </c>
      <c r="AB134" t="s">
        <v>40</v>
      </c>
      <c r="AC134" t="s">
        <v>40</v>
      </c>
      <c r="AH134" t="s">
        <v>40</v>
      </c>
    </row>
    <row r="135" spans="1:37" x14ac:dyDescent="0.3">
      <c r="A135">
        <v>2019</v>
      </c>
      <c r="B135">
        <v>2</v>
      </c>
      <c r="C135" t="str">
        <f t="shared" si="4"/>
        <v>2/01/2019</v>
      </c>
      <c r="D135" s="1" t="str">
        <f t="shared" si="5"/>
        <v>2/01/2019</v>
      </c>
      <c r="E135" t="s">
        <v>37</v>
      </c>
      <c r="F135" t="s">
        <v>50</v>
      </c>
      <c r="G135" t="s">
        <v>43</v>
      </c>
      <c r="H135">
        <v>39</v>
      </c>
      <c r="I135">
        <v>28</v>
      </c>
      <c r="J135">
        <v>0</v>
      </c>
      <c r="M135">
        <v>0</v>
      </c>
      <c r="O135">
        <v>0</v>
      </c>
      <c r="P135">
        <v>0</v>
      </c>
      <c r="R135">
        <v>0</v>
      </c>
      <c r="T135">
        <v>0</v>
      </c>
      <c r="U135">
        <v>0</v>
      </c>
      <c r="V135">
        <v>0</v>
      </c>
      <c r="W135" s="1">
        <v>44160</v>
      </c>
      <c r="AB135" t="s">
        <v>40</v>
      </c>
      <c r="AC135" t="s">
        <v>40</v>
      </c>
      <c r="AE135" t="s">
        <v>40</v>
      </c>
      <c r="AH135" t="s">
        <v>40</v>
      </c>
      <c r="AJ135" t="s">
        <v>40</v>
      </c>
    </row>
    <row r="136" spans="1:37" x14ac:dyDescent="0.3">
      <c r="A136">
        <v>2019</v>
      </c>
      <c r="B136">
        <v>2</v>
      </c>
      <c r="C136" t="str">
        <f t="shared" si="4"/>
        <v>2/01/2019</v>
      </c>
      <c r="D136" s="1" t="str">
        <f t="shared" si="5"/>
        <v>2/01/2019</v>
      </c>
      <c r="E136" t="s">
        <v>37</v>
      </c>
      <c r="F136" t="s">
        <v>50</v>
      </c>
      <c r="G136" t="s">
        <v>44</v>
      </c>
      <c r="H136">
        <v>64</v>
      </c>
      <c r="I136">
        <v>50</v>
      </c>
      <c r="K136">
        <v>12</v>
      </c>
      <c r="M136">
        <v>0</v>
      </c>
      <c r="N136">
        <v>0</v>
      </c>
      <c r="P136">
        <v>0</v>
      </c>
      <c r="R136">
        <v>0</v>
      </c>
      <c r="U136">
        <v>0</v>
      </c>
      <c r="V136">
        <v>0</v>
      </c>
      <c r="W136" s="1">
        <v>44160</v>
      </c>
      <c r="AA136" t="s">
        <v>40</v>
      </c>
      <c r="AC136" t="s">
        <v>40</v>
      </c>
      <c r="AF136" t="s">
        <v>40</v>
      </c>
      <c r="AH136" t="s">
        <v>40</v>
      </c>
      <c r="AJ136" t="s">
        <v>40</v>
      </c>
      <c r="AK136" t="s">
        <v>40</v>
      </c>
    </row>
    <row r="137" spans="1:37" x14ac:dyDescent="0.3">
      <c r="A137">
        <v>2019</v>
      </c>
      <c r="B137">
        <v>2</v>
      </c>
      <c r="C137" t="str">
        <f t="shared" si="4"/>
        <v>2/01/2019</v>
      </c>
      <c r="D137" s="1" t="str">
        <f t="shared" si="5"/>
        <v>2/01/2019</v>
      </c>
      <c r="E137" t="s">
        <v>37</v>
      </c>
      <c r="F137" t="s">
        <v>50</v>
      </c>
      <c r="G137" t="s">
        <v>45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 s="1">
        <v>44160</v>
      </c>
      <c r="Y137" t="s">
        <v>40</v>
      </c>
    </row>
    <row r="138" spans="1:37" x14ac:dyDescent="0.3">
      <c r="A138">
        <v>2019</v>
      </c>
      <c r="B138">
        <v>2</v>
      </c>
      <c r="C138" t="str">
        <f t="shared" si="4"/>
        <v>2/01/2019</v>
      </c>
      <c r="D138" s="1" t="str">
        <f t="shared" si="5"/>
        <v>2/01/2019</v>
      </c>
      <c r="E138" t="s">
        <v>37</v>
      </c>
      <c r="F138" t="s">
        <v>50</v>
      </c>
      <c r="G138" t="s">
        <v>46</v>
      </c>
      <c r="H138">
        <v>112</v>
      </c>
      <c r="I138">
        <v>106</v>
      </c>
      <c r="K138">
        <v>21</v>
      </c>
      <c r="L138">
        <v>12</v>
      </c>
      <c r="M138">
        <v>0</v>
      </c>
      <c r="S138">
        <v>16</v>
      </c>
      <c r="U138">
        <v>0</v>
      </c>
      <c r="V138">
        <v>0</v>
      </c>
      <c r="W138" s="1">
        <v>44160</v>
      </c>
      <c r="AA138" t="s">
        <v>40</v>
      </c>
      <c r="AE138" t="s">
        <v>40</v>
      </c>
      <c r="AF138" t="s">
        <v>40</v>
      </c>
      <c r="AG138" t="s">
        <v>40</v>
      </c>
      <c r="AH138" t="s">
        <v>40</v>
      </c>
      <c r="AI138" t="s">
        <v>40</v>
      </c>
      <c r="AK138" t="s">
        <v>40</v>
      </c>
    </row>
    <row r="139" spans="1:37" x14ac:dyDescent="0.3">
      <c r="A139">
        <v>2019</v>
      </c>
      <c r="B139">
        <v>2</v>
      </c>
      <c r="C139" t="str">
        <f t="shared" si="4"/>
        <v>2/01/2019</v>
      </c>
      <c r="D139" s="1" t="str">
        <f t="shared" si="5"/>
        <v>2/01/2019</v>
      </c>
      <c r="E139" t="s">
        <v>37</v>
      </c>
      <c r="F139" t="s">
        <v>50</v>
      </c>
      <c r="G139" t="s">
        <v>47</v>
      </c>
      <c r="H139">
        <v>133</v>
      </c>
      <c r="I139">
        <v>130</v>
      </c>
      <c r="K139">
        <v>33</v>
      </c>
      <c r="M139">
        <v>0</v>
      </c>
      <c r="O139">
        <v>14</v>
      </c>
      <c r="P139">
        <v>0</v>
      </c>
      <c r="R139">
        <v>0</v>
      </c>
      <c r="S139">
        <v>25</v>
      </c>
      <c r="U139">
        <v>0</v>
      </c>
      <c r="V139">
        <v>0</v>
      </c>
      <c r="W139" s="1">
        <v>44160</v>
      </c>
      <c r="AA139" t="s">
        <v>40</v>
      </c>
      <c r="AC139" t="s">
        <v>40</v>
      </c>
      <c r="AE139" t="s">
        <v>40</v>
      </c>
      <c r="AH139" t="s">
        <v>40</v>
      </c>
      <c r="AK139" t="s">
        <v>40</v>
      </c>
    </row>
    <row r="140" spans="1:37" x14ac:dyDescent="0.3">
      <c r="A140">
        <v>2019</v>
      </c>
      <c r="B140">
        <v>2</v>
      </c>
      <c r="C140" t="str">
        <f t="shared" si="4"/>
        <v>2/01/2019</v>
      </c>
      <c r="D140" s="1" t="str">
        <f t="shared" si="5"/>
        <v>2/01/2019</v>
      </c>
      <c r="E140" t="s">
        <v>37</v>
      </c>
      <c r="F140" t="s">
        <v>50</v>
      </c>
      <c r="G140" t="s">
        <v>48</v>
      </c>
      <c r="H140">
        <v>128</v>
      </c>
      <c r="I140">
        <v>125</v>
      </c>
      <c r="K140">
        <v>18</v>
      </c>
      <c r="L140">
        <v>10</v>
      </c>
      <c r="O140">
        <v>14</v>
      </c>
      <c r="Q140">
        <v>10</v>
      </c>
      <c r="S140">
        <v>26</v>
      </c>
      <c r="U140">
        <v>0</v>
      </c>
      <c r="V140">
        <v>0</v>
      </c>
      <c r="W140" s="1">
        <v>44160</v>
      </c>
      <c r="AA140" t="s">
        <v>40</v>
      </c>
      <c r="AD140" t="s">
        <v>40</v>
      </c>
      <c r="AE140" t="s">
        <v>40</v>
      </c>
      <c r="AG140" t="s">
        <v>40</v>
      </c>
      <c r="AI140" t="s">
        <v>40</v>
      </c>
      <c r="AK140" t="s">
        <v>40</v>
      </c>
    </row>
    <row r="141" spans="1:37" x14ac:dyDescent="0.3">
      <c r="A141">
        <v>2019</v>
      </c>
      <c r="B141">
        <v>2</v>
      </c>
      <c r="C141" t="str">
        <f t="shared" si="4"/>
        <v>2/01/2019</v>
      </c>
      <c r="D141" s="1" t="str">
        <f t="shared" si="5"/>
        <v>2/01/2019</v>
      </c>
      <c r="E141" t="s">
        <v>37</v>
      </c>
      <c r="F141" t="s">
        <v>50</v>
      </c>
      <c r="G141" t="s">
        <v>49</v>
      </c>
      <c r="H141">
        <v>110</v>
      </c>
      <c r="I141">
        <v>110</v>
      </c>
      <c r="J141">
        <v>0</v>
      </c>
      <c r="M141">
        <v>10</v>
      </c>
      <c r="O141">
        <v>15</v>
      </c>
      <c r="S141">
        <v>30</v>
      </c>
      <c r="U141">
        <v>0</v>
      </c>
      <c r="V141">
        <v>0</v>
      </c>
      <c r="W141" s="1">
        <v>44160</v>
      </c>
      <c r="AB141" t="s">
        <v>40</v>
      </c>
      <c r="AC141" t="s">
        <v>40</v>
      </c>
      <c r="AE141" t="s">
        <v>40</v>
      </c>
      <c r="AG141" t="s">
        <v>40</v>
      </c>
      <c r="AH141" t="s">
        <v>40</v>
      </c>
      <c r="AI141" t="s">
        <v>40</v>
      </c>
      <c r="AK141" t="s">
        <v>40</v>
      </c>
    </row>
    <row r="142" spans="1:37" x14ac:dyDescent="0.3">
      <c r="A142">
        <v>2019</v>
      </c>
      <c r="B142">
        <v>2</v>
      </c>
      <c r="C142" t="str">
        <f t="shared" si="4"/>
        <v>2/01/2019</v>
      </c>
      <c r="D142" s="1" t="str">
        <f t="shared" si="5"/>
        <v>2/01/2019</v>
      </c>
      <c r="E142" t="s">
        <v>37</v>
      </c>
      <c r="F142" t="s">
        <v>51</v>
      </c>
      <c r="G142" t="s">
        <v>39</v>
      </c>
      <c r="H142">
        <v>28</v>
      </c>
      <c r="I142">
        <v>28</v>
      </c>
      <c r="J142">
        <v>0</v>
      </c>
      <c r="L142">
        <v>0</v>
      </c>
      <c r="M142">
        <v>0</v>
      </c>
      <c r="O142">
        <v>0</v>
      </c>
      <c r="P142">
        <v>0</v>
      </c>
      <c r="Q142">
        <v>0</v>
      </c>
      <c r="T142">
        <v>0</v>
      </c>
      <c r="U142">
        <v>0</v>
      </c>
      <c r="V142">
        <v>0</v>
      </c>
      <c r="W142" s="1">
        <v>44160</v>
      </c>
      <c r="AB142" t="s">
        <v>40</v>
      </c>
      <c r="AE142" t="s">
        <v>40</v>
      </c>
      <c r="AI142" t="s">
        <v>40</v>
      </c>
      <c r="AJ142" t="s">
        <v>40</v>
      </c>
    </row>
    <row r="143" spans="1:37" x14ac:dyDescent="0.3">
      <c r="A143">
        <v>2019</v>
      </c>
      <c r="B143">
        <v>2</v>
      </c>
      <c r="C143" t="str">
        <f t="shared" si="4"/>
        <v>2/01/2019</v>
      </c>
      <c r="D143" s="1" t="str">
        <f t="shared" si="5"/>
        <v>2/01/2019</v>
      </c>
      <c r="E143" t="s">
        <v>37</v>
      </c>
      <c r="F143" t="s">
        <v>51</v>
      </c>
      <c r="G143" t="s">
        <v>41</v>
      </c>
      <c r="H143">
        <v>13</v>
      </c>
      <c r="J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 s="1">
        <v>44160</v>
      </c>
      <c r="Z143" t="s">
        <v>40</v>
      </c>
      <c r="AB143" t="s">
        <v>40</v>
      </c>
      <c r="AC143" t="s">
        <v>40</v>
      </c>
    </row>
    <row r="144" spans="1:37" x14ac:dyDescent="0.3">
      <c r="A144">
        <v>2019</v>
      </c>
      <c r="B144">
        <v>2</v>
      </c>
      <c r="C144" t="str">
        <f t="shared" si="4"/>
        <v>2/01/2019</v>
      </c>
      <c r="D144" s="1" t="str">
        <f t="shared" si="5"/>
        <v>2/01/2019</v>
      </c>
      <c r="E144" t="s">
        <v>37</v>
      </c>
      <c r="F144" t="s">
        <v>51</v>
      </c>
      <c r="G144" t="s">
        <v>42</v>
      </c>
      <c r="H144">
        <v>36</v>
      </c>
      <c r="I144">
        <v>17</v>
      </c>
      <c r="J144">
        <v>0</v>
      </c>
      <c r="L144">
        <v>0</v>
      </c>
      <c r="M144">
        <v>0</v>
      </c>
      <c r="O144">
        <v>0</v>
      </c>
      <c r="P144">
        <v>0</v>
      </c>
      <c r="Q144">
        <v>0</v>
      </c>
      <c r="S144">
        <v>0</v>
      </c>
      <c r="T144">
        <v>0</v>
      </c>
      <c r="U144">
        <v>0</v>
      </c>
      <c r="V144">
        <v>0</v>
      </c>
      <c r="W144" s="1">
        <v>44160</v>
      </c>
      <c r="AB144" t="s">
        <v>40</v>
      </c>
      <c r="AE144" t="s">
        <v>40</v>
      </c>
      <c r="AI144" t="s">
        <v>40</v>
      </c>
    </row>
    <row r="145" spans="1:37" x14ac:dyDescent="0.3">
      <c r="A145">
        <v>2019</v>
      </c>
      <c r="B145">
        <v>2</v>
      </c>
      <c r="C145" t="str">
        <f t="shared" si="4"/>
        <v>2/01/2019</v>
      </c>
      <c r="D145" s="1" t="str">
        <f t="shared" si="5"/>
        <v>2/01/2019</v>
      </c>
      <c r="E145" t="s">
        <v>37</v>
      </c>
      <c r="F145" t="s">
        <v>51</v>
      </c>
      <c r="G145" t="s">
        <v>43</v>
      </c>
      <c r="H145">
        <v>52</v>
      </c>
      <c r="I145">
        <v>45</v>
      </c>
      <c r="J145">
        <v>0</v>
      </c>
      <c r="K145">
        <v>20</v>
      </c>
      <c r="M145">
        <v>0</v>
      </c>
      <c r="O145">
        <v>0</v>
      </c>
      <c r="P145">
        <v>0</v>
      </c>
      <c r="Q145">
        <v>0</v>
      </c>
      <c r="U145">
        <v>0</v>
      </c>
      <c r="V145">
        <v>0</v>
      </c>
      <c r="W145" s="1">
        <v>44160</v>
      </c>
      <c r="AC145" t="s">
        <v>40</v>
      </c>
      <c r="AE145" t="s">
        <v>40</v>
      </c>
      <c r="AI145" t="s">
        <v>40</v>
      </c>
      <c r="AJ145" t="s">
        <v>40</v>
      </c>
      <c r="AK145" t="s">
        <v>40</v>
      </c>
    </row>
    <row r="146" spans="1:37" x14ac:dyDescent="0.3">
      <c r="A146">
        <v>2019</v>
      </c>
      <c r="B146">
        <v>2</v>
      </c>
      <c r="C146" t="str">
        <f t="shared" si="4"/>
        <v>2/01/2019</v>
      </c>
      <c r="D146" s="1" t="str">
        <f t="shared" si="5"/>
        <v>2/01/2019</v>
      </c>
      <c r="E146" t="s">
        <v>37</v>
      </c>
      <c r="F146" t="s">
        <v>51</v>
      </c>
      <c r="G146" t="s">
        <v>44</v>
      </c>
      <c r="H146">
        <v>154</v>
      </c>
      <c r="I146">
        <v>137</v>
      </c>
      <c r="J146">
        <v>0</v>
      </c>
      <c r="K146">
        <v>84</v>
      </c>
      <c r="M146">
        <v>0</v>
      </c>
      <c r="O146">
        <v>0</v>
      </c>
      <c r="P146">
        <v>0</v>
      </c>
      <c r="S146">
        <v>14</v>
      </c>
      <c r="U146">
        <v>0</v>
      </c>
      <c r="V146">
        <v>0</v>
      </c>
      <c r="W146" s="1">
        <v>44160</v>
      </c>
      <c r="AC146" t="s">
        <v>40</v>
      </c>
      <c r="AE146" t="s">
        <v>40</v>
      </c>
      <c r="AH146" t="s">
        <v>40</v>
      </c>
      <c r="AI146" t="s">
        <v>40</v>
      </c>
      <c r="AK146" t="s">
        <v>40</v>
      </c>
    </row>
    <row r="147" spans="1:37" x14ac:dyDescent="0.3">
      <c r="A147">
        <v>2019</v>
      </c>
      <c r="B147">
        <v>2</v>
      </c>
      <c r="C147" t="str">
        <f t="shared" si="4"/>
        <v>2/01/2019</v>
      </c>
      <c r="D147" s="1" t="str">
        <f t="shared" si="5"/>
        <v>2/01/2019</v>
      </c>
      <c r="E147" t="s">
        <v>37</v>
      </c>
      <c r="F147" t="s">
        <v>51</v>
      </c>
      <c r="G147" t="s">
        <v>45</v>
      </c>
      <c r="J147">
        <v>0</v>
      </c>
      <c r="L147">
        <v>0</v>
      </c>
      <c r="M147">
        <v>0</v>
      </c>
      <c r="O147">
        <v>0</v>
      </c>
      <c r="P147">
        <v>0</v>
      </c>
      <c r="Q147">
        <v>0</v>
      </c>
      <c r="R147">
        <v>0</v>
      </c>
      <c r="T147">
        <v>0</v>
      </c>
      <c r="U147">
        <v>0</v>
      </c>
      <c r="V147">
        <v>0</v>
      </c>
      <c r="W147" s="1">
        <v>44160</v>
      </c>
      <c r="Y147" t="s">
        <v>40</v>
      </c>
      <c r="Z147" t="s">
        <v>40</v>
      </c>
      <c r="AB147" t="s">
        <v>40</v>
      </c>
      <c r="AE147" t="s">
        <v>40</v>
      </c>
      <c r="AJ147" t="s">
        <v>40</v>
      </c>
    </row>
    <row r="148" spans="1:37" x14ac:dyDescent="0.3">
      <c r="A148">
        <v>2019</v>
      </c>
      <c r="B148">
        <v>2</v>
      </c>
      <c r="C148" t="str">
        <f t="shared" si="4"/>
        <v>2/01/2019</v>
      </c>
      <c r="D148" s="1" t="str">
        <f t="shared" si="5"/>
        <v>2/01/2019</v>
      </c>
      <c r="E148" t="s">
        <v>37</v>
      </c>
      <c r="F148" t="s">
        <v>51</v>
      </c>
      <c r="G148" t="s">
        <v>46</v>
      </c>
      <c r="H148">
        <v>250</v>
      </c>
      <c r="I148">
        <v>238</v>
      </c>
      <c r="K148">
        <v>119</v>
      </c>
      <c r="L148">
        <v>12</v>
      </c>
      <c r="M148">
        <v>0</v>
      </c>
      <c r="R148">
        <v>0</v>
      </c>
      <c r="S148">
        <v>34</v>
      </c>
      <c r="T148">
        <v>14</v>
      </c>
      <c r="U148">
        <v>0</v>
      </c>
      <c r="V148">
        <v>0</v>
      </c>
      <c r="W148" s="1">
        <v>44160</v>
      </c>
      <c r="AA148" t="s">
        <v>40</v>
      </c>
      <c r="AE148" t="s">
        <v>40</v>
      </c>
      <c r="AF148" t="s">
        <v>40</v>
      </c>
      <c r="AG148" t="s">
        <v>40</v>
      </c>
      <c r="AH148" t="s">
        <v>40</v>
      </c>
    </row>
    <row r="149" spans="1:37" x14ac:dyDescent="0.3">
      <c r="A149">
        <v>2019</v>
      </c>
      <c r="B149">
        <v>2</v>
      </c>
      <c r="C149" t="str">
        <f t="shared" si="4"/>
        <v>2/01/2019</v>
      </c>
      <c r="D149" s="1" t="str">
        <f t="shared" si="5"/>
        <v>2/01/2019</v>
      </c>
      <c r="E149" t="s">
        <v>37</v>
      </c>
      <c r="F149" t="s">
        <v>51</v>
      </c>
      <c r="G149" t="s">
        <v>47</v>
      </c>
      <c r="H149">
        <v>440</v>
      </c>
      <c r="I149">
        <v>420</v>
      </c>
      <c r="K149">
        <v>149</v>
      </c>
      <c r="L149">
        <v>27</v>
      </c>
      <c r="N149">
        <v>14</v>
      </c>
      <c r="P149">
        <v>10</v>
      </c>
      <c r="Q149">
        <v>11</v>
      </c>
      <c r="S149">
        <v>78</v>
      </c>
      <c r="T149">
        <v>35</v>
      </c>
      <c r="U149">
        <v>0</v>
      </c>
      <c r="V149">
        <v>0</v>
      </c>
      <c r="W149" s="1">
        <v>44160</v>
      </c>
      <c r="AA149" t="s">
        <v>40</v>
      </c>
      <c r="AD149" t="s">
        <v>40</v>
      </c>
      <c r="AF149" t="s">
        <v>40</v>
      </c>
      <c r="AI149" t="s">
        <v>40</v>
      </c>
    </row>
    <row r="150" spans="1:37" x14ac:dyDescent="0.3">
      <c r="A150">
        <v>2019</v>
      </c>
      <c r="B150">
        <v>2</v>
      </c>
      <c r="C150" t="str">
        <f t="shared" si="4"/>
        <v>2/01/2019</v>
      </c>
      <c r="D150" s="1" t="str">
        <f t="shared" si="5"/>
        <v>2/01/2019</v>
      </c>
      <c r="E150" t="s">
        <v>37</v>
      </c>
      <c r="F150" t="s">
        <v>51</v>
      </c>
      <c r="G150" t="s">
        <v>48</v>
      </c>
      <c r="H150">
        <v>684</v>
      </c>
      <c r="I150">
        <v>659</v>
      </c>
      <c r="K150">
        <v>139</v>
      </c>
      <c r="L150">
        <v>46</v>
      </c>
      <c r="M150">
        <v>35</v>
      </c>
      <c r="N150">
        <v>24</v>
      </c>
      <c r="O150">
        <v>26</v>
      </c>
      <c r="P150">
        <v>11</v>
      </c>
      <c r="Q150">
        <v>18</v>
      </c>
      <c r="S150">
        <v>133</v>
      </c>
      <c r="T150">
        <v>64</v>
      </c>
      <c r="U150">
        <v>0</v>
      </c>
      <c r="V150">
        <v>0</v>
      </c>
      <c r="W150" s="1">
        <v>44160</v>
      </c>
      <c r="AA150" t="s">
        <v>40</v>
      </c>
      <c r="AI150" t="s">
        <v>40</v>
      </c>
    </row>
    <row r="151" spans="1:37" x14ac:dyDescent="0.3">
      <c r="A151">
        <v>2019</v>
      </c>
      <c r="B151">
        <v>2</v>
      </c>
      <c r="C151" t="str">
        <f t="shared" si="4"/>
        <v>2/01/2019</v>
      </c>
      <c r="D151" s="1" t="str">
        <f t="shared" si="5"/>
        <v>2/01/2019</v>
      </c>
      <c r="E151" t="s">
        <v>37</v>
      </c>
      <c r="F151" t="s">
        <v>51</v>
      </c>
      <c r="G151" t="s">
        <v>49</v>
      </c>
      <c r="H151" s="2">
        <v>1191</v>
      </c>
      <c r="I151" s="2">
        <v>1164</v>
      </c>
      <c r="J151">
        <v>14</v>
      </c>
      <c r="K151">
        <v>113</v>
      </c>
      <c r="L151">
        <v>51</v>
      </c>
      <c r="M151">
        <v>148</v>
      </c>
      <c r="N151">
        <v>60</v>
      </c>
      <c r="O151">
        <v>34</v>
      </c>
      <c r="P151">
        <v>13</v>
      </c>
      <c r="Q151">
        <v>28</v>
      </c>
      <c r="R151">
        <v>10</v>
      </c>
      <c r="S151">
        <v>287</v>
      </c>
      <c r="T151">
        <v>101</v>
      </c>
      <c r="U151">
        <v>0</v>
      </c>
      <c r="V151">
        <v>0</v>
      </c>
      <c r="W151" s="1">
        <v>44160</v>
      </c>
    </row>
    <row r="152" spans="1:37" x14ac:dyDescent="0.3">
      <c r="A152">
        <v>2019</v>
      </c>
      <c r="B152">
        <v>2</v>
      </c>
      <c r="C152" t="str">
        <f t="shared" si="4"/>
        <v>2/01/2019</v>
      </c>
      <c r="D152" s="1" t="str">
        <f t="shared" si="5"/>
        <v>2/01/2019</v>
      </c>
      <c r="E152" t="s">
        <v>37</v>
      </c>
      <c r="F152" t="s">
        <v>52</v>
      </c>
      <c r="G152" t="s">
        <v>39</v>
      </c>
      <c r="H152">
        <v>247</v>
      </c>
      <c r="I152">
        <v>224</v>
      </c>
      <c r="L152">
        <v>0</v>
      </c>
      <c r="M152">
        <v>0</v>
      </c>
      <c r="O152">
        <v>0</v>
      </c>
      <c r="Q152">
        <v>0</v>
      </c>
      <c r="R152">
        <v>28</v>
      </c>
      <c r="T152">
        <v>0</v>
      </c>
      <c r="U152">
        <v>0</v>
      </c>
      <c r="V152">
        <v>0</v>
      </c>
      <c r="W152" s="1">
        <v>44160</v>
      </c>
      <c r="AA152" t="s">
        <v>40</v>
      </c>
      <c r="AB152" t="s">
        <v>40</v>
      </c>
      <c r="AE152" t="s">
        <v>40</v>
      </c>
      <c r="AG152" t="s">
        <v>40</v>
      </c>
      <c r="AJ152" t="s">
        <v>40</v>
      </c>
    </row>
    <row r="153" spans="1:37" x14ac:dyDescent="0.3">
      <c r="A153">
        <v>2019</v>
      </c>
      <c r="B153">
        <v>2</v>
      </c>
      <c r="C153" t="str">
        <f t="shared" si="4"/>
        <v>2/01/2019</v>
      </c>
      <c r="D153" s="1" t="str">
        <f t="shared" si="5"/>
        <v>2/01/2019</v>
      </c>
      <c r="E153" t="s">
        <v>37</v>
      </c>
      <c r="F153" t="s">
        <v>52</v>
      </c>
      <c r="G153" t="s">
        <v>41</v>
      </c>
      <c r="H153">
        <v>120</v>
      </c>
      <c r="I153">
        <v>52</v>
      </c>
      <c r="M153">
        <v>0</v>
      </c>
      <c r="Q153">
        <v>0</v>
      </c>
      <c r="S153">
        <v>19</v>
      </c>
      <c r="U153">
        <v>0</v>
      </c>
      <c r="V153">
        <v>0</v>
      </c>
      <c r="W153" s="1">
        <v>44160</v>
      </c>
      <c r="AA153" t="s">
        <v>40</v>
      </c>
      <c r="AB153" t="s">
        <v>40</v>
      </c>
      <c r="AC153" t="s">
        <v>40</v>
      </c>
      <c r="AE153" t="s">
        <v>40</v>
      </c>
      <c r="AF153" t="s">
        <v>40</v>
      </c>
      <c r="AG153" t="s">
        <v>40</v>
      </c>
      <c r="AI153" t="s">
        <v>40</v>
      </c>
      <c r="AK153" t="s">
        <v>40</v>
      </c>
    </row>
    <row r="154" spans="1:37" x14ac:dyDescent="0.3">
      <c r="A154">
        <v>2019</v>
      </c>
      <c r="B154">
        <v>2</v>
      </c>
      <c r="C154" t="str">
        <f t="shared" si="4"/>
        <v>2/01/2019</v>
      </c>
      <c r="D154" s="1" t="str">
        <f t="shared" si="5"/>
        <v>2/01/2019</v>
      </c>
      <c r="E154" t="s">
        <v>37</v>
      </c>
      <c r="F154" t="s">
        <v>52</v>
      </c>
      <c r="G154" t="s">
        <v>42</v>
      </c>
      <c r="H154">
        <v>268</v>
      </c>
      <c r="I154">
        <v>173</v>
      </c>
      <c r="K154">
        <v>25</v>
      </c>
      <c r="L154">
        <v>15</v>
      </c>
      <c r="M154">
        <v>0</v>
      </c>
      <c r="S154">
        <v>38</v>
      </c>
      <c r="U154">
        <v>0</v>
      </c>
      <c r="V154">
        <v>0</v>
      </c>
      <c r="W154" s="1">
        <v>44160</v>
      </c>
      <c r="AA154" t="s">
        <v>40</v>
      </c>
      <c r="AE154" t="s">
        <v>40</v>
      </c>
      <c r="AF154" t="s">
        <v>40</v>
      </c>
      <c r="AG154" t="s">
        <v>40</v>
      </c>
      <c r="AH154" t="s">
        <v>40</v>
      </c>
      <c r="AI154" t="s">
        <v>40</v>
      </c>
      <c r="AK154" t="s">
        <v>40</v>
      </c>
    </row>
    <row r="155" spans="1:37" x14ac:dyDescent="0.3">
      <c r="A155">
        <v>2019</v>
      </c>
      <c r="B155">
        <v>2</v>
      </c>
      <c r="C155" t="str">
        <f t="shared" si="4"/>
        <v>2/01/2019</v>
      </c>
      <c r="D155" s="1" t="str">
        <f t="shared" si="5"/>
        <v>2/01/2019</v>
      </c>
      <c r="E155" t="s">
        <v>37</v>
      </c>
      <c r="F155" t="s">
        <v>52</v>
      </c>
      <c r="G155" t="s">
        <v>43</v>
      </c>
      <c r="H155">
        <v>498</v>
      </c>
      <c r="I155">
        <v>395</v>
      </c>
      <c r="K155">
        <v>103</v>
      </c>
      <c r="L155">
        <v>17</v>
      </c>
      <c r="M155">
        <v>0</v>
      </c>
      <c r="N155">
        <v>11</v>
      </c>
      <c r="P155">
        <v>12</v>
      </c>
      <c r="Q155">
        <v>11</v>
      </c>
      <c r="S155">
        <v>86</v>
      </c>
      <c r="T155">
        <v>22</v>
      </c>
      <c r="U155">
        <v>0</v>
      </c>
      <c r="V155">
        <v>0</v>
      </c>
      <c r="W155" s="1">
        <v>44160</v>
      </c>
      <c r="AA155" t="s">
        <v>40</v>
      </c>
      <c r="AF155" t="s">
        <v>40</v>
      </c>
      <c r="AI155" t="s">
        <v>40</v>
      </c>
    </row>
    <row r="156" spans="1:37" x14ac:dyDescent="0.3">
      <c r="A156">
        <v>2019</v>
      </c>
      <c r="B156">
        <v>2</v>
      </c>
      <c r="C156" t="str">
        <f t="shared" si="4"/>
        <v>2/01/2019</v>
      </c>
      <c r="D156" s="1" t="str">
        <f t="shared" si="5"/>
        <v>2/01/2019</v>
      </c>
      <c r="E156" t="s">
        <v>37</v>
      </c>
      <c r="F156" t="s">
        <v>52</v>
      </c>
      <c r="G156" t="s">
        <v>44</v>
      </c>
      <c r="H156">
        <v>961</v>
      </c>
      <c r="I156">
        <v>853</v>
      </c>
      <c r="J156">
        <v>18</v>
      </c>
      <c r="K156">
        <v>261</v>
      </c>
      <c r="L156">
        <v>43</v>
      </c>
      <c r="N156">
        <v>19</v>
      </c>
      <c r="O156">
        <v>21</v>
      </c>
      <c r="P156">
        <v>10</v>
      </c>
      <c r="Q156">
        <v>30</v>
      </c>
      <c r="S156">
        <v>219</v>
      </c>
      <c r="T156">
        <v>49</v>
      </c>
      <c r="U156">
        <v>0</v>
      </c>
      <c r="V156">
        <v>0</v>
      </c>
      <c r="W156" s="1">
        <v>44160</v>
      </c>
      <c r="AD156" t="s">
        <v>40</v>
      </c>
      <c r="AI156" t="s">
        <v>40</v>
      </c>
    </row>
    <row r="157" spans="1:37" x14ac:dyDescent="0.3">
      <c r="A157">
        <v>2019</v>
      </c>
      <c r="B157">
        <v>2</v>
      </c>
      <c r="C157" t="str">
        <f t="shared" si="4"/>
        <v>2/01/2019</v>
      </c>
      <c r="D157" s="1" t="str">
        <f t="shared" si="5"/>
        <v>2/01/2019</v>
      </c>
      <c r="E157" t="s">
        <v>37</v>
      </c>
      <c r="F157" t="s">
        <v>52</v>
      </c>
      <c r="G157" t="s">
        <v>45</v>
      </c>
      <c r="H157">
        <v>45</v>
      </c>
      <c r="I157">
        <v>28</v>
      </c>
      <c r="M157">
        <v>0</v>
      </c>
      <c r="Q157">
        <v>0</v>
      </c>
      <c r="T157">
        <v>0</v>
      </c>
      <c r="U157">
        <v>0</v>
      </c>
      <c r="V157">
        <v>0</v>
      </c>
      <c r="W157" s="1">
        <v>44160</v>
      </c>
      <c r="AA157" t="s">
        <v>40</v>
      </c>
      <c r="AB157" t="s">
        <v>40</v>
      </c>
      <c r="AC157" t="s">
        <v>40</v>
      </c>
      <c r="AE157" t="s">
        <v>40</v>
      </c>
      <c r="AF157" t="s">
        <v>40</v>
      </c>
      <c r="AG157" t="s">
        <v>40</v>
      </c>
      <c r="AI157" t="s">
        <v>40</v>
      </c>
      <c r="AJ157" t="s">
        <v>40</v>
      </c>
    </row>
    <row r="158" spans="1:37" x14ac:dyDescent="0.3">
      <c r="A158">
        <v>2019</v>
      </c>
      <c r="B158">
        <v>2</v>
      </c>
      <c r="C158" t="str">
        <f t="shared" si="4"/>
        <v>2/01/2019</v>
      </c>
      <c r="D158" s="1" t="str">
        <f t="shared" si="5"/>
        <v>2/01/2019</v>
      </c>
      <c r="E158" t="s">
        <v>37</v>
      </c>
      <c r="F158" t="s">
        <v>52</v>
      </c>
      <c r="G158" t="s">
        <v>46</v>
      </c>
      <c r="H158" s="2">
        <v>2189</v>
      </c>
      <c r="I158" s="2">
        <v>2087</v>
      </c>
      <c r="J158">
        <v>54</v>
      </c>
      <c r="K158">
        <v>678</v>
      </c>
      <c r="L158">
        <v>120</v>
      </c>
      <c r="M158">
        <v>10</v>
      </c>
      <c r="N158">
        <v>52</v>
      </c>
      <c r="O158">
        <v>112</v>
      </c>
      <c r="P158">
        <v>30</v>
      </c>
      <c r="Q158">
        <v>58</v>
      </c>
      <c r="R158">
        <v>12</v>
      </c>
      <c r="S158">
        <v>473</v>
      </c>
      <c r="T158">
        <v>98</v>
      </c>
      <c r="U158">
        <v>0</v>
      </c>
      <c r="V158">
        <v>0</v>
      </c>
      <c r="W158" s="1">
        <v>44160</v>
      </c>
    </row>
    <row r="159" spans="1:37" x14ac:dyDescent="0.3">
      <c r="A159">
        <v>2019</v>
      </c>
      <c r="B159">
        <v>2</v>
      </c>
      <c r="C159" t="str">
        <f t="shared" si="4"/>
        <v>2/01/2019</v>
      </c>
      <c r="D159" s="1" t="str">
        <f t="shared" si="5"/>
        <v>2/01/2019</v>
      </c>
      <c r="E159" t="s">
        <v>37</v>
      </c>
      <c r="F159" t="s">
        <v>52</v>
      </c>
      <c r="G159" t="s">
        <v>47</v>
      </c>
      <c r="H159" s="2">
        <v>2775</v>
      </c>
      <c r="I159" s="2">
        <v>2707</v>
      </c>
      <c r="J159">
        <v>64</v>
      </c>
      <c r="K159">
        <v>781</v>
      </c>
      <c r="L159">
        <v>175</v>
      </c>
      <c r="M159">
        <v>44</v>
      </c>
      <c r="N159">
        <v>50</v>
      </c>
      <c r="O159">
        <v>146</v>
      </c>
      <c r="P159">
        <v>47</v>
      </c>
      <c r="Q159">
        <v>107</v>
      </c>
      <c r="R159">
        <v>20</v>
      </c>
      <c r="S159">
        <v>614</v>
      </c>
      <c r="T159">
        <v>177</v>
      </c>
      <c r="U159">
        <v>0</v>
      </c>
      <c r="V159">
        <v>0</v>
      </c>
      <c r="W159" s="1">
        <v>44160</v>
      </c>
    </row>
    <row r="160" spans="1:37" x14ac:dyDescent="0.3">
      <c r="A160">
        <v>2019</v>
      </c>
      <c r="B160">
        <v>2</v>
      </c>
      <c r="C160" t="str">
        <f t="shared" si="4"/>
        <v>2/01/2019</v>
      </c>
      <c r="D160" s="1" t="str">
        <f t="shared" si="5"/>
        <v>2/01/2019</v>
      </c>
      <c r="E160" t="s">
        <v>37</v>
      </c>
      <c r="F160" t="s">
        <v>52</v>
      </c>
      <c r="G160" t="s">
        <v>48</v>
      </c>
      <c r="H160" s="2">
        <v>2896</v>
      </c>
      <c r="I160" s="2">
        <v>2853</v>
      </c>
      <c r="J160">
        <v>58</v>
      </c>
      <c r="K160">
        <v>595</v>
      </c>
      <c r="L160">
        <v>143</v>
      </c>
      <c r="M160">
        <v>179</v>
      </c>
      <c r="N160">
        <v>57</v>
      </c>
      <c r="O160">
        <v>109</v>
      </c>
      <c r="P160">
        <v>41</v>
      </c>
      <c r="Q160">
        <v>103</v>
      </c>
      <c r="R160">
        <v>22</v>
      </c>
      <c r="S160">
        <v>697</v>
      </c>
      <c r="T160">
        <v>235</v>
      </c>
      <c r="U160">
        <v>0</v>
      </c>
      <c r="V160">
        <v>0</v>
      </c>
      <c r="W160" s="1">
        <v>44160</v>
      </c>
    </row>
    <row r="161" spans="1:37" x14ac:dyDescent="0.3">
      <c r="A161">
        <v>2019</v>
      </c>
      <c r="B161">
        <v>2</v>
      </c>
      <c r="C161" t="str">
        <f t="shared" si="4"/>
        <v>2/01/2019</v>
      </c>
      <c r="D161" s="1" t="str">
        <f t="shared" si="5"/>
        <v>2/01/2019</v>
      </c>
      <c r="E161" t="s">
        <v>37</v>
      </c>
      <c r="F161" t="s">
        <v>52</v>
      </c>
      <c r="G161" t="s">
        <v>49</v>
      </c>
      <c r="H161" s="2">
        <v>3374</v>
      </c>
      <c r="I161" s="2">
        <v>3328</v>
      </c>
      <c r="J161">
        <v>44</v>
      </c>
      <c r="K161">
        <v>365</v>
      </c>
      <c r="L161">
        <v>115</v>
      </c>
      <c r="M161">
        <v>345</v>
      </c>
      <c r="N161">
        <v>67</v>
      </c>
      <c r="O161">
        <v>92</v>
      </c>
      <c r="P161">
        <v>24</v>
      </c>
      <c r="Q161">
        <v>95</v>
      </c>
      <c r="R161">
        <v>55</v>
      </c>
      <c r="S161">
        <v>919</v>
      </c>
      <c r="T161">
        <v>322</v>
      </c>
      <c r="U161">
        <v>0</v>
      </c>
      <c r="V161">
        <v>0</v>
      </c>
      <c r="W161" s="1">
        <v>44160</v>
      </c>
    </row>
    <row r="162" spans="1:37" x14ac:dyDescent="0.3">
      <c r="A162">
        <v>2019</v>
      </c>
      <c r="B162">
        <v>2</v>
      </c>
      <c r="C162" t="str">
        <f t="shared" si="4"/>
        <v>2/01/2019</v>
      </c>
      <c r="D162" s="1" t="str">
        <f t="shared" si="5"/>
        <v>2/01/2019</v>
      </c>
      <c r="E162" t="s">
        <v>37</v>
      </c>
      <c r="F162" t="s">
        <v>53</v>
      </c>
      <c r="G162" t="s">
        <v>39</v>
      </c>
      <c r="H162">
        <v>345</v>
      </c>
      <c r="I162">
        <v>307</v>
      </c>
      <c r="L162">
        <v>0</v>
      </c>
      <c r="M162">
        <v>0</v>
      </c>
      <c r="O162">
        <v>0</v>
      </c>
      <c r="R162">
        <v>32</v>
      </c>
      <c r="U162">
        <v>0</v>
      </c>
      <c r="V162">
        <v>0</v>
      </c>
      <c r="W162" s="1">
        <v>44160</v>
      </c>
      <c r="AA162" t="s">
        <v>40</v>
      </c>
      <c r="AB162" t="s">
        <v>40</v>
      </c>
      <c r="AE162" t="s">
        <v>40</v>
      </c>
      <c r="AG162" t="s">
        <v>40</v>
      </c>
      <c r="AH162" t="s">
        <v>40</v>
      </c>
      <c r="AJ162" t="s">
        <v>40</v>
      </c>
      <c r="AK162" t="s">
        <v>40</v>
      </c>
    </row>
    <row r="163" spans="1:37" x14ac:dyDescent="0.3">
      <c r="A163">
        <v>2019</v>
      </c>
      <c r="B163">
        <v>2</v>
      </c>
      <c r="C163" t="str">
        <f t="shared" si="4"/>
        <v>2/01/2019</v>
      </c>
      <c r="D163" s="1" t="str">
        <f t="shared" si="5"/>
        <v>2/01/2019</v>
      </c>
      <c r="E163" t="s">
        <v>37</v>
      </c>
      <c r="F163" t="s">
        <v>53</v>
      </c>
      <c r="G163" t="s">
        <v>41</v>
      </c>
      <c r="H163">
        <v>322</v>
      </c>
      <c r="I163">
        <v>102</v>
      </c>
      <c r="K163">
        <v>17</v>
      </c>
      <c r="M163">
        <v>0</v>
      </c>
      <c r="S163">
        <v>16</v>
      </c>
      <c r="U163">
        <v>0</v>
      </c>
      <c r="V163">
        <v>0</v>
      </c>
      <c r="W163" s="1">
        <v>44160</v>
      </c>
      <c r="AA163" t="s">
        <v>40</v>
      </c>
      <c r="AC163" t="s">
        <v>40</v>
      </c>
      <c r="AE163" t="s">
        <v>40</v>
      </c>
      <c r="AF163" t="s">
        <v>40</v>
      </c>
      <c r="AG163" t="s">
        <v>40</v>
      </c>
      <c r="AH163" t="s">
        <v>40</v>
      </c>
      <c r="AI163" t="s">
        <v>40</v>
      </c>
      <c r="AK163" t="s">
        <v>40</v>
      </c>
    </row>
    <row r="164" spans="1:37" x14ac:dyDescent="0.3">
      <c r="A164">
        <v>2019</v>
      </c>
      <c r="B164">
        <v>2</v>
      </c>
      <c r="C164" t="str">
        <f t="shared" si="4"/>
        <v>2/01/2019</v>
      </c>
      <c r="D164" s="1" t="str">
        <f t="shared" si="5"/>
        <v>2/01/2019</v>
      </c>
      <c r="E164" t="s">
        <v>37</v>
      </c>
      <c r="F164" t="s">
        <v>53</v>
      </c>
      <c r="G164" t="s">
        <v>42</v>
      </c>
      <c r="H164">
        <v>799</v>
      </c>
      <c r="I164">
        <v>374</v>
      </c>
      <c r="J164">
        <v>10</v>
      </c>
      <c r="K164">
        <v>73</v>
      </c>
      <c r="L164">
        <v>11</v>
      </c>
      <c r="M164">
        <v>0</v>
      </c>
      <c r="N164">
        <v>14</v>
      </c>
      <c r="R164">
        <v>13</v>
      </c>
      <c r="S164">
        <v>52</v>
      </c>
      <c r="T164">
        <v>11</v>
      </c>
      <c r="U164">
        <v>0</v>
      </c>
      <c r="V164">
        <v>0</v>
      </c>
      <c r="W164" s="1">
        <v>44160</v>
      </c>
      <c r="AF164" t="s">
        <v>40</v>
      </c>
      <c r="AG164" t="s">
        <v>40</v>
      </c>
      <c r="AH164" t="s">
        <v>40</v>
      </c>
    </row>
    <row r="165" spans="1:37" x14ac:dyDescent="0.3">
      <c r="A165">
        <v>2019</v>
      </c>
      <c r="B165">
        <v>2</v>
      </c>
      <c r="C165" t="str">
        <f t="shared" si="4"/>
        <v>2/01/2019</v>
      </c>
      <c r="D165" s="1" t="str">
        <f t="shared" si="5"/>
        <v>2/01/2019</v>
      </c>
      <c r="E165" t="s">
        <v>37</v>
      </c>
      <c r="F165" t="s">
        <v>53</v>
      </c>
      <c r="G165" t="s">
        <v>43</v>
      </c>
      <c r="H165" s="2">
        <v>1329</v>
      </c>
      <c r="I165">
        <v>856</v>
      </c>
      <c r="J165">
        <v>15</v>
      </c>
      <c r="K165">
        <v>270</v>
      </c>
      <c r="L165">
        <v>44</v>
      </c>
      <c r="M165">
        <v>0</v>
      </c>
      <c r="N165">
        <v>33</v>
      </c>
      <c r="O165">
        <v>14</v>
      </c>
      <c r="P165">
        <v>14</v>
      </c>
      <c r="R165">
        <v>27</v>
      </c>
      <c r="S165">
        <v>128</v>
      </c>
      <c r="T165">
        <v>27</v>
      </c>
      <c r="U165">
        <v>0</v>
      </c>
      <c r="V165">
        <v>0</v>
      </c>
      <c r="W165" s="1">
        <v>44160</v>
      </c>
      <c r="AH165" t="s">
        <v>40</v>
      </c>
    </row>
    <row r="166" spans="1:37" x14ac:dyDescent="0.3">
      <c r="A166">
        <v>2019</v>
      </c>
      <c r="B166">
        <v>2</v>
      </c>
      <c r="C166" t="str">
        <f t="shared" si="4"/>
        <v>2/01/2019</v>
      </c>
      <c r="D166" s="1" t="str">
        <f t="shared" si="5"/>
        <v>2/01/2019</v>
      </c>
      <c r="E166" t="s">
        <v>37</v>
      </c>
      <c r="F166" t="s">
        <v>53</v>
      </c>
      <c r="G166" t="s">
        <v>44</v>
      </c>
      <c r="H166" s="2">
        <v>3220</v>
      </c>
      <c r="I166" s="2">
        <v>2616</v>
      </c>
      <c r="J166">
        <v>48</v>
      </c>
      <c r="K166">
        <v>917</v>
      </c>
      <c r="L166">
        <v>113</v>
      </c>
      <c r="N166">
        <v>92</v>
      </c>
      <c r="O166">
        <v>165</v>
      </c>
      <c r="P166">
        <v>43</v>
      </c>
      <c r="Q166">
        <v>34</v>
      </c>
      <c r="R166">
        <v>30</v>
      </c>
      <c r="S166">
        <v>436</v>
      </c>
      <c r="T166">
        <v>87</v>
      </c>
      <c r="U166">
        <v>0</v>
      </c>
      <c r="V166">
        <v>0</v>
      </c>
      <c r="W166" s="1">
        <v>44160</v>
      </c>
      <c r="AD166" t="s">
        <v>40</v>
      </c>
    </row>
    <row r="167" spans="1:37" x14ac:dyDescent="0.3">
      <c r="A167">
        <v>2019</v>
      </c>
      <c r="B167">
        <v>2</v>
      </c>
      <c r="C167" t="str">
        <f t="shared" si="4"/>
        <v>2/01/2019</v>
      </c>
      <c r="D167" s="1" t="str">
        <f t="shared" si="5"/>
        <v>2/01/2019</v>
      </c>
      <c r="E167" t="s">
        <v>37</v>
      </c>
      <c r="F167" t="s">
        <v>53</v>
      </c>
      <c r="G167" t="s">
        <v>45</v>
      </c>
      <c r="H167">
        <v>105</v>
      </c>
      <c r="I167">
        <v>74</v>
      </c>
      <c r="K167">
        <v>16</v>
      </c>
      <c r="L167">
        <v>0</v>
      </c>
      <c r="M167">
        <v>0</v>
      </c>
      <c r="N167">
        <v>11</v>
      </c>
      <c r="U167">
        <v>0</v>
      </c>
      <c r="V167">
        <v>0</v>
      </c>
      <c r="W167" s="1">
        <v>44160</v>
      </c>
      <c r="AA167" t="s">
        <v>40</v>
      </c>
      <c r="AF167" t="s">
        <v>40</v>
      </c>
      <c r="AG167" t="s">
        <v>40</v>
      </c>
      <c r="AH167" t="s">
        <v>40</v>
      </c>
      <c r="AI167" t="s">
        <v>40</v>
      </c>
      <c r="AJ167" t="s">
        <v>40</v>
      </c>
      <c r="AK167" t="s">
        <v>40</v>
      </c>
    </row>
    <row r="168" spans="1:37" x14ac:dyDescent="0.3">
      <c r="A168">
        <v>2019</v>
      </c>
      <c r="B168">
        <v>2</v>
      </c>
      <c r="C168" t="str">
        <f t="shared" si="4"/>
        <v>2/01/2019</v>
      </c>
      <c r="D168" s="1" t="str">
        <f t="shared" si="5"/>
        <v>2/01/2019</v>
      </c>
      <c r="E168" t="s">
        <v>37</v>
      </c>
      <c r="F168" t="s">
        <v>53</v>
      </c>
      <c r="G168" t="s">
        <v>46</v>
      </c>
      <c r="H168" s="2">
        <v>8308</v>
      </c>
      <c r="I168" s="2">
        <v>7693</v>
      </c>
      <c r="J168">
        <v>137</v>
      </c>
      <c r="K168" s="2">
        <v>2784</v>
      </c>
      <c r="L168">
        <v>262</v>
      </c>
      <c r="M168">
        <v>52</v>
      </c>
      <c r="N168">
        <v>204</v>
      </c>
      <c r="O168">
        <v>683</v>
      </c>
      <c r="P168">
        <v>127</v>
      </c>
      <c r="Q168">
        <v>96</v>
      </c>
      <c r="R168">
        <v>65</v>
      </c>
      <c r="S168" s="2">
        <v>1385</v>
      </c>
      <c r="T168">
        <v>239</v>
      </c>
      <c r="U168">
        <v>0</v>
      </c>
      <c r="V168">
        <v>0</v>
      </c>
      <c r="W168" s="1">
        <v>44160</v>
      </c>
    </row>
    <row r="169" spans="1:37" x14ac:dyDescent="0.3">
      <c r="A169">
        <v>2019</v>
      </c>
      <c r="B169">
        <v>2</v>
      </c>
      <c r="C169" t="str">
        <f t="shared" si="4"/>
        <v>2/01/2019</v>
      </c>
      <c r="D169" s="1" t="str">
        <f t="shared" si="5"/>
        <v>2/01/2019</v>
      </c>
      <c r="E169" t="s">
        <v>37</v>
      </c>
      <c r="F169" t="s">
        <v>53</v>
      </c>
      <c r="G169" t="s">
        <v>47</v>
      </c>
      <c r="H169" s="2">
        <v>14506</v>
      </c>
      <c r="I169" s="2">
        <v>14033</v>
      </c>
      <c r="J169">
        <v>289</v>
      </c>
      <c r="K169" s="2">
        <v>4606</v>
      </c>
      <c r="L169">
        <v>490</v>
      </c>
      <c r="M169">
        <v>293</v>
      </c>
      <c r="N169">
        <v>308</v>
      </c>
      <c r="O169" s="2">
        <v>1461</v>
      </c>
      <c r="P169">
        <v>265</v>
      </c>
      <c r="Q169">
        <v>224</v>
      </c>
      <c r="R169">
        <v>102</v>
      </c>
      <c r="S169" s="2">
        <v>2586</v>
      </c>
      <c r="T169">
        <v>647</v>
      </c>
      <c r="U169">
        <v>0</v>
      </c>
      <c r="V169">
        <v>0</v>
      </c>
      <c r="W169" s="1">
        <v>44160</v>
      </c>
    </row>
    <row r="170" spans="1:37" x14ac:dyDescent="0.3">
      <c r="A170">
        <v>2019</v>
      </c>
      <c r="B170">
        <v>2</v>
      </c>
      <c r="C170" t="str">
        <f t="shared" si="4"/>
        <v>2/01/2019</v>
      </c>
      <c r="D170" s="1" t="str">
        <f t="shared" si="5"/>
        <v>2/01/2019</v>
      </c>
      <c r="E170" t="s">
        <v>37</v>
      </c>
      <c r="F170" t="s">
        <v>53</v>
      </c>
      <c r="G170" t="s">
        <v>48</v>
      </c>
      <c r="H170" s="2">
        <v>21758</v>
      </c>
      <c r="I170" s="2">
        <v>21147</v>
      </c>
      <c r="J170">
        <v>326</v>
      </c>
      <c r="K170" s="2">
        <v>4608</v>
      </c>
      <c r="L170">
        <v>563</v>
      </c>
      <c r="M170" s="2">
        <v>1435</v>
      </c>
      <c r="N170">
        <v>479</v>
      </c>
      <c r="O170" s="2">
        <v>2127</v>
      </c>
      <c r="P170">
        <v>420</v>
      </c>
      <c r="Q170">
        <v>387</v>
      </c>
      <c r="R170">
        <v>203</v>
      </c>
      <c r="S170" s="2">
        <v>4517</v>
      </c>
      <c r="T170" s="2">
        <v>1310</v>
      </c>
      <c r="U170">
        <v>0</v>
      </c>
      <c r="V170">
        <v>0</v>
      </c>
      <c r="W170" s="1">
        <v>44160</v>
      </c>
    </row>
    <row r="171" spans="1:37" x14ac:dyDescent="0.3">
      <c r="A171">
        <v>2019</v>
      </c>
      <c r="B171">
        <v>2</v>
      </c>
      <c r="C171" t="str">
        <f t="shared" si="4"/>
        <v>2/01/2019</v>
      </c>
      <c r="D171" s="1" t="str">
        <f t="shared" si="5"/>
        <v>2/01/2019</v>
      </c>
      <c r="E171" t="s">
        <v>37</v>
      </c>
      <c r="F171" t="s">
        <v>53</v>
      </c>
      <c r="G171" t="s">
        <v>49</v>
      </c>
      <c r="H171" s="2">
        <v>37038</v>
      </c>
      <c r="I171" s="2">
        <v>35925</v>
      </c>
      <c r="J171">
        <v>400</v>
      </c>
      <c r="K171" s="2">
        <v>3415</v>
      </c>
      <c r="L171">
        <v>560</v>
      </c>
      <c r="M171" s="2">
        <v>3934</v>
      </c>
      <c r="N171" s="2">
        <v>1032</v>
      </c>
      <c r="O171" s="2">
        <v>1937</v>
      </c>
      <c r="P171">
        <v>502</v>
      </c>
      <c r="Q171">
        <v>574</v>
      </c>
      <c r="R171">
        <v>582</v>
      </c>
      <c r="S171" s="2">
        <v>10487</v>
      </c>
      <c r="T171" s="2">
        <v>2866</v>
      </c>
      <c r="U171">
        <v>0</v>
      </c>
      <c r="V171">
        <v>0</v>
      </c>
      <c r="W171" s="1">
        <v>44160</v>
      </c>
    </row>
    <row r="172" spans="1:37" x14ac:dyDescent="0.3">
      <c r="A172">
        <v>2019</v>
      </c>
      <c r="B172">
        <v>2</v>
      </c>
      <c r="C172" t="str">
        <f t="shared" si="4"/>
        <v>2/01/2019</v>
      </c>
      <c r="D172" s="1" t="str">
        <f t="shared" si="5"/>
        <v>2/01/2019</v>
      </c>
      <c r="E172" t="s">
        <v>37</v>
      </c>
      <c r="F172" t="s">
        <v>54</v>
      </c>
      <c r="G172" t="s">
        <v>39</v>
      </c>
      <c r="H172">
        <v>39</v>
      </c>
      <c r="I172">
        <v>32</v>
      </c>
      <c r="J172">
        <v>0</v>
      </c>
      <c r="L172">
        <v>0</v>
      </c>
      <c r="M172">
        <v>0</v>
      </c>
      <c r="P172">
        <v>0</v>
      </c>
      <c r="Q172">
        <v>0</v>
      </c>
      <c r="T172">
        <v>0</v>
      </c>
      <c r="U172">
        <v>0</v>
      </c>
      <c r="V172">
        <v>0</v>
      </c>
      <c r="W172" s="1">
        <v>44160</v>
      </c>
      <c r="AB172" t="s">
        <v>40</v>
      </c>
      <c r="AE172" t="s">
        <v>40</v>
      </c>
      <c r="AF172" t="s">
        <v>40</v>
      </c>
      <c r="AI172" t="s">
        <v>40</v>
      </c>
      <c r="AJ172" t="s">
        <v>40</v>
      </c>
    </row>
    <row r="173" spans="1:37" x14ac:dyDescent="0.3">
      <c r="A173">
        <v>2019</v>
      </c>
      <c r="B173">
        <v>2</v>
      </c>
      <c r="C173" t="str">
        <f t="shared" si="4"/>
        <v>2/01/2019</v>
      </c>
      <c r="D173" s="1" t="str">
        <f t="shared" si="5"/>
        <v>2/01/2019</v>
      </c>
      <c r="E173" t="s">
        <v>37</v>
      </c>
      <c r="F173" t="s">
        <v>54</v>
      </c>
      <c r="G173" t="s">
        <v>41</v>
      </c>
      <c r="H173">
        <v>13</v>
      </c>
      <c r="J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s="1">
        <v>44160</v>
      </c>
      <c r="Z173" t="s">
        <v>40</v>
      </c>
      <c r="AB173" t="s">
        <v>40</v>
      </c>
      <c r="AH173" t="s">
        <v>40</v>
      </c>
    </row>
    <row r="174" spans="1:37" x14ac:dyDescent="0.3">
      <c r="A174">
        <v>2019</v>
      </c>
      <c r="B174">
        <v>2</v>
      </c>
      <c r="C174" t="str">
        <f t="shared" si="4"/>
        <v>2/01/2019</v>
      </c>
      <c r="D174" s="1" t="str">
        <f t="shared" si="5"/>
        <v>2/01/2019</v>
      </c>
      <c r="E174" t="s">
        <v>37</v>
      </c>
      <c r="F174" t="s">
        <v>54</v>
      </c>
      <c r="G174" t="s">
        <v>42</v>
      </c>
      <c r="H174">
        <v>34</v>
      </c>
      <c r="I174">
        <v>17</v>
      </c>
      <c r="J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U174">
        <v>0</v>
      </c>
      <c r="V174">
        <v>0</v>
      </c>
      <c r="W174" s="1">
        <v>44160</v>
      </c>
      <c r="AB174" t="s">
        <v>40</v>
      </c>
      <c r="AC174" t="s">
        <v>40</v>
      </c>
      <c r="AI174" t="s">
        <v>40</v>
      </c>
      <c r="AJ174" t="s">
        <v>40</v>
      </c>
      <c r="AK174" t="s">
        <v>40</v>
      </c>
    </row>
    <row r="175" spans="1:37" x14ac:dyDescent="0.3">
      <c r="A175">
        <v>2019</v>
      </c>
      <c r="B175">
        <v>2</v>
      </c>
      <c r="C175" t="str">
        <f t="shared" si="4"/>
        <v>2/01/2019</v>
      </c>
      <c r="D175" s="1" t="str">
        <f t="shared" si="5"/>
        <v>2/01/2019</v>
      </c>
      <c r="E175" t="s">
        <v>37</v>
      </c>
      <c r="F175" t="s">
        <v>54</v>
      </c>
      <c r="G175" t="s">
        <v>43</v>
      </c>
      <c r="H175">
        <v>34</v>
      </c>
      <c r="I175">
        <v>28</v>
      </c>
      <c r="M175">
        <v>0</v>
      </c>
      <c r="O175">
        <v>0</v>
      </c>
      <c r="P175">
        <v>0</v>
      </c>
      <c r="R175">
        <v>0</v>
      </c>
      <c r="U175">
        <v>0</v>
      </c>
      <c r="V175">
        <v>0</v>
      </c>
      <c r="W175" s="1">
        <v>44160</v>
      </c>
      <c r="AA175" t="s">
        <v>40</v>
      </c>
      <c r="AB175" t="s">
        <v>40</v>
      </c>
      <c r="AC175" t="s">
        <v>40</v>
      </c>
      <c r="AE175" t="s">
        <v>40</v>
      </c>
      <c r="AH175" t="s">
        <v>40</v>
      </c>
      <c r="AJ175" t="s">
        <v>40</v>
      </c>
      <c r="AK175" t="s">
        <v>40</v>
      </c>
    </row>
    <row r="176" spans="1:37" x14ac:dyDescent="0.3">
      <c r="A176">
        <v>2019</v>
      </c>
      <c r="B176">
        <v>2</v>
      </c>
      <c r="C176" t="str">
        <f t="shared" si="4"/>
        <v>2/01/2019</v>
      </c>
      <c r="D176" s="1" t="str">
        <f t="shared" si="5"/>
        <v>2/01/2019</v>
      </c>
      <c r="E176" t="s">
        <v>37</v>
      </c>
      <c r="F176" t="s">
        <v>54</v>
      </c>
      <c r="G176" t="s">
        <v>44</v>
      </c>
      <c r="H176">
        <v>68</v>
      </c>
      <c r="I176">
        <v>55</v>
      </c>
      <c r="J176">
        <v>0</v>
      </c>
      <c r="K176">
        <v>12</v>
      </c>
      <c r="M176">
        <v>0</v>
      </c>
      <c r="P176">
        <v>0</v>
      </c>
      <c r="S176">
        <v>16</v>
      </c>
      <c r="U176">
        <v>0</v>
      </c>
      <c r="V176">
        <v>0</v>
      </c>
      <c r="W176" s="1">
        <v>44160</v>
      </c>
      <c r="AC176" t="s">
        <v>40</v>
      </c>
      <c r="AE176" t="s">
        <v>40</v>
      </c>
      <c r="AF176" t="s">
        <v>40</v>
      </c>
      <c r="AH176" t="s">
        <v>40</v>
      </c>
      <c r="AI176" t="s">
        <v>40</v>
      </c>
      <c r="AK176" t="s">
        <v>40</v>
      </c>
    </row>
    <row r="177" spans="1:37" x14ac:dyDescent="0.3">
      <c r="A177">
        <v>2019</v>
      </c>
      <c r="B177">
        <v>2</v>
      </c>
      <c r="C177" t="str">
        <f t="shared" si="4"/>
        <v>2/01/2019</v>
      </c>
      <c r="D177" s="1" t="str">
        <f t="shared" si="5"/>
        <v>2/01/2019</v>
      </c>
      <c r="E177" t="s">
        <v>37</v>
      </c>
      <c r="F177" t="s">
        <v>54</v>
      </c>
      <c r="G177" t="s">
        <v>45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S177">
        <v>0</v>
      </c>
      <c r="U177">
        <v>0</v>
      </c>
      <c r="V177">
        <v>0</v>
      </c>
      <c r="W177" s="1">
        <v>44160</v>
      </c>
      <c r="Y177" t="s">
        <v>40</v>
      </c>
      <c r="Z177" t="s">
        <v>40</v>
      </c>
      <c r="AI177" t="s">
        <v>40</v>
      </c>
      <c r="AK177" t="s">
        <v>40</v>
      </c>
    </row>
    <row r="178" spans="1:37" x14ac:dyDescent="0.3">
      <c r="A178">
        <v>2019</v>
      </c>
      <c r="B178">
        <v>2</v>
      </c>
      <c r="C178" t="str">
        <f t="shared" si="4"/>
        <v>2/01/2019</v>
      </c>
      <c r="D178" s="1" t="str">
        <f t="shared" si="5"/>
        <v>2/01/2019</v>
      </c>
      <c r="E178" t="s">
        <v>37</v>
      </c>
      <c r="F178" t="s">
        <v>54</v>
      </c>
      <c r="G178" t="s">
        <v>46</v>
      </c>
      <c r="H178">
        <v>123</v>
      </c>
      <c r="I178">
        <v>104</v>
      </c>
      <c r="K178">
        <v>33</v>
      </c>
      <c r="M178">
        <v>0</v>
      </c>
      <c r="N178">
        <v>0</v>
      </c>
      <c r="S178">
        <v>26</v>
      </c>
      <c r="U178">
        <v>0</v>
      </c>
      <c r="V178">
        <v>0</v>
      </c>
      <c r="W178" s="1">
        <v>44160</v>
      </c>
      <c r="AA178" t="s">
        <v>40</v>
      </c>
      <c r="AC178" t="s">
        <v>40</v>
      </c>
      <c r="AF178" t="s">
        <v>40</v>
      </c>
      <c r="AG178" t="s">
        <v>40</v>
      </c>
      <c r="AH178" t="s">
        <v>40</v>
      </c>
      <c r="AI178" t="s">
        <v>40</v>
      </c>
      <c r="AK178" t="s">
        <v>40</v>
      </c>
    </row>
    <row r="179" spans="1:37" x14ac:dyDescent="0.3">
      <c r="A179">
        <v>2019</v>
      </c>
      <c r="B179">
        <v>2</v>
      </c>
      <c r="C179" t="str">
        <f t="shared" si="4"/>
        <v>2/01/2019</v>
      </c>
      <c r="D179" s="1" t="str">
        <f t="shared" si="5"/>
        <v>2/01/2019</v>
      </c>
      <c r="E179" t="s">
        <v>37</v>
      </c>
      <c r="F179" t="s">
        <v>54</v>
      </c>
      <c r="G179" t="s">
        <v>47</v>
      </c>
      <c r="H179">
        <v>166</v>
      </c>
      <c r="I179">
        <v>159</v>
      </c>
      <c r="K179">
        <v>44</v>
      </c>
      <c r="O179">
        <v>14</v>
      </c>
      <c r="R179">
        <v>0</v>
      </c>
      <c r="S179">
        <v>41</v>
      </c>
      <c r="U179">
        <v>0</v>
      </c>
      <c r="V179">
        <v>0</v>
      </c>
      <c r="W179" s="1">
        <v>44160</v>
      </c>
      <c r="AA179" t="s">
        <v>40</v>
      </c>
      <c r="AC179" t="s">
        <v>40</v>
      </c>
      <c r="AD179" t="s">
        <v>40</v>
      </c>
      <c r="AE179" t="s">
        <v>40</v>
      </c>
      <c r="AG179" t="s">
        <v>40</v>
      </c>
      <c r="AH179" t="s">
        <v>40</v>
      </c>
      <c r="AK179" t="s">
        <v>40</v>
      </c>
    </row>
    <row r="180" spans="1:37" x14ac:dyDescent="0.3">
      <c r="A180">
        <v>2019</v>
      </c>
      <c r="B180">
        <v>2</v>
      </c>
      <c r="C180" t="str">
        <f t="shared" si="4"/>
        <v>2/01/2019</v>
      </c>
      <c r="D180" s="1" t="str">
        <f t="shared" si="5"/>
        <v>2/01/2019</v>
      </c>
      <c r="E180" t="s">
        <v>37</v>
      </c>
      <c r="F180" t="s">
        <v>54</v>
      </c>
      <c r="G180" t="s">
        <v>48</v>
      </c>
      <c r="H180">
        <v>169</v>
      </c>
      <c r="I180">
        <v>164</v>
      </c>
      <c r="K180">
        <v>33</v>
      </c>
      <c r="O180">
        <v>22</v>
      </c>
      <c r="S180">
        <v>33</v>
      </c>
      <c r="T180">
        <v>12</v>
      </c>
      <c r="U180">
        <v>0</v>
      </c>
      <c r="V180">
        <v>0</v>
      </c>
      <c r="W180" s="1">
        <v>44160</v>
      </c>
      <c r="AA180" t="s">
        <v>40</v>
      </c>
      <c r="AC180" t="s">
        <v>40</v>
      </c>
      <c r="AD180" t="s">
        <v>40</v>
      </c>
      <c r="AE180" t="s">
        <v>40</v>
      </c>
      <c r="AG180" t="s">
        <v>40</v>
      </c>
      <c r="AH180" t="s">
        <v>40</v>
      </c>
      <c r="AI180" t="s">
        <v>40</v>
      </c>
    </row>
    <row r="181" spans="1:37" x14ac:dyDescent="0.3">
      <c r="A181">
        <v>2019</v>
      </c>
      <c r="B181">
        <v>2</v>
      </c>
      <c r="C181" t="str">
        <f t="shared" si="4"/>
        <v>2/01/2019</v>
      </c>
      <c r="D181" s="1" t="str">
        <f t="shared" si="5"/>
        <v>2/01/2019</v>
      </c>
      <c r="E181" t="s">
        <v>37</v>
      </c>
      <c r="F181" t="s">
        <v>54</v>
      </c>
      <c r="G181" t="s">
        <v>49</v>
      </c>
      <c r="H181">
        <v>177</v>
      </c>
      <c r="I181">
        <v>171</v>
      </c>
      <c r="J181">
        <v>0</v>
      </c>
      <c r="K181">
        <v>18</v>
      </c>
      <c r="M181">
        <v>26</v>
      </c>
      <c r="S181">
        <v>44</v>
      </c>
      <c r="T181">
        <v>19</v>
      </c>
      <c r="U181">
        <v>0</v>
      </c>
      <c r="V181">
        <v>0</v>
      </c>
      <c r="W181" s="1">
        <v>44160</v>
      </c>
      <c r="AC181" t="s">
        <v>40</v>
      </c>
      <c r="AE181" t="s">
        <v>40</v>
      </c>
      <c r="AF181" t="s">
        <v>40</v>
      </c>
      <c r="AG181" t="s">
        <v>40</v>
      </c>
      <c r="AH181" t="s">
        <v>40</v>
      </c>
      <c r="AI181" t="s">
        <v>40</v>
      </c>
    </row>
    <row r="182" spans="1:37" x14ac:dyDescent="0.3">
      <c r="A182">
        <v>2019</v>
      </c>
      <c r="B182">
        <v>2</v>
      </c>
      <c r="C182" t="str">
        <f t="shared" si="4"/>
        <v>2/01/2019</v>
      </c>
      <c r="D182" s="1" t="str">
        <f t="shared" si="5"/>
        <v>2/01/2019</v>
      </c>
      <c r="E182" t="s">
        <v>55</v>
      </c>
      <c r="F182" t="s">
        <v>38</v>
      </c>
      <c r="G182" t="s">
        <v>39</v>
      </c>
      <c r="H182">
        <v>219</v>
      </c>
      <c r="I182">
        <v>194</v>
      </c>
      <c r="L182">
        <v>0</v>
      </c>
      <c r="M182">
        <v>0</v>
      </c>
      <c r="R182">
        <v>17</v>
      </c>
      <c r="U182">
        <v>0</v>
      </c>
      <c r="V182">
        <v>0</v>
      </c>
      <c r="W182" s="1">
        <v>44160</v>
      </c>
      <c r="AA182" t="s">
        <v>40</v>
      </c>
      <c r="AB182" t="s">
        <v>40</v>
      </c>
      <c r="AE182" t="s">
        <v>40</v>
      </c>
      <c r="AF182" t="s">
        <v>40</v>
      </c>
      <c r="AG182" t="s">
        <v>40</v>
      </c>
      <c r="AH182" t="s">
        <v>40</v>
      </c>
      <c r="AJ182" t="s">
        <v>40</v>
      </c>
      <c r="AK182" t="s">
        <v>40</v>
      </c>
    </row>
    <row r="183" spans="1:37" x14ac:dyDescent="0.3">
      <c r="A183">
        <v>2019</v>
      </c>
      <c r="B183">
        <v>2</v>
      </c>
      <c r="C183" t="str">
        <f t="shared" si="4"/>
        <v>2/01/2019</v>
      </c>
      <c r="D183" s="1" t="str">
        <f t="shared" si="5"/>
        <v>2/01/2019</v>
      </c>
      <c r="E183" t="s">
        <v>55</v>
      </c>
      <c r="F183" t="s">
        <v>38</v>
      </c>
      <c r="G183" t="s">
        <v>41</v>
      </c>
      <c r="H183">
        <v>321</v>
      </c>
      <c r="I183">
        <v>72</v>
      </c>
      <c r="J183">
        <v>0</v>
      </c>
      <c r="K183">
        <v>21</v>
      </c>
      <c r="M183">
        <v>0</v>
      </c>
      <c r="U183">
        <v>0</v>
      </c>
      <c r="V183">
        <v>0</v>
      </c>
      <c r="W183" s="1">
        <v>44160</v>
      </c>
      <c r="AC183" t="s">
        <v>40</v>
      </c>
      <c r="AE183" t="s">
        <v>40</v>
      </c>
      <c r="AF183" t="s">
        <v>40</v>
      </c>
      <c r="AG183" t="s">
        <v>40</v>
      </c>
      <c r="AH183" t="s">
        <v>40</v>
      </c>
      <c r="AI183" t="s">
        <v>40</v>
      </c>
      <c r="AJ183" t="s">
        <v>40</v>
      </c>
      <c r="AK183" t="s">
        <v>40</v>
      </c>
    </row>
    <row r="184" spans="1:37" x14ac:dyDescent="0.3">
      <c r="A184">
        <v>2019</v>
      </c>
      <c r="B184">
        <v>2</v>
      </c>
      <c r="C184" t="str">
        <f t="shared" si="4"/>
        <v>2/01/2019</v>
      </c>
      <c r="D184" s="1" t="str">
        <f t="shared" si="5"/>
        <v>2/01/2019</v>
      </c>
      <c r="E184" t="s">
        <v>55</v>
      </c>
      <c r="F184" t="s">
        <v>38</v>
      </c>
      <c r="G184" t="s">
        <v>42</v>
      </c>
      <c r="H184">
        <v>483</v>
      </c>
      <c r="I184">
        <v>154</v>
      </c>
      <c r="K184">
        <v>28</v>
      </c>
      <c r="M184">
        <v>0</v>
      </c>
      <c r="Q184">
        <v>0</v>
      </c>
      <c r="S184">
        <v>30</v>
      </c>
      <c r="U184">
        <v>0</v>
      </c>
      <c r="V184">
        <v>0</v>
      </c>
      <c r="W184" s="1">
        <v>44160</v>
      </c>
      <c r="AA184" t="s">
        <v>40</v>
      </c>
      <c r="AC184" t="s">
        <v>40</v>
      </c>
      <c r="AE184" t="s">
        <v>40</v>
      </c>
      <c r="AF184" t="s">
        <v>40</v>
      </c>
      <c r="AG184" t="s">
        <v>40</v>
      </c>
      <c r="AI184" t="s">
        <v>40</v>
      </c>
      <c r="AK184" t="s">
        <v>40</v>
      </c>
    </row>
    <row r="185" spans="1:37" x14ac:dyDescent="0.3">
      <c r="A185">
        <v>2019</v>
      </c>
      <c r="B185">
        <v>2</v>
      </c>
      <c r="C185" t="str">
        <f t="shared" si="4"/>
        <v>2/01/2019</v>
      </c>
      <c r="D185" s="1" t="str">
        <f t="shared" si="5"/>
        <v>2/01/2019</v>
      </c>
      <c r="E185" t="s">
        <v>55</v>
      </c>
      <c r="F185" t="s">
        <v>38</v>
      </c>
      <c r="G185" t="s">
        <v>43</v>
      </c>
      <c r="H185">
        <v>621</v>
      </c>
      <c r="I185">
        <v>350</v>
      </c>
      <c r="K185">
        <v>56</v>
      </c>
      <c r="L185">
        <v>25</v>
      </c>
      <c r="N185">
        <v>17</v>
      </c>
      <c r="S185">
        <v>82</v>
      </c>
      <c r="T185">
        <v>16</v>
      </c>
      <c r="U185">
        <v>0</v>
      </c>
      <c r="V185">
        <v>0</v>
      </c>
      <c r="W185" s="1">
        <v>44160</v>
      </c>
      <c r="AA185" t="s">
        <v>40</v>
      </c>
      <c r="AD185" t="s">
        <v>40</v>
      </c>
      <c r="AF185" t="s">
        <v>40</v>
      </c>
      <c r="AG185" t="s">
        <v>40</v>
      </c>
      <c r="AH185" t="s">
        <v>40</v>
      </c>
      <c r="AI185" t="s">
        <v>40</v>
      </c>
    </row>
    <row r="186" spans="1:37" x14ac:dyDescent="0.3">
      <c r="A186">
        <v>2019</v>
      </c>
      <c r="B186">
        <v>2</v>
      </c>
      <c r="C186" t="str">
        <f t="shared" si="4"/>
        <v>2/01/2019</v>
      </c>
      <c r="D186" s="1" t="str">
        <f t="shared" si="5"/>
        <v>2/01/2019</v>
      </c>
      <c r="E186" t="s">
        <v>55</v>
      </c>
      <c r="F186" t="s">
        <v>38</v>
      </c>
      <c r="G186" t="s">
        <v>44</v>
      </c>
      <c r="H186" s="2">
        <v>1001</v>
      </c>
      <c r="I186">
        <v>781</v>
      </c>
      <c r="J186">
        <v>12</v>
      </c>
      <c r="K186">
        <v>151</v>
      </c>
      <c r="L186">
        <v>47</v>
      </c>
      <c r="N186">
        <v>28</v>
      </c>
      <c r="O186">
        <v>11</v>
      </c>
      <c r="P186">
        <v>10</v>
      </c>
      <c r="Q186">
        <v>15</v>
      </c>
      <c r="R186">
        <v>10</v>
      </c>
      <c r="S186">
        <v>219</v>
      </c>
      <c r="T186">
        <v>40</v>
      </c>
      <c r="U186">
        <v>0</v>
      </c>
      <c r="V186">
        <v>0</v>
      </c>
      <c r="W186" s="1">
        <v>44160</v>
      </c>
      <c r="AD186" t="s">
        <v>40</v>
      </c>
    </row>
    <row r="187" spans="1:37" x14ac:dyDescent="0.3">
      <c r="A187">
        <v>2019</v>
      </c>
      <c r="B187">
        <v>2</v>
      </c>
      <c r="C187" t="str">
        <f t="shared" si="4"/>
        <v>2/01/2019</v>
      </c>
      <c r="D187" s="1" t="str">
        <f t="shared" si="5"/>
        <v>2/01/2019</v>
      </c>
      <c r="E187" t="s">
        <v>55</v>
      </c>
      <c r="F187" t="s">
        <v>38</v>
      </c>
      <c r="G187" t="s">
        <v>45</v>
      </c>
      <c r="H187">
        <v>52</v>
      </c>
      <c r="I187">
        <v>29</v>
      </c>
      <c r="L187">
        <v>0</v>
      </c>
      <c r="M187">
        <v>0</v>
      </c>
      <c r="Q187">
        <v>0</v>
      </c>
      <c r="R187">
        <v>0</v>
      </c>
      <c r="T187">
        <v>0</v>
      </c>
      <c r="U187">
        <v>0</v>
      </c>
      <c r="V187">
        <v>0</v>
      </c>
      <c r="W187" s="1">
        <v>44160</v>
      </c>
      <c r="AA187" t="s">
        <v>40</v>
      </c>
      <c r="AB187" t="s">
        <v>40</v>
      </c>
      <c r="AE187" t="s">
        <v>40</v>
      </c>
      <c r="AF187" t="s">
        <v>40</v>
      </c>
      <c r="AG187" t="s">
        <v>40</v>
      </c>
      <c r="AJ187" t="s">
        <v>40</v>
      </c>
    </row>
    <row r="188" spans="1:37" x14ac:dyDescent="0.3">
      <c r="A188">
        <v>2019</v>
      </c>
      <c r="B188">
        <v>2</v>
      </c>
      <c r="C188" t="str">
        <f t="shared" si="4"/>
        <v>2/01/2019</v>
      </c>
      <c r="D188" s="1" t="str">
        <f t="shared" si="5"/>
        <v>2/01/2019</v>
      </c>
      <c r="E188" t="s">
        <v>55</v>
      </c>
      <c r="F188" t="s">
        <v>38</v>
      </c>
      <c r="G188" t="s">
        <v>46</v>
      </c>
      <c r="H188" s="2">
        <v>1587</v>
      </c>
      <c r="I188" s="2">
        <v>1380</v>
      </c>
      <c r="J188">
        <v>26</v>
      </c>
      <c r="K188">
        <v>361</v>
      </c>
      <c r="L188">
        <v>99</v>
      </c>
      <c r="N188">
        <v>39</v>
      </c>
      <c r="O188">
        <v>33</v>
      </c>
      <c r="P188">
        <v>20</v>
      </c>
      <c r="Q188">
        <v>29</v>
      </c>
      <c r="R188">
        <v>14</v>
      </c>
      <c r="S188">
        <v>351</v>
      </c>
      <c r="T188">
        <v>73</v>
      </c>
      <c r="U188">
        <v>0</v>
      </c>
      <c r="V188">
        <v>0</v>
      </c>
      <c r="W188" s="1">
        <v>44160</v>
      </c>
      <c r="AD188" t="s">
        <v>40</v>
      </c>
    </row>
    <row r="189" spans="1:37" x14ac:dyDescent="0.3">
      <c r="A189">
        <v>2019</v>
      </c>
      <c r="B189">
        <v>2</v>
      </c>
      <c r="C189" t="str">
        <f t="shared" si="4"/>
        <v>2/01/2019</v>
      </c>
      <c r="D189" s="1" t="str">
        <f t="shared" si="5"/>
        <v>2/01/2019</v>
      </c>
      <c r="E189" t="s">
        <v>55</v>
      </c>
      <c r="F189" t="s">
        <v>38</v>
      </c>
      <c r="G189" t="s">
        <v>47</v>
      </c>
      <c r="H189" s="2">
        <v>1712</v>
      </c>
      <c r="I189" s="2">
        <v>1631</v>
      </c>
      <c r="J189">
        <v>19</v>
      </c>
      <c r="K189">
        <v>476</v>
      </c>
      <c r="L189">
        <v>137</v>
      </c>
      <c r="M189">
        <v>22</v>
      </c>
      <c r="N189">
        <v>32</v>
      </c>
      <c r="O189">
        <v>40</v>
      </c>
      <c r="P189">
        <v>35</v>
      </c>
      <c r="Q189">
        <v>46</v>
      </c>
      <c r="R189">
        <v>13</v>
      </c>
      <c r="S189">
        <v>392</v>
      </c>
      <c r="T189">
        <v>83</v>
      </c>
      <c r="U189">
        <v>0</v>
      </c>
      <c r="V189">
        <v>0</v>
      </c>
      <c r="W189" s="1">
        <v>44160</v>
      </c>
    </row>
    <row r="190" spans="1:37" x14ac:dyDescent="0.3">
      <c r="A190">
        <v>2019</v>
      </c>
      <c r="B190">
        <v>2</v>
      </c>
      <c r="C190" t="str">
        <f t="shared" si="4"/>
        <v>2/01/2019</v>
      </c>
      <c r="D190" s="1" t="str">
        <f t="shared" si="5"/>
        <v>2/01/2019</v>
      </c>
      <c r="E190" t="s">
        <v>55</v>
      </c>
      <c r="F190" t="s">
        <v>38</v>
      </c>
      <c r="G190" t="s">
        <v>48</v>
      </c>
      <c r="H190" s="2">
        <v>1699</v>
      </c>
      <c r="I190" s="2">
        <v>1628</v>
      </c>
      <c r="J190">
        <v>32</v>
      </c>
      <c r="K190">
        <v>349</v>
      </c>
      <c r="L190">
        <v>111</v>
      </c>
      <c r="M190">
        <v>69</v>
      </c>
      <c r="N190">
        <v>52</v>
      </c>
      <c r="O190">
        <v>65</v>
      </c>
      <c r="P190">
        <v>28</v>
      </c>
      <c r="Q190">
        <v>38</v>
      </c>
      <c r="S190">
        <v>430</v>
      </c>
      <c r="T190">
        <v>117</v>
      </c>
      <c r="U190">
        <v>0</v>
      </c>
      <c r="V190">
        <v>0</v>
      </c>
      <c r="W190" s="1">
        <v>44160</v>
      </c>
      <c r="AI190" t="s">
        <v>40</v>
      </c>
    </row>
    <row r="191" spans="1:37" x14ac:dyDescent="0.3">
      <c r="A191">
        <v>2019</v>
      </c>
      <c r="B191">
        <v>2</v>
      </c>
      <c r="C191" t="str">
        <f t="shared" si="4"/>
        <v>2/01/2019</v>
      </c>
      <c r="D191" s="1" t="str">
        <f t="shared" si="5"/>
        <v>2/01/2019</v>
      </c>
      <c r="E191" t="s">
        <v>55</v>
      </c>
      <c r="F191" t="s">
        <v>38</v>
      </c>
      <c r="G191" t="s">
        <v>49</v>
      </c>
      <c r="H191" s="2">
        <v>1575</v>
      </c>
      <c r="I191" s="2">
        <v>1543</v>
      </c>
      <c r="J191">
        <v>29</v>
      </c>
      <c r="K191">
        <v>190</v>
      </c>
      <c r="L191">
        <v>70</v>
      </c>
      <c r="M191">
        <v>130</v>
      </c>
      <c r="N191">
        <v>49</v>
      </c>
      <c r="O191">
        <v>77</v>
      </c>
      <c r="P191">
        <v>30</v>
      </c>
      <c r="Q191">
        <v>32</v>
      </c>
      <c r="R191">
        <v>14</v>
      </c>
      <c r="S191">
        <v>439</v>
      </c>
      <c r="T191">
        <v>115</v>
      </c>
      <c r="U191">
        <v>0</v>
      </c>
      <c r="V191">
        <v>0</v>
      </c>
      <c r="W191" s="1">
        <v>44160</v>
      </c>
    </row>
    <row r="192" spans="1:37" x14ac:dyDescent="0.3">
      <c r="A192">
        <v>2019</v>
      </c>
      <c r="B192">
        <v>2</v>
      </c>
      <c r="C192" t="str">
        <f t="shared" si="4"/>
        <v>2/01/2019</v>
      </c>
      <c r="D192" s="1" t="str">
        <f t="shared" si="5"/>
        <v>2/01/2019</v>
      </c>
      <c r="E192" t="s">
        <v>55</v>
      </c>
      <c r="F192" t="s">
        <v>50</v>
      </c>
      <c r="G192" t="s">
        <v>39</v>
      </c>
      <c r="H192">
        <v>10</v>
      </c>
      <c r="J192">
        <v>0</v>
      </c>
      <c r="K192">
        <v>0</v>
      </c>
      <c r="L192">
        <v>0</v>
      </c>
      <c r="M192">
        <v>0</v>
      </c>
      <c r="O192">
        <v>0</v>
      </c>
      <c r="P192">
        <v>0</v>
      </c>
      <c r="Q192">
        <v>0</v>
      </c>
      <c r="S192">
        <v>0</v>
      </c>
      <c r="T192">
        <v>0</v>
      </c>
      <c r="U192">
        <v>0</v>
      </c>
      <c r="V192">
        <v>0</v>
      </c>
      <c r="W192" s="1">
        <v>44160</v>
      </c>
      <c r="Z192" t="s">
        <v>40</v>
      </c>
      <c r="AE192" t="s">
        <v>40</v>
      </c>
      <c r="AI192" t="s">
        <v>40</v>
      </c>
    </row>
    <row r="193" spans="1:37" x14ac:dyDescent="0.3">
      <c r="A193">
        <v>2019</v>
      </c>
      <c r="B193">
        <v>2</v>
      </c>
      <c r="C193" t="str">
        <f t="shared" si="4"/>
        <v>2/01/2019</v>
      </c>
      <c r="D193" s="1" t="str">
        <f t="shared" si="5"/>
        <v>2/01/2019</v>
      </c>
      <c r="E193" t="s">
        <v>55</v>
      </c>
      <c r="F193" t="s">
        <v>50</v>
      </c>
      <c r="G193" t="s">
        <v>41</v>
      </c>
      <c r="H193">
        <v>25</v>
      </c>
      <c r="J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s="1">
        <v>44160</v>
      </c>
      <c r="Z193" t="s">
        <v>40</v>
      </c>
      <c r="AB193" t="s">
        <v>40</v>
      </c>
      <c r="AC193" t="s">
        <v>40</v>
      </c>
    </row>
    <row r="194" spans="1:37" x14ac:dyDescent="0.3">
      <c r="A194">
        <v>2019</v>
      </c>
      <c r="B194">
        <v>2</v>
      </c>
      <c r="C194" t="str">
        <f t="shared" si="4"/>
        <v>2/01/2019</v>
      </c>
      <c r="D194" s="1" t="str">
        <f t="shared" si="5"/>
        <v>2/01/2019</v>
      </c>
      <c r="E194" t="s">
        <v>55</v>
      </c>
      <c r="F194" t="s">
        <v>50</v>
      </c>
      <c r="G194" t="s">
        <v>42</v>
      </c>
      <c r="H194">
        <v>54</v>
      </c>
      <c r="I194">
        <v>26</v>
      </c>
      <c r="M194">
        <v>0</v>
      </c>
      <c r="O194">
        <v>0</v>
      </c>
      <c r="P194">
        <v>0</v>
      </c>
      <c r="Q194">
        <v>0</v>
      </c>
      <c r="T194">
        <v>0</v>
      </c>
      <c r="U194">
        <v>0</v>
      </c>
      <c r="V194">
        <v>0</v>
      </c>
      <c r="W194" s="1">
        <v>44160</v>
      </c>
      <c r="AA194" t="s">
        <v>40</v>
      </c>
      <c r="AB194" t="s">
        <v>40</v>
      </c>
      <c r="AC194" t="s">
        <v>40</v>
      </c>
      <c r="AE194" t="s">
        <v>40</v>
      </c>
      <c r="AI194" t="s">
        <v>40</v>
      </c>
      <c r="AJ194" t="s">
        <v>40</v>
      </c>
    </row>
    <row r="195" spans="1:37" x14ac:dyDescent="0.3">
      <c r="A195">
        <v>2019</v>
      </c>
      <c r="B195">
        <v>2</v>
      </c>
      <c r="C195" t="str">
        <f t="shared" ref="C195:C258" si="6">CONCATENATE(B195,"/01/",A195)</f>
        <v>2/01/2019</v>
      </c>
      <c r="D195" s="1" t="str">
        <f t="shared" ref="D195:D258" si="7">C195</f>
        <v>2/01/2019</v>
      </c>
      <c r="E195" t="s">
        <v>55</v>
      </c>
      <c r="F195" t="s">
        <v>50</v>
      </c>
      <c r="G195" t="s">
        <v>43</v>
      </c>
      <c r="H195">
        <v>65</v>
      </c>
      <c r="I195">
        <v>40</v>
      </c>
      <c r="M195">
        <v>0</v>
      </c>
      <c r="P195">
        <v>0</v>
      </c>
      <c r="T195">
        <v>0</v>
      </c>
      <c r="U195">
        <v>0</v>
      </c>
      <c r="V195">
        <v>0</v>
      </c>
      <c r="W195" s="1">
        <v>44160</v>
      </c>
      <c r="AA195" t="s">
        <v>40</v>
      </c>
      <c r="AB195" t="s">
        <v>40</v>
      </c>
      <c r="AC195" t="s">
        <v>40</v>
      </c>
      <c r="AE195" t="s">
        <v>40</v>
      </c>
      <c r="AF195" t="s">
        <v>40</v>
      </c>
      <c r="AH195" t="s">
        <v>40</v>
      </c>
      <c r="AI195" t="s">
        <v>40</v>
      </c>
      <c r="AJ195" t="s">
        <v>40</v>
      </c>
    </row>
    <row r="196" spans="1:37" x14ac:dyDescent="0.3">
      <c r="A196">
        <v>2019</v>
      </c>
      <c r="B196">
        <v>2</v>
      </c>
      <c r="C196" t="str">
        <f t="shared" si="6"/>
        <v>2/01/2019</v>
      </c>
      <c r="D196" s="1" t="str">
        <f t="shared" si="7"/>
        <v>2/01/2019</v>
      </c>
      <c r="E196" t="s">
        <v>55</v>
      </c>
      <c r="F196" t="s">
        <v>50</v>
      </c>
      <c r="G196" t="s">
        <v>44</v>
      </c>
      <c r="H196">
        <v>89</v>
      </c>
      <c r="I196">
        <v>70</v>
      </c>
      <c r="J196">
        <v>0</v>
      </c>
      <c r="M196">
        <v>0</v>
      </c>
      <c r="P196">
        <v>0</v>
      </c>
      <c r="S196">
        <v>14</v>
      </c>
      <c r="U196">
        <v>0</v>
      </c>
      <c r="V196">
        <v>0</v>
      </c>
      <c r="W196" s="1">
        <v>44160</v>
      </c>
      <c r="AB196" t="s">
        <v>40</v>
      </c>
      <c r="AC196" t="s">
        <v>40</v>
      </c>
      <c r="AE196" t="s">
        <v>40</v>
      </c>
      <c r="AF196" t="s">
        <v>40</v>
      </c>
      <c r="AH196" t="s">
        <v>40</v>
      </c>
      <c r="AI196" t="s">
        <v>40</v>
      </c>
      <c r="AK196" t="s">
        <v>40</v>
      </c>
    </row>
    <row r="197" spans="1:37" x14ac:dyDescent="0.3">
      <c r="A197">
        <v>2019</v>
      </c>
      <c r="B197">
        <v>2</v>
      </c>
      <c r="C197" t="str">
        <f t="shared" si="6"/>
        <v>2/01/2019</v>
      </c>
      <c r="D197" s="1" t="str">
        <f t="shared" si="7"/>
        <v>2/01/2019</v>
      </c>
      <c r="E197" t="s">
        <v>55</v>
      </c>
      <c r="F197" t="s">
        <v>50</v>
      </c>
      <c r="G197" t="s">
        <v>45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 s="1">
        <v>44160</v>
      </c>
      <c r="Y197" t="s">
        <v>40</v>
      </c>
      <c r="Z197" t="s">
        <v>40</v>
      </c>
    </row>
    <row r="198" spans="1:37" x14ac:dyDescent="0.3">
      <c r="A198">
        <v>2019</v>
      </c>
      <c r="B198">
        <v>2</v>
      </c>
      <c r="C198" t="str">
        <f t="shared" si="6"/>
        <v>2/01/2019</v>
      </c>
      <c r="D198" s="1" t="str">
        <f t="shared" si="7"/>
        <v>2/01/2019</v>
      </c>
      <c r="E198" t="s">
        <v>55</v>
      </c>
      <c r="F198" t="s">
        <v>50</v>
      </c>
      <c r="G198" t="s">
        <v>46</v>
      </c>
      <c r="H198">
        <v>194</v>
      </c>
      <c r="I198">
        <v>164</v>
      </c>
      <c r="K198">
        <v>43</v>
      </c>
      <c r="L198">
        <v>17</v>
      </c>
      <c r="M198">
        <v>0</v>
      </c>
      <c r="S198">
        <v>44</v>
      </c>
      <c r="U198">
        <v>0</v>
      </c>
      <c r="V198">
        <v>0</v>
      </c>
      <c r="W198" s="1">
        <v>44160</v>
      </c>
      <c r="AA198" t="s">
        <v>40</v>
      </c>
      <c r="AE198" t="s">
        <v>40</v>
      </c>
      <c r="AF198" t="s">
        <v>40</v>
      </c>
      <c r="AG198" t="s">
        <v>40</v>
      </c>
      <c r="AH198" t="s">
        <v>40</v>
      </c>
      <c r="AI198" t="s">
        <v>40</v>
      </c>
      <c r="AK198" t="s">
        <v>40</v>
      </c>
    </row>
    <row r="199" spans="1:37" x14ac:dyDescent="0.3">
      <c r="A199">
        <v>2019</v>
      </c>
      <c r="B199">
        <v>2</v>
      </c>
      <c r="C199" t="str">
        <f t="shared" si="6"/>
        <v>2/01/2019</v>
      </c>
      <c r="D199" s="1" t="str">
        <f t="shared" si="7"/>
        <v>2/01/2019</v>
      </c>
      <c r="E199" t="s">
        <v>55</v>
      </c>
      <c r="F199" t="s">
        <v>50</v>
      </c>
      <c r="G199" t="s">
        <v>47</v>
      </c>
      <c r="H199">
        <v>193</v>
      </c>
      <c r="I199">
        <v>185</v>
      </c>
      <c r="K199">
        <v>56</v>
      </c>
      <c r="L199">
        <v>13</v>
      </c>
      <c r="O199">
        <v>11</v>
      </c>
      <c r="S199">
        <v>46</v>
      </c>
      <c r="U199">
        <v>0</v>
      </c>
      <c r="V199">
        <v>0</v>
      </c>
      <c r="W199" s="1">
        <v>44160</v>
      </c>
      <c r="AA199" t="s">
        <v>40</v>
      </c>
      <c r="AD199" t="s">
        <v>40</v>
      </c>
      <c r="AE199" t="s">
        <v>40</v>
      </c>
      <c r="AG199" t="s">
        <v>40</v>
      </c>
      <c r="AH199" t="s">
        <v>40</v>
      </c>
      <c r="AI199" t="s">
        <v>40</v>
      </c>
      <c r="AK199" t="s">
        <v>40</v>
      </c>
    </row>
    <row r="200" spans="1:37" x14ac:dyDescent="0.3">
      <c r="A200">
        <v>2019</v>
      </c>
      <c r="B200">
        <v>2</v>
      </c>
      <c r="C200" t="str">
        <f t="shared" si="6"/>
        <v>2/01/2019</v>
      </c>
      <c r="D200" s="1" t="str">
        <f t="shared" si="7"/>
        <v>2/01/2019</v>
      </c>
      <c r="E200" t="s">
        <v>55</v>
      </c>
      <c r="F200" t="s">
        <v>50</v>
      </c>
      <c r="G200" t="s">
        <v>48</v>
      </c>
      <c r="H200">
        <v>155</v>
      </c>
      <c r="I200">
        <v>147</v>
      </c>
      <c r="K200">
        <v>30</v>
      </c>
      <c r="L200">
        <v>15</v>
      </c>
      <c r="O200">
        <v>12</v>
      </c>
      <c r="R200">
        <v>0</v>
      </c>
      <c r="S200">
        <v>32</v>
      </c>
      <c r="U200">
        <v>0</v>
      </c>
      <c r="V200">
        <v>0</v>
      </c>
      <c r="W200" s="1">
        <v>44160</v>
      </c>
      <c r="AA200" t="s">
        <v>40</v>
      </c>
      <c r="AD200" t="s">
        <v>40</v>
      </c>
      <c r="AE200" t="s">
        <v>40</v>
      </c>
      <c r="AG200" t="s">
        <v>40</v>
      </c>
      <c r="AH200" t="s">
        <v>40</v>
      </c>
      <c r="AK200" t="s">
        <v>40</v>
      </c>
    </row>
    <row r="201" spans="1:37" x14ac:dyDescent="0.3">
      <c r="A201">
        <v>2019</v>
      </c>
      <c r="B201">
        <v>2</v>
      </c>
      <c r="C201" t="str">
        <f t="shared" si="6"/>
        <v>2/01/2019</v>
      </c>
      <c r="D201" s="1" t="str">
        <f t="shared" si="7"/>
        <v>2/01/2019</v>
      </c>
      <c r="E201" t="s">
        <v>55</v>
      </c>
      <c r="F201" t="s">
        <v>50</v>
      </c>
      <c r="G201" t="s">
        <v>49</v>
      </c>
      <c r="H201">
        <v>74</v>
      </c>
      <c r="I201">
        <v>73</v>
      </c>
      <c r="K201">
        <v>10</v>
      </c>
      <c r="Q201">
        <v>0</v>
      </c>
      <c r="S201">
        <v>21</v>
      </c>
      <c r="U201">
        <v>0</v>
      </c>
      <c r="V201">
        <v>0</v>
      </c>
      <c r="W201" s="1">
        <v>44160</v>
      </c>
      <c r="AA201" t="s">
        <v>40</v>
      </c>
      <c r="AC201" t="s">
        <v>40</v>
      </c>
      <c r="AD201" t="s">
        <v>40</v>
      </c>
      <c r="AE201" t="s">
        <v>40</v>
      </c>
      <c r="AF201" t="s">
        <v>40</v>
      </c>
      <c r="AG201" t="s">
        <v>40</v>
      </c>
      <c r="AI201" t="s">
        <v>40</v>
      </c>
      <c r="AK201" t="s">
        <v>40</v>
      </c>
    </row>
    <row r="202" spans="1:37" x14ac:dyDescent="0.3">
      <c r="A202">
        <v>2019</v>
      </c>
      <c r="B202">
        <v>2</v>
      </c>
      <c r="C202" t="str">
        <f t="shared" si="6"/>
        <v>2/01/2019</v>
      </c>
      <c r="D202" s="1" t="str">
        <f t="shared" si="7"/>
        <v>2/01/2019</v>
      </c>
      <c r="E202" t="s">
        <v>55</v>
      </c>
      <c r="F202" t="s">
        <v>51</v>
      </c>
      <c r="G202" t="s">
        <v>39</v>
      </c>
      <c r="H202">
        <v>30</v>
      </c>
      <c r="I202">
        <v>27</v>
      </c>
      <c r="J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 s="1">
        <v>44160</v>
      </c>
      <c r="AB202" t="s">
        <v>40</v>
      </c>
    </row>
    <row r="203" spans="1:37" x14ac:dyDescent="0.3">
      <c r="A203">
        <v>2019</v>
      </c>
      <c r="B203">
        <v>2</v>
      </c>
      <c r="C203" t="str">
        <f t="shared" si="6"/>
        <v>2/01/2019</v>
      </c>
      <c r="D203" s="1" t="str">
        <f t="shared" si="7"/>
        <v>2/01/2019</v>
      </c>
      <c r="E203" t="s">
        <v>55</v>
      </c>
      <c r="F203" t="s">
        <v>51</v>
      </c>
      <c r="G203" t="s">
        <v>41</v>
      </c>
      <c r="H203">
        <v>41</v>
      </c>
      <c r="I203">
        <v>10</v>
      </c>
      <c r="J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U203">
        <v>0</v>
      </c>
      <c r="V203">
        <v>0</v>
      </c>
      <c r="W203" s="1">
        <v>44160</v>
      </c>
      <c r="AB203" t="s">
        <v>40</v>
      </c>
      <c r="AC203" t="s">
        <v>40</v>
      </c>
      <c r="AI203" t="s">
        <v>40</v>
      </c>
      <c r="AJ203" t="s">
        <v>40</v>
      </c>
      <c r="AK203" t="s">
        <v>40</v>
      </c>
    </row>
    <row r="204" spans="1:37" x14ac:dyDescent="0.3">
      <c r="A204">
        <v>2019</v>
      </c>
      <c r="B204">
        <v>2</v>
      </c>
      <c r="C204" t="str">
        <f t="shared" si="6"/>
        <v>2/01/2019</v>
      </c>
      <c r="D204" s="1" t="str">
        <f t="shared" si="7"/>
        <v>2/01/2019</v>
      </c>
      <c r="E204" t="s">
        <v>55</v>
      </c>
      <c r="F204" t="s">
        <v>51</v>
      </c>
      <c r="G204" t="s">
        <v>42</v>
      </c>
      <c r="H204">
        <v>84</v>
      </c>
      <c r="I204">
        <v>36</v>
      </c>
      <c r="J204">
        <v>0</v>
      </c>
      <c r="M204">
        <v>0</v>
      </c>
      <c r="O204">
        <v>0</v>
      </c>
      <c r="P204">
        <v>0</v>
      </c>
      <c r="Q204">
        <v>0</v>
      </c>
      <c r="R204">
        <v>0</v>
      </c>
      <c r="U204">
        <v>0</v>
      </c>
      <c r="V204">
        <v>0</v>
      </c>
      <c r="W204" s="1">
        <v>44160</v>
      </c>
      <c r="AB204" t="s">
        <v>40</v>
      </c>
      <c r="AC204" t="s">
        <v>40</v>
      </c>
      <c r="AE204" t="s">
        <v>40</v>
      </c>
      <c r="AJ204" t="s">
        <v>40</v>
      </c>
      <c r="AK204" t="s">
        <v>40</v>
      </c>
    </row>
    <row r="205" spans="1:37" x14ac:dyDescent="0.3">
      <c r="A205">
        <v>2019</v>
      </c>
      <c r="B205">
        <v>2</v>
      </c>
      <c r="C205" t="str">
        <f t="shared" si="6"/>
        <v>2/01/2019</v>
      </c>
      <c r="D205" s="1" t="str">
        <f t="shared" si="7"/>
        <v>2/01/2019</v>
      </c>
      <c r="E205" t="s">
        <v>55</v>
      </c>
      <c r="F205" t="s">
        <v>51</v>
      </c>
      <c r="G205" t="s">
        <v>43</v>
      </c>
      <c r="H205">
        <v>89</v>
      </c>
      <c r="I205">
        <v>67</v>
      </c>
      <c r="J205">
        <v>0</v>
      </c>
      <c r="K205">
        <v>19</v>
      </c>
      <c r="M205">
        <v>0</v>
      </c>
      <c r="O205">
        <v>0</v>
      </c>
      <c r="P205">
        <v>0</v>
      </c>
      <c r="S205">
        <v>19</v>
      </c>
      <c r="U205">
        <v>0</v>
      </c>
      <c r="V205">
        <v>0</v>
      </c>
      <c r="W205" s="1">
        <v>44160</v>
      </c>
      <c r="AC205" t="s">
        <v>40</v>
      </c>
      <c r="AE205" t="s">
        <v>40</v>
      </c>
      <c r="AH205" t="s">
        <v>40</v>
      </c>
      <c r="AI205" t="s">
        <v>40</v>
      </c>
      <c r="AK205" t="s">
        <v>40</v>
      </c>
    </row>
    <row r="206" spans="1:37" x14ac:dyDescent="0.3">
      <c r="A206">
        <v>2019</v>
      </c>
      <c r="B206">
        <v>2</v>
      </c>
      <c r="C206" t="str">
        <f t="shared" si="6"/>
        <v>2/01/2019</v>
      </c>
      <c r="D206" s="1" t="str">
        <f t="shared" si="7"/>
        <v>2/01/2019</v>
      </c>
      <c r="E206" t="s">
        <v>55</v>
      </c>
      <c r="F206" t="s">
        <v>51</v>
      </c>
      <c r="G206" t="s">
        <v>44</v>
      </c>
      <c r="H206">
        <v>218</v>
      </c>
      <c r="I206">
        <v>190</v>
      </c>
      <c r="K206">
        <v>66</v>
      </c>
      <c r="M206">
        <v>0</v>
      </c>
      <c r="S206">
        <v>50</v>
      </c>
      <c r="T206">
        <v>16</v>
      </c>
      <c r="U206">
        <v>0</v>
      </c>
      <c r="V206">
        <v>0</v>
      </c>
      <c r="W206" s="1">
        <v>44160</v>
      </c>
      <c r="AA206" t="s">
        <v>40</v>
      </c>
      <c r="AC206" t="s">
        <v>40</v>
      </c>
      <c r="AE206" t="s">
        <v>40</v>
      </c>
      <c r="AF206" t="s">
        <v>40</v>
      </c>
      <c r="AG206" t="s">
        <v>40</v>
      </c>
      <c r="AH206" t="s">
        <v>40</v>
      </c>
      <c r="AI206" t="s">
        <v>40</v>
      </c>
    </row>
    <row r="207" spans="1:37" x14ac:dyDescent="0.3">
      <c r="A207">
        <v>2019</v>
      </c>
      <c r="B207">
        <v>2</v>
      </c>
      <c r="C207" t="str">
        <f t="shared" si="6"/>
        <v>2/01/2019</v>
      </c>
      <c r="D207" s="1" t="str">
        <f t="shared" si="7"/>
        <v>2/01/2019</v>
      </c>
      <c r="E207" t="s">
        <v>55</v>
      </c>
      <c r="F207" t="s">
        <v>51</v>
      </c>
      <c r="G207" t="s">
        <v>45</v>
      </c>
      <c r="J207">
        <v>0</v>
      </c>
      <c r="K207">
        <v>0</v>
      </c>
      <c r="L207">
        <v>0</v>
      </c>
      <c r="M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 s="1">
        <v>44160</v>
      </c>
      <c r="Y207" t="s">
        <v>40</v>
      </c>
      <c r="Z207" t="s">
        <v>40</v>
      </c>
      <c r="AE207" t="s">
        <v>40</v>
      </c>
      <c r="AK207" t="s">
        <v>40</v>
      </c>
    </row>
    <row r="208" spans="1:37" x14ac:dyDescent="0.3">
      <c r="A208">
        <v>2019</v>
      </c>
      <c r="B208">
        <v>2</v>
      </c>
      <c r="C208" t="str">
        <f t="shared" si="6"/>
        <v>2/01/2019</v>
      </c>
      <c r="D208" s="1" t="str">
        <f t="shared" si="7"/>
        <v>2/01/2019</v>
      </c>
      <c r="E208" t="s">
        <v>55</v>
      </c>
      <c r="F208" t="s">
        <v>51</v>
      </c>
      <c r="G208" t="s">
        <v>46</v>
      </c>
      <c r="H208">
        <v>406</v>
      </c>
      <c r="I208">
        <v>376</v>
      </c>
      <c r="K208">
        <v>151</v>
      </c>
      <c r="L208">
        <v>20</v>
      </c>
      <c r="O208">
        <v>0</v>
      </c>
      <c r="S208">
        <v>103</v>
      </c>
      <c r="T208">
        <v>20</v>
      </c>
      <c r="U208">
        <v>0</v>
      </c>
      <c r="V208">
        <v>0</v>
      </c>
      <c r="W208" s="1">
        <v>44160</v>
      </c>
      <c r="AA208" t="s">
        <v>40</v>
      </c>
      <c r="AD208" t="s">
        <v>40</v>
      </c>
      <c r="AE208" t="s">
        <v>40</v>
      </c>
      <c r="AG208" t="s">
        <v>40</v>
      </c>
      <c r="AH208" t="s">
        <v>40</v>
      </c>
      <c r="AI208" t="s">
        <v>40</v>
      </c>
    </row>
    <row r="209" spans="1:37" x14ac:dyDescent="0.3">
      <c r="A209">
        <v>2019</v>
      </c>
      <c r="B209">
        <v>2</v>
      </c>
      <c r="C209" t="str">
        <f t="shared" si="6"/>
        <v>2/01/2019</v>
      </c>
      <c r="D209" s="1" t="str">
        <f t="shared" si="7"/>
        <v>2/01/2019</v>
      </c>
      <c r="E209" t="s">
        <v>55</v>
      </c>
      <c r="F209" t="s">
        <v>51</v>
      </c>
      <c r="G209" t="s">
        <v>47</v>
      </c>
      <c r="H209">
        <v>588</v>
      </c>
      <c r="I209">
        <v>560</v>
      </c>
      <c r="K209">
        <v>205</v>
      </c>
      <c r="L209">
        <v>39</v>
      </c>
      <c r="N209">
        <v>12</v>
      </c>
      <c r="O209">
        <v>17</v>
      </c>
      <c r="P209">
        <v>12</v>
      </c>
      <c r="Q209">
        <v>14</v>
      </c>
      <c r="S209">
        <v>123</v>
      </c>
      <c r="T209">
        <v>46</v>
      </c>
      <c r="U209">
        <v>0</v>
      </c>
      <c r="V209">
        <v>0</v>
      </c>
      <c r="W209" s="1">
        <v>44160</v>
      </c>
      <c r="AA209" t="s">
        <v>40</v>
      </c>
      <c r="AD209" t="s">
        <v>40</v>
      </c>
      <c r="AI209" t="s">
        <v>40</v>
      </c>
    </row>
    <row r="210" spans="1:37" x14ac:dyDescent="0.3">
      <c r="A210">
        <v>2019</v>
      </c>
      <c r="B210">
        <v>2</v>
      </c>
      <c r="C210" t="str">
        <f t="shared" si="6"/>
        <v>2/01/2019</v>
      </c>
      <c r="D210" s="1" t="str">
        <f t="shared" si="7"/>
        <v>2/01/2019</v>
      </c>
      <c r="E210" t="s">
        <v>55</v>
      </c>
      <c r="F210" t="s">
        <v>51</v>
      </c>
      <c r="G210" t="s">
        <v>48</v>
      </c>
      <c r="H210">
        <v>835</v>
      </c>
      <c r="I210">
        <v>807</v>
      </c>
      <c r="J210">
        <v>12</v>
      </c>
      <c r="K210">
        <v>185</v>
      </c>
      <c r="L210">
        <v>40</v>
      </c>
      <c r="M210">
        <v>20</v>
      </c>
      <c r="N210">
        <v>17</v>
      </c>
      <c r="O210">
        <v>45</v>
      </c>
      <c r="P210">
        <v>23</v>
      </c>
      <c r="Q210">
        <v>24</v>
      </c>
      <c r="S210">
        <v>222</v>
      </c>
      <c r="T210">
        <v>66</v>
      </c>
      <c r="U210">
        <v>0</v>
      </c>
      <c r="V210">
        <v>0</v>
      </c>
      <c r="W210" s="1">
        <v>44160</v>
      </c>
      <c r="AI210" t="s">
        <v>40</v>
      </c>
    </row>
    <row r="211" spans="1:37" x14ac:dyDescent="0.3">
      <c r="A211">
        <v>2019</v>
      </c>
      <c r="B211">
        <v>2</v>
      </c>
      <c r="C211" t="str">
        <f t="shared" si="6"/>
        <v>2/01/2019</v>
      </c>
      <c r="D211" s="1" t="str">
        <f t="shared" si="7"/>
        <v>2/01/2019</v>
      </c>
      <c r="E211" t="s">
        <v>55</v>
      </c>
      <c r="F211" t="s">
        <v>51</v>
      </c>
      <c r="G211" t="s">
        <v>49</v>
      </c>
      <c r="H211">
        <v>852</v>
      </c>
      <c r="I211">
        <v>836</v>
      </c>
      <c r="K211">
        <v>129</v>
      </c>
      <c r="L211">
        <v>24</v>
      </c>
      <c r="M211">
        <v>49</v>
      </c>
      <c r="N211">
        <v>47</v>
      </c>
      <c r="O211">
        <v>45</v>
      </c>
      <c r="P211">
        <v>16</v>
      </c>
      <c r="Q211">
        <v>19</v>
      </c>
      <c r="S211">
        <v>214</v>
      </c>
      <c r="T211">
        <v>78</v>
      </c>
      <c r="U211">
        <v>0</v>
      </c>
      <c r="V211">
        <v>0</v>
      </c>
      <c r="W211" s="1">
        <v>44160</v>
      </c>
      <c r="AA211" t="s">
        <v>40</v>
      </c>
      <c r="AI211" t="s">
        <v>40</v>
      </c>
    </row>
    <row r="212" spans="1:37" x14ac:dyDescent="0.3">
      <c r="A212">
        <v>2019</v>
      </c>
      <c r="B212">
        <v>2</v>
      </c>
      <c r="C212" t="str">
        <f t="shared" si="6"/>
        <v>2/01/2019</v>
      </c>
      <c r="D212" s="1" t="str">
        <f t="shared" si="7"/>
        <v>2/01/2019</v>
      </c>
      <c r="E212" t="s">
        <v>55</v>
      </c>
      <c r="F212" t="s">
        <v>52</v>
      </c>
      <c r="G212" t="s">
        <v>39</v>
      </c>
      <c r="H212">
        <v>309</v>
      </c>
      <c r="I212">
        <v>272</v>
      </c>
      <c r="K212">
        <v>0</v>
      </c>
      <c r="L212">
        <v>0</v>
      </c>
      <c r="M212">
        <v>0</v>
      </c>
      <c r="R212">
        <v>39</v>
      </c>
      <c r="U212">
        <v>0</v>
      </c>
      <c r="V212">
        <v>0</v>
      </c>
      <c r="W212" s="1">
        <v>44160</v>
      </c>
      <c r="AA212" t="s">
        <v>40</v>
      </c>
      <c r="AE212" t="s">
        <v>40</v>
      </c>
      <c r="AF212" t="s">
        <v>40</v>
      </c>
      <c r="AG212" t="s">
        <v>40</v>
      </c>
      <c r="AH212" t="s">
        <v>40</v>
      </c>
      <c r="AJ212" t="s">
        <v>40</v>
      </c>
      <c r="AK212" t="s">
        <v>40</v>
      </c>
    </row>
    <row r="213" spans="1:37" x14ac:dyDescent="0.3">
      <c r="A213">
        <v>2019</v>
      </c>
      <c r="B213">
        <v>2</v>
      </c>
      <c r="C213" t="str">
        <f t="shared" si="6"/>
        <v>2/01/2019</v>
      </c>
      <c r="D213" s="1" t="str">
        <f t="shared" si="7"/>
        <v>2/01/2019</v>
      </c>
      <c r="E213" t="s">
        <v>55</v>
      </c>
      <c r="F213" t="s">
        <v>52</v>
      </c>
      <c r="G213" t="s">
        <v>41</v>
      </c>
      <c r="H213">
        <v>383</v>
      </c>
      <c r="I213">
        <v>69</v>
      </c>
      <c r="K213">
        <v>13</v>
      </c>
      <c r="M213">
        <v>0</v>
      </c>
      <c r="P213">
        <v>0</v>
      </c>
      <c r="Q213">
        <v>0</v>
      </c>
      <c r="S213">
        <v>13</v>
      </c>
      <c r="U213">
        <v>0</v>
      </c>
      <c r="V213">
        <v>0</v>
      </c>
      <c r="W213" s="1">
        <v>44160</v>
      </c>
      <c r="AA213" t="s">
        <v>40</v>
      </c>
      <c r="AC213" t="s">
        <v>40</v>
      </c>
      <c r="AE213" t="s">
        <v>40</v>
      </c>
      <c r="AF213" t="s">
        <v>40</v>
      </c>
      <c r="AI213" t="s">
        <v>40</v>
      </c>
      <c r="AK213" t="s">
        <v>40</v>
      </c>
    </row>
    <row r="214" spans="1:37" x14ac:dyDescent="0.3">
      <c r="A214">
        <v>2019</v>
      </c>
      <c r="B214">
        <v>2</v>
      </c>
      <c r="C214" t="str">
        <f t="shared" si="6"/>
        <v>2/01/2019</v>
      </c>
      <c r="D214" s="1" t="str">
        <f t="shared" si="7"/>
        <v>2/01/2019</v>
      </c>
      <c r="E214" t="s">
        <v>55</v>
      </c>
      <c r="F214" t="s">
        <v>52</v>
      </c>
      <c r="G214" t="s">
        <v>42</v>
      </c>
      <c r="H214">
        <v>652</v>
      </c>
      <c r="I214">
        <v>210</v>
      </c>
      <c r="K214">
        <v>16</v>
      </c>
      <c r="L214">
        <v>16</v>
      </c>
      <c r="M214">
        <v>0</v>
      </c>
      <c r="N214">
        <v>14</v>
      </c>
      <c r="R214">
        <v>11</v>
      </c>
      <c r="S214">
        <v>51</v>
      </c>
      <c r="U214">
        <v>0</v>
      </c>
      <c r="V214">
        <v>0</v>
      </c>
      <c r="W214" s="1">
        <v>44160</v>
      </c>
      <c r="AA214" t="s">
        <v>40</v>
      </c>
      <c r="AF214" t="s">
        <v>40</v>
      </c>
      <c r="AG214" t="s">
        <v>40</v>
      </c>
      <c r="AH214" t="s">
        <v>40</v>
      </c>
      <c r="AK214" t="s">
        <v>40</v>
      </c>
    </row>
    <row r="215" spans="1:37" x14ac:dyDescent="0.3">
      <c r="A215">
        <v>2019</v>
      </c>
      <c r="B215">
        <v>2</v>
      </c>
      <c r="C215" t="str">
        <f t="shared" si="6"/>
        <v>2/01/2019</v>
      </c>
      <c r="D215" s="1" t="str">
        <f t="shared" si="7"/>
        <v>2/01/2019</v>
      </c>
      <c r="E215" t="s">
        <v>55</v>
      </c>
      <c r="F215" t="s">
        <v>52</v>
      </c>
      <c r="G215" t="s">
        <v>43</v>
      </c>
      <c r="H215">
        <v>778</v>
      </c>
      <c r="I215">
        <v>448</v>
      </c>
      <c r="K215">
        <v>58</v>
      </c>
      <c r="L215">
        <v>41</v>
      </c>
      <c r="M215">
        <v>0</v>
      </c>
      <c r="N215">
        <v>13</v>
      </c>
      <c r="Q215">
        <v>11</v>
      </c>
      <c r="S215">
        <v>139</v>
      </c>
      <c r="T215">
        <v>24</v>
      </c>
      <c r="U215">
        <v>0</v>
      </c>
      <c r="V215">
        <v>0</v>
      </c>
      <c r="W215" s="1">
        <v>44160</v>
      </c>
      <c r="AA215" t="s">
        <v>40</v>
      </c>
      <c r="AF215" t="s">
        <v>40</v>
      </c>
      <c r="AG215" t="s">
        <v>40</v>
      </c>
      <c r="AI215" t="s">
        <v>40</v>
      </c>
    </row>
    <row r="216" spans="1:37" x14ac:dyDescent="0.3">
      <c r="A216">
        <v>2019</v>
      </c>
      <c r="B216">
        <v>2</v>
      </c>
      <c r="C216" t="str">
        <f t="shared" si="6"/>
        <v>2/01/2019</v>
      </c>
      <c r="D216" s="1" t="str">
        <f t="shared" si="7"/>
        <v>2/01/2019</v>
      </c>
      <c r="E216" t="s">
        <v>55</v>
      </c>
      <c r="F216" t="s">
        <v>52</v>
      </c>
      <c r="G216" t="s">
        <v>44</v>
      </c>
      <c r="H216" s="2">
        <v>1451</v>
      </c>
      <c r="I216" s="2">
        <v>1171</v>
      </c>
      <c r="J216">
        <v>31</v>
      </c>
      <c r="K216">
        <v>218</v>
      </c>
      <c r="L216">
        <v>58</v>
      </c>
      <c r="N216">
        <v>16</v>
      </c>
      <c r="O216">
        <v>25</v>
      </c>
      <c r="P216">
        <v>15</v>
      </c>
      <c r="Q216">
        <v>35</v>
      </c>
      <c r="R216">
        <v>17</v>
      </c>
      <c r="S216">
        <v>391</v>
      </c>
      <c r="T216">
        <v>55</v>
      </c>
      <c r="U216">
        <v>0</v>
      </c>
      <c r="V216">
        <v>0</v>
      </c>
      <c r="W216" s="1">
        <v>44160</v>
      </c>
      <c r="AD216" t="s">
        <v>40</v>
      </c>
    </row>
    <row r="217" spans="1:37" x14ac:dyDescent="0.3">
      <c r="A217">
        <v>2019</v>
      </c>
      <c r="B217">
        <v>2</v>
      </c>
      <c r="C217" t="str">
        <f t="shared" si="6"/>
        <v>2/01/2019</v>
      </c>
      <c r="D217" s="1" t="str">
        <f t="shared" si="7"/>
        <v>2/01/2019</v>
      </c>
      <c r="E217" t="s">
        <v>55</v>
      </c>
      <c r="F217" t="s">
        <v>52</v>
      </c>
      <c r="G217" t="s">
        <v>45</v>
      </c>
      <c r="H217">
        <v>43</v>
      </c>
      <c r="I217">
        <v>19</v>
      </c>
      <c r="J217">
        <v>0</v>
      </c>
      <c r="M217">
        <v>0</v>
      </c>
      <c r="P217">
        <v>0</v>
      </c>
      <c r="Q217">
        <v>0</v>
      </c>
      <c r="T217">
        <v>0</v>
      </c>
      <c r="U217">
        <v>0</v>
      </c>
      <c r="V217">
        <v>0</v>
      </c>
      <c r="W217" s="1">
        <v>44160</v>
      </c>
      <c r="AB217" t="s">
        <v>40</v>
      </c>
      <c r="AC217" t="s">
        <v>40</v>
      </c>
      <c r="AE217" t="s">
        <v>40</v>
      </c>
      <c r="AF217" t="s">
        <v>40</v>
      </c>
      <c r="AI217" t="s">
        <v>40</v>
      </c>
      <c r="AJ217" t="s">
        <v>40</v>
      </c>
    </row>
    <row r="218" spans="1:37" x14ac:dyDescent="0.3">
      <c r="A218">
        <v>2019</v>
      </c>
      <c r="B218">
        <v>2</v>
      </c>
      <c r="C218" t="str">
        <f t="shared" si="6"/>
        <v>2/01/2019</v>
      </c>
      <c r="D218" s="1" t="str">
        <f t="shared" si="7"/>
        <v>2/01/2019</v>
      </c>
      <c r="E218" t="s">
        <v>55</v>
      </c>
      <c r="F218" t="s">
        <v>52</v>
      </c>
      <c r="G218" t="s">
        <v>46</v>
      </c>
      <c r="H218" s="2">
        <v>3171</v>
      </c>
      <c r="I218" s="2">
        <v>2847</v>
      </c>
      <c r="J218">
        <v>53</v>
      </c>
      <c r="K218">
        <v>681</v>
      </c>
      <c r="L218">
        <v>166</v>
      </c>
      <c r="N218">
        <v>61</v>
      </c>
      <c r="O218">
        <v>104</v>
      </c>
      <c r="P218">
        <v>35</v>
      </c>
      <c r="Q218">
        <v>88</v>
      </c>
      <c r="R218">
        <v>24</v>
      </c>
      <c r="S218">
        <v>896</v>
      </c>
      <c r="T218">
        <v>155</v>
      </c>
      <c r="U218">
        <v>0</v>
      </c>
      <c r="V218">
        <v>0</v>
      </c>
      <c r="W218" s="1">
        <v>44160</v>
      </c>
      <c r="AD218" t="s">
        <v>40</v>
      </c>
    </row>
    <row r="219" spans="1:37" x14ac:dyDescent="0.3">
      <c r="A219">
        <v>2019</v>
      </c>
      <c r="B219">
        <v>2</v>
      </c>
      <c r="C219" t="str">
        <f t="shared" si="6"/>
        <v>2/01/2019</v>
      </c>
      <c r="D219" s="1" t="str">
        <f t="shared" si="7"/>
        <v>2/01/2019</v>
      </c>
      <c r="E219" t="s">
        <v>55</v>
      </c>
      <c r="F219" t="s">
        <v>52</v>
      </c>
      <c r="G219" t="s">
        <v>47</v>
      </c>
      <c r="H219" s="2">
        <v>3538</v>
      </c>
      <c r="I219" s="2">
        <v>3376</v>
      </c>
      <c r="J219">
        <v>76</v>
      </c>
      <c r="K219">
        <v>956</v>
      </c>
      <c r="L219">
        <v>190</v>
      </c>
      <c r="M219">
        <v>29</v>
      </c>
      <c r="N219">
        <v>67</v>
      </c>
      <c r="O219">
        <v>146</v>
      </c>
      <c r="P219">
        <v>46</v>
      </c>
      <c r="Q219">
        <v>118</v>
      </c>
      <c r="R219">
        <v>27</v>
      </c>
      <c r="S219">
        <v>942</v>
      </c>
      <c r="T219">
        <v>190</v>
      </c>
      <c r="U219">
        <v>0</v>
      </c>
      <c r="V219">
        <v>0</v>
      </c>
      <c r="W219" s="1">
        <v>44160</v>
      </c>
    </row>
    <row r="220" spans="1:37" x14ac:dyDescent="0.3">
      <c r="A220">
        <v>2019</v>
      </c>
      <c r="B220">
        <v>2</v>
      </c>
      <c r="C220" t="str">
        <f t="shared" si="6"/>
        <v>2/01/2019</v>
      </c>
      <c r="D220" s="1" t="str">
        <f t="shared" si="7"/>
        <v>2/01/2019</v>
      </c>
      <c r="E220" t="s">
        <v>55</v>
      </c>
      <c r="F220" t="s">
        <v>52</v>
      </c>
      <c r="G220" t="s">
        <v>48</v>
      </c>
      <c r="H220" s="2">
        <v>2645</v>
      </c>
      <c r="I220" s="2">
        <v>2587</v>
      </c>
      <c r="J220">
        <v>59</v>
      </c>
      <c r="K220">
        <v>590</v>
      </c>
      <c r="L220">
        <v>156</v>
      </c>
      <c r="M220">
        <v>85</v>
      </c>
      <c r="N220">
        <v>48</v>
      </c>
      <c r="O220">
        <v>135</v>
      </c>
      <c r="P220">
        <v>35</v>
      </c>
      <c r="Q220">
        <v>88</v>
      </c>
      <c r="R220">
        <v>22</v>
      </c>
      <c r="S220">
        <v>684</v>
      </c>
      <c r="T220">
        <v>171</v>
      </c>
      <c r="U220">
        <v>0</v>
      </c>
      <c r="V220">
        <v>0</v>
      </c>
      <c r="W220" s="1">
        <v>44160</v>
      </c>
    </row>
    <row r="221" spans="1:37" x14ac:dyDescent="0.3">
      <c r="A221">
        <v>2019</v>
      </c>
      <c r="B221">
        <v>2</v>
      </c>
      <c r="C221" t="str">
        <f t="shared" si="6"/>
        <v>2/01/2019</v>
      </c>
      <c r="D221" s="1" t="str">
        <f t="shared" si="7"/>
        <v>2/01/2019</v>
      </c>
      <c r="E221" t="s">
        <v>55</v>
      </c>
      <c r="F221" t="s">
        <v>52</v>
      </c>
      <c r="G221" t="s">
        <v>49</v>
      </c>
      <c r="H221" s="2">
        <v>1617</v>
      </c>
      <c r="I221" s="2">
        <v>1587</v>
      </c>
      <c r="J221">
        <v>28</v>
      </c>
      <c r="K221">
        <v>256</v>
      </c>
      <c r="L221">
        <v>53</v>
      </c>
      <c r="M221">
        <v>124</v>
      </c>
      <c r="N221">
        <v>36</v>
      </c>
      <c r="O221">
        <v>79</v>
      </c>
      <c r="P221">
        <v>20</v>
      </c>
      <c r="Q221">
        <v>65</v>
      </c>
      <c r="R221">
        <v>15</v>
      </c>
      <c r="S221">
        <v>446</v>
      </c>
      <c r="T221">
        <v>95</v>
      </c>
      <c r="U221">
        <v>0</v>
      </c>
      <c r="V221">
        <v>0</v>
      </c>
      <c r="W221" s="1">
        <v>44160</v>
      </c>
    </row>
    <row r="222" spans="1:37" x14ac:dyDescent="0.3">
      <c r="A222">
        <v>2019</v>
      </c>
      <c r="B222">
        <v>2</v>
      </c>
      <c r="C222" t="str">
        <f t="shared" si="6"/>
        <v>2/01/2019</v>
      </c>
      <c r="D222" s="1" t="str">
        <f t="shared" si="7"/>
        <v>2/01/2019</v>
      </c>
      <c r="E222" t="s">
        <v>55</v>
      </c>
      <c r="F222" t="s">
        <v>53</v>
      </c>
      <c r="G222" t="s">
        <v>39</v>
      </c>
      <c r="H222">
        <v>472</v>
      </c>
      <c r="I222">
        <v>406</v>
      </c>
      <c r="K222">
        <v>11</v>
      </c>
      <c r="L222">
        <v>0</v>
      </c>
      <c r="M222">
        <v>0</v>
      </c>
      <c r="Q222">
        <v>0</v>
      </c>
      <c r="R222">
        <v>47</v>
      </c>
      <c r="U222">
        <v>0</v>
      </c>
      <c r="V222">
        <v>0</v>
      </c>
      <c r="W222" s="1">
        <v>44160</v>
      </c>
      <c r="AA222" t="s">
        <v>40</v>
      </c>
      <c r="AE222" t="s">
        <v>40</v>
      </c>
      <c r="AF222" t="s">
        <v>40</v>
      </c>
      <c r="AG222" t="s">
        <v>40</v>
      </c>
      <c r="AJ222" t="s">
        <v>40</v>
      </c>
      <c r="AK222" t="s">
        <v>40</v>
      </c>
    </row>
    <row r="223" spans="1:37" x14ac:dyDescent="0.3">
      <c r="A223">
        <v>2019</v>
      </c>
      <c r="B223">
        <v>2</v>
      </c>
      <c r="C223" t="str">
        <f t="shared" si="6"/>
        <v>2/01/2019</v>
      </c>
      <c r="D223" s="1" t="str">
        <f t="shared" si="7"/>
        <v>2/01/2019</v>
      </c>
      <c r="E223" t="s">
        <v>55</v>
      </c>
      <c r="F223" t="s">
        <v>53</v>
      </c>
      <c r="G223" t="s">
        <v>41</v>
      </c>
      <c r="H223">
        <v>721</v>
      </c>
      <c r="I223">
        <v>149</v>
      </c>
      <c r="K223">
        <v>32</v>
      </c>
      <c r="M223">
        <v>0</v>
      </c>
      <c r="R223">
        <v>10</v>
      </c>
      <c r="S223">
        <v>23</v>
      </c>
      <c r="U223">
        <v>0</v>
      </c>
      <c r="V223">
        <v>0</v>
      </c>
      <c r="W223" s="1">
        <v>44160</v>
      </c>
      <c r="AA223" t="s">
        <v>40</v>
      </c>
      <c r="AC223" t="s">
        <v>40</v>
      </c>
      <c r="AE223" t="s">
        <v>40</v>
      </c>
      <c r="AF223" t="s">
        <v>40</v>
      </c>
      <c r="AG223" t="s">
        <v>40</v>
      </c>
      <c r="AH223" t="s">
        <v>40</v>
      </c>
      <c r="AK223" t="s">
        <v>40</v>
      </c>
    </row>
    <row r="224" spans="1:37" x14ac:dyDescent="0.3">
      <c r="A224">
        <v>2019</v>
      </c>
      <c r="B224">
        <v>2</v>
      </c>
      <c r="C224" t="str">
        <f t="shared" si="6"/>
        <v>2/01/2019</v>
      </c>
      <c r="D224" s="1" t="str">
        <f t="shared" si="7"/>
        <v>2/01/2019</v>
      </c>
      <c r="E224" t="s">
        <v>55</v>
      </c>
      <c r="F224" t="s">
        <v>53</v>
      </c>
      <c r="G224" t="s">
        <v>42</v>
      </c>
      <c r="H224" s="2">
        <v>1715</v>
      </c>
      <c r="I224">
        <v>479</v>
      </c>
      <c r="J224">
        <v>15</v>
      </c>
      <c r="K224">
        <v>73</v>
      </c>
      <c r="L224">
        <v>23</v>
      </c>
      <c r="M224">
        <v>0</v>
      </c>
      <c r="N224">
        <v>24</v>
      </c>
      <c r="R224">
        <v>22</v>
      </c>
      <c r="S224">
        <v>104</v>
      </c>
      <c r="T224">
        <v>10</v>
      </c>
      <c r="U224">
        <v>0</v>
      </c>
      <c r="V224">
        <v>0</v>
      </c>
      <c r="W224" s="1">
        <v>44160</v>
      </c>
      <c r="AF224" t="s">
        <v>40</v>
      </c>
      <c r="AG224" t="s">
        <v>40</v>
      </c>
      <c r="AH224" t="s">
        <v>40</v>
      </c>
    </row>
    <row r="225" spans="1:37" x14ac:dyDescent="0.3">
      <c r="A225">
        <v>2019</v>
      </c>
      <c r="B225">
        <v>2</v>
      </c>
      <c r="C225" t="str">
        <f t="shared" si="6"/>
        <v>2/01/2019</v>
      </c>
      <c r="D225" s="1" t="str">
        <f t="shared" si="7"/>
        <v>2/01/2019</v>
      </c>
      <c r="E225" t="s">
        <v>55</v>
      </c>
      <c r="F225" t="s">
        <v>53</v>
      </c>
      <c r="G225" t="s">
        <v>43</v>
      </c>
      <c r="H225" s="2">
        <v>2349</v>
      </c>
      <c r="I225" s="2">
        <v>1111</v>
      </c>
      <c r="J225">
        <v>20</v>
      </c>
      <c r="K225">
        <v>200</v>
      </c>
      <c r="L225">
        <v>43</v>
      </c>
      <c r="M225">
        <v>0</v>
      </c>
      <c r="N225">
        <v>38</v>
      </c>
      <c r="O225">
        <v>17</v>
      </c>
      <c r="P225">
        <v>15</v>
      </c>
      <c r="R225">
        <v>27</v>
      </c>
      <c r="S225">
        <v>295</v>
      </c>
      <c r="T225">
        <v>38</v>
      </c>
      <c r="U225">
        <v>0</v>
      </c>
      <c r="V225">
        <v>0</v>
      </c>
      <c r="W225" s="1">
        <v>44160</v>
      </c>
      <c r="AH225" t="s">
        <v>40</v>
      </c>
    </row>
    <row r="226" spans="1:37" x14ac:dyDescent="0.3">
      <c r="A226">
        <v>2019</v>
      </c>
      <c r="B226">
        <v>2</v>
      </c>
      <c r="C226" t="str">
        <f t="shared" si="6"/>
        <v>2/01/2019</v>
      </c>
      <c r="D226" s="1" t="str">
        <f t="shared" si="7"/>
        <v>2/01/2019</v>
      </c>
      <c r="E226" t="s">
        <v>55</v>
      </c>
      <c r="F226" t="s">
        <v>53</v>
      </c>
      <c r="G226" t="s">
        <v>44</v>
      </c>
      <c r="H226" s="2">
        <v>5170</v>
      </c>
      <c r="I226" s="2">
        <v>3865</v>
      </c>
      <c r="J226">
        <v>51</v>
      </c>
      <c r="K226">
        <v>919</v>
      </c>
      <c r="L226">
        <v>194</v>
      </c>
      <c r="N226">
        <v>101</v>
      </c>
      <c r="O226">
        <v>110</v>
      </c>
      <c r="P226">
        <v>50</v>
      </c>
      <c r="Q226">
        <v>54</v>
      </c>
      <c r="R226">
        <v>41</v>
      </c>
      <c r="S226" s="2">
        <v>1193</v>
      </c>
      <c r="T226">
        <v>117</v>
      </c>
      <c r="U226">
        <v>0</v>
      </c>
      <c r="V226">
        <v>0</v>
      </c>
      <c r="W226" s="1">
        <v>44160</v>
      </c>
      <c r="AD226" t="s">
        <v>40</v>
      </c>
    </row>
    <row r="227" spans="1:37" x14ac:dyDescent="0.3">
      <c r="A227">
        <v>2019</v>
      </c>
      <c r="B227">
        <v>2</v>
      </c>
      <c r="C227" t="str">
        <f t="shared" si="6"/>
        <v>2/01/2019</v>
      </c>
      <c r="D227" s="1" t="str">
        <f t="shared" si="7"/>
        <v>2/01/2019</v>
      </c>
      <c r="E227" t="s">
        <v>55</v>
      </c>
      <c r="F227" t="s">
        <v>53</v>
      </c>
      <c r="G227" t="s">
        <v>45</v>
      </c>
      <c r="H227">
        <v>115</v>
      </c>
      <c r="I227">
        <v>61</v>
      </c>
      <c r="K227">
        <v>14</v>
      </c>
      <c r="L227">
        <v>0</v>
      </c>
      <c r="M227">
        <v>0</v>
      </c>
      <c r="Q227">
        <v>0</v>
      </c>
      <c r="U227">
        <v>0</v>
      </c>
      <c r="V227">
        <v>0</v>
      </c>
      <c r="W227" s="1">
        <v>44160</v>
      </c>
      <c r="AA227" t="s">
        <v>40</v>
      </c>
      <c r="AE227" t="s">
        <v>40</v>
      </c>
      <c r="AF227" t="s">
        <v>40</v>
      </c>
      <c r="AG227" t="s">
        <v>40</v>
      </c>
      <c r="AI227" t="s">
        <v>40</v>
      </c>
      <c r="AJ227" t="s">
        <v>40</v>
      </c>
      <c r="AK227" t="s">
        <v>40</v>
      </c>
    </row>
    <row r="228" spans="1:37" x14ac:dyDescent="0.3">
      <c r="A228">
        <v>2019</v>
      </c>
      <c r="B228">
        <v>2</v>
      </c>
      <c r="C228" t="str">
        <f t="shared" si="6"/>
        <v>2/01/2019</v>
      </c>
      <c r="D228" s="1" t="str">
        <f t="shared" si="7"/>
        <v>2/01/2019</v>
      </c>
      <c r="E228" t="s">
        <v>55</v>
      </c>
      <c r="F228" t="s">
        <v>53</v>
      </c>
      <c r="G228" t="s">
        <v>46</v>
      </c>
      <c r="H228" s="2">
        <v>13085</v>
      </c>
      <c r="I228" s="2">
        <v>11689</v>
      </c>
      <c r="J228">
        <v>165</v>
      </c>
      <c r="K228" s="2">
        <v>3445</v>
      </c>
      <c r="L228">
        <v>512</v>
      </c>
      <c r="M228">
        <v>37</v>
      </c>
      <c r="N228">
        <v>284</v>
      </c>
      <c r="O228">
        <v>719</v>
      </c>
      <c r="P228">
        <v>151</v>
      </c>
      <c r="Q228">
        <v>169</v>
      </c>
      <c r="R228">
        <v>96</v>
      </c>
      <c r="S228" s="2">
        <v>3228</v>
      </c>
      <c r="T228">
        <v>374</v>
      </c>
      <c r="U228">
        <v>0</v>
      </c>
      <c r="V228">
        <v>0</v>
      </c>
      <c r="W228" s="1">
        <v>44160</v>
      </c>
    </row>
    <row r="229" spans="1:37" x14ac:dyDescent="0.3">
      <c r="A229">
        <v>2019</v>
      </c>
      <c r="B229">
        <v>2</v>
      </c>
      <c r="C229" t="str">
        <f t="shared" si="6"/>
        <v>2/01/2019</v>
      </c>
      <c r="D229" s="1" t="str">
        <f t="shared" si="7"/>
        <v>2/01/2019</v>
      </c>
      <c r="E229" t="s">
        <v>55</v>
      </c>
      <c r="F229" t="s">
        <v>53</v>
      </c>
      <c r="G229" t="s">
        <v>47</v>
      </c>
      <c r="H229" s="2">
        <v>19864</v>
      </c>
      <c r="I229" s="2">
        <v>18875</v>
      </c>
      <c r="J229">
        <v>260</v>
      </c>
      <c r="K229" s="2">
        <v>5711</v>
      </c>
      <c r="L229">
        <v>833</v>
      </c>
      <c r="M229">
        <v>191</v>
      </c>
      <c r="N229">
        <v>408</v>
      </c>
      <c r="O229" s="2">
        <v>1601</v>
      </c>
      <c r="P229">
        <v>386</v>
      </c>
      <c r="Q229">
        <v>335</v>
      </c>
      <c r="R229">
        <v>120</v>
      </c>
      <c r="S229" s="2">
        <v>4866</v>
      </c>
      <c r="T229">
        <v>725</v>
      </c>
      <c r="U229">
        <v>0</v>
      </c>
      <c r="V229">
        <v>0</v>
      </c>
      <c r="W229" s="1">
        <v>44160</v>
      </c>
    </row>
    <row r="230" spans="1:37" x14ac:dyDescent="0.3">
      <c r="A230">
        <v>2019</v>
      </c>
      <c r="B230">
        <v>2</v>
      </c>
      <c r="C230" t="str">
        <f t="shared" si="6"/>
        <v>2/01/2019</v>
      </c>
      <c r="D230" s="1" t="str">
        <f t="shared" si="7"/>
        <v>2/01/2019</v>
      </c>
      <c r="E230" t="s">
        <v>55</v>
      </c>
      <c r="F230" t="s">
        <v>53</v>
      </c>
      <c r="G230" t="s">
        <v>48</v>
      </c>
      <c r="H230" s="2">
        <v>23687</v>
      </c>
      <c r="I230" s="2">
        <v>22766</v>
      </c>
      <c r="J230">
        <v>357</v>
      </c>
      <c r="K230" s="2">
        <v>5511</v>
      </c>
      <c r="L230">
        <v>717</v>
      </c>
      <c r="M230">
        <v>848</v>
      </c>
      <c r="N230">
        <v>546</v>
      </c>
      <c r="O230" s="2">
        <v>1835</v>
      </c>
      <c r="P230">
        <v>485</v>
      </c>
      <c r="Q230">
        <v>496</v>
      </c>
      <c r="R230">
        <v>189</v>
      </c>
      <c r="S230" s="2">
        <v>6072</v>
      </c>
      <c r="T230" s="2">
        <v>1108</v>
      </c>
      <c r="U230">
        <v>0</v>
      </c>
      <c r="V230">
        <v>0</v>
      </c>
      <c r="W230" s="1">
        <v>44160</v>
      </c>
    </row>
    <row r="231" spans="1:37" x14ac:dyDescent="0.3">
      <c r="A231">
        <v>2019</v>
      </c>
      <c r="B231">
        <v>2</v>
      </c>
      <c r="C231" t="str">
        <f t="shared" si="6"/>
        <v>2/01/2019</v>
      </c>
      <c r="D231" s="1" t="str">
        <f t="shared" si="7"/>
        <v>2/01/2019</v>
      </c>
      <c r="E231" t="s">
        <v>55</v>
      </c>
      <c r="F231" t="s">
        <v>53</v>
      </c>
      <c r="G231" t="s">
        <v>49</v>
      </c>
      <c r="H231" s="2">
        <v>23932</v>
      </c>
      <c r="I231" s="2">
        <v>23008</v>
      </c>
      <c r="J231">
        <v>305</v>
      </c>
      <c r="K231" s="2">
        <v>3285</v>
      </c>
      <c r="L231">
        <v>445</v>
      </c>
      <c r="M231" s="2">
        <v>1443</v>
      </c>
      <c r="N231">
        <v>677</v>
      </c>
      <c r="O231" s="2">
        <v>1357</v>
      </c>
      <c r="P231">
        <v>423</v>
      </c>
      <c r="Q231">
        <v>526</v>
      </c>
      <c r="R231">
        <v>280</v>
      </c>
      <c r="S231" s="2">
        <v>7443</v>
      </c>
      <c r="T231" s="2">
        <v>1387</v>
      </c>
      <c r="U231">
        <v>0</v>
      </c>
      <c r="V231">
        <v>0</v>
      </c>
      <c r="W231" s="1">
        <v>44160</v>
      </c>
    </row>
    <row r="232" spans="1:37" x14ac:dyDescent="0.3">
      <c r="A232">
        <v>2019</v>
      </c>
      <c r="B232">
        <v>2</v>
      </c>
      <c r="C232" t="str">
        <f t="shared" si="6"/>
        <v>2/01/2019</v>
      </c>
      <c r="D232" s="1" t="str">
        <f t="shared" si="7"/>
        <v>2/01/2019</v>
      </c>
      <c r="E232" t="s">
        <v>55</v>
      </c>
      <c r="F232" t="s">
        <v>54</v>
      </c>
      <c r="G232" t="s">
        <v>39</v>
      </c>
      <c r="H232">
        <v>44</v>
      </c>
      <c r="I232">
        <v>39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S232">
        <v>0</v>
      </c>
      <c r="T232">
        <v>0</v>
      </c>
      <c r="U232">
        <v>0</v>
      </c>
      <c r="V232">
        <v>0</v>
      </c>
      <c r="W232" s="1">
        <v>44160</v>
      </c>
      <c r="AI232" t="s">
        <v>40</v>
      </c>
    </row>
    <row r="233" spans="1:37" x14ac:dyDescent="0.3">
      <c r="A233">
        <v>2019</v>
      </c>
      <c r="B233">
        <v>2</v>
      </c>
      <c r="C233" t="str">
        <f t="shared" si="6"/>
        <v>2/01/2019</v>
      </c>
      <c r="D233" s="1" t="str">
        <f t="shared" si="7"/>
        <v>2/01/2019</v>
      </c>
      <c r="E233" t="s">
        <v>55</v>
      </c>
      <c r="F233" t="s">
        <v>54</v>
      </c>
      <c r="G233" t="s">
        <v>41</v>
      </c>
      <c r="H233">
        <v>37</v>
      </c>
      <c r="J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T233">
        <v>0</v>
      </c>
      <c r="U233">
        <v>0</v>
      </c>
      <c r="V233">
        <v>0</v>
      </c>
      <c r="W233" s="1">
        <v>44160</v>
      </c>
      <c r="Z233" t="s">
        <v>40</v>
      </c>
      <c r="AB233" t="s">
        <v>40</v>
      </c>
      <c r="AJ233" t="s">
        <v>40</v>
      </c>
    </row>
    <row r="234" spans="1:37" x14ac:dyDescent="0.3">
      <c r="A234">
        <v>2019</v>
      </c>
      <c r="B234">
        <v>2</v>
      </c>
      <c r="C234" t="str">
        <f t="shared" si="6"/>
        <v>2/01/2019</v>
      </c>
      <c r="D234" s="1" t="str">
        <f t="shared" si="7"/>
        <v>2/01/2019</v>
      </c>
      <c r="E234" t="s">
        <v>55</v>
      </c>
      <c r="F234" t="s">
        <v>54</v>
      </c>
      <c r="G234" t="s">
        <v>42</v>
      </c>
      <c r="H234">
        <v>65</v>
      </c>
      <c r="I234">
        <v>21</v>
      </c>
      <c r="J234">
        <v>0</v>
      </c>
      <c r="L234">
        <v>0</v>
      </c>
      <c r="M234">
        <v>0</v>
      </c>
      <c r="O234">
        <v>0</v>
      </c>
      <c r="P234">
        <v>0</v>
      </c>
      <c r="Q234">
        <v>0</v>
      </c>
      <c r="R234">
        <v>0</v>
      </c>
      <c r="U234">
        <v>0</v>
      </c>
      <c r="V234">
        <v>0</v>
      </c>
      <c r="W234" s="1">
        <v>44160</v>
      </c>
      <c r="AB234" t="s">
        <v>40</v>
      </c>
      <c r="AE234" t="s">
        <v>40</v>
      </c>
      <c r="AJ234" t="s">
        <v>40</v>
      </c>
      <c r="AK234" t="s">
        <v>40</v>
      </c>
    </row>
    <row r="235" spans="1:37" x14ac:dyDescent="0.3">
      <c r="A235">
        <v>2019</v>
      </c>
      <c r="B235">
        <v>2</v>
      </c>
      <c r="C235" t="str">
        <f t="shared" si="6"/>
        <v>2/01/2019</v>
      </c>
      <c r="D235" s="1" t="str">
        <f t="shared" si="7"/>
        <v>2/01/2019</v>
      </c>
      <c r="E235" t="s">
        <v>55</v>
      </c>
      <c r="F235" t="s">
        <v>54</v>
      </c>
      <c r="G235" t="s">
        <v>43</v>
      </c>
      <c r="H235">
        <v>65</v>
      </c>
      <c r="I235">
        <v>37</v>
      </c>
      <c r="M235">
        <v>0</v>
      </c>
      <c r="O235">
        <v>0</v>
      </c>
      <c r="P235">
        <v>0</v>
      </c>
      <c r="Q235">
        <v>0</v>
      </c>
      <c r="R235">
        <v>0</v>
      </c>
      <c r="U235">
        <v>0</v>
      </c>
      <c r="V235">
        <v>0</v>
      </c>
      <c r="W235" s="1">
        <v>44160</v>
      </c>
      <c r="AA235" t="s">
        <v>40</v>
      </c>
      <c r="AB235" t="s">
        <v>40</v>
      </c>
      <c r="AC235" t="s">
        <v>40</v>
      </c>
      <c r="AE235" t="s">
        <v>40</v>
      </c>
      <c r="AJ235" t="s">
        <v>40</v>
      </c>
      <c r="AK235" t="s">
        <v>40</v>
      </c>
    </row>
    <row r="236" spans="1:37" x14ac:dyDescent="0.3">
      <c r="A236">
        <v>2019</v>
      </c>
      <c r="B236">
        <v>2</v>
      </c>
      <c r="C236" t="str">
        <f t="shared" si="6"/>
        <v>2/01/2019</v>
      </c>
      <c r="D236" s="1" t="str">
        <f t="shared" si="7"/>
        <v>2/01/2019</v>
      </c>
      <c r="E236" t="s">
        <v>55</v>
      </c>
      <c r="F236" t="s">
        <v>54</v>
      </c>
      <c r="G236" t="s">
        <v>44</v>
      </c>
      <c r="H236">
        <v>95</v>
      </c>
      <c r="I236">
        <v>74</v>
      </c>
      <c r="J236">
        <v>0</v>
      </c>
      <c r="K236">
        <v>11</v>
      </c>
      <c r="M236">
        <v>0</v>
      </c>
      <c r="S236">
        <v>24</v>
      </c>
      <c r="U236">
        <v>0</v>
      </c>
      <c r="V236">
        <v>0</v>
      </c>
      <c r="W236" s="1">
        <v>44160</v>
      </c>
      <c r="AC236" t="s">
        <v>40</v>
      </c>
      <c r="AE236" t="s">
        <v>40</v>
      </c>
      <c r="AF236" t="s">
        <v>40</v>
      </c>
      <c r="AG236" t="s">
        <v>40</v>
      </c>
      <c r="AH236" t="s">
        <v>40</v>
      </c>
      <c r="AI236" t="s">
        <v>40</v>
      </c>
      <c r="AK236" t="s">
        <v>40</v>
      </c>
    </row>
    <row r="237" spans="1:37" x14ac:dyDescent="0.3">
      <c r="A237">
        <v>2019</v>
      </c>
      <c r="B237">
        <v>2</v>
      </c>
      <c r="C237" t="str">
        <f t="shared" si="6"/>
        <v>2/01/2019</v>
      </c>
      <c r="D237" s="1" t="str">
        <f t="shared" si="7"/>
        <v>2/01/2019</v>
      </c>
      <c r="E237" t="s">
        <v>55</v>
      </c>
      <c r="F237" t="s">
        <v>54</v>
      </c>
      <c r="G237" t="s">
        <v>45</v>
      </c>
      <c r="H237">
        <v>10</v>
      </c>
      <c r="J237">
        <v>0</v>
      </c>
      <c r="L237">
        <v>0</v>
      </c>
      <c r="M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 s="1">
        <v>44160</v>
      </c>
      <c r="Z237" t="s">
        <v>40</v>
      </c>
      <c r="AB237" t="s">
        <v>40</v>
      </c>
      <c r="AE237" t="s">
        <v>40</v>
      </c>
    </row>
    <row r="238" spans="1:37" x14ac:dyDescent="0.3">
      <c r="A238">
        <v>2019</v>
      </c>
      <c r="B238">
        <v>2</v>
      </c>
      <c r="C238" t="str">
        <f t="shared" si="6"/>
        <v>2/01/2019</v>
      </c>
      <c r="D238" s="1" t="str">
        <f t="shared" si="7"/>
        <v>2/01/2019</v>
      </c>
      <c r="E238" t="s">
        <v>55</v>
      </c>
      <c r="F238" t="s">
        <v>54</v>
      </c>
      <c r="G238" t="s">
        <v>46</v>
      </c>
      <c r="H238">
        <v>232</v>
      </c>
      <c r="I238">
        <v>191</v>
      </c>
      <c r="K238">
        <v>49</v>
      </c>
      <c r="L238">
        <v>10</v>
      </c>
      <c r="M238">
        <v>0</v>
      </c>
      <c r="O238">
        <v>10</v>
      </c>
      <c r="S238">
        <v>70</v>
      </c>
      <c r="U238">
        <v>0</v>
      </c>
      <c r="V238">
        <v>0</v>
      </c>
      <c r="W238" s="1">
        <v>44160</v>
      </c>
      <c r="AA238" t="s">
        <v>40</v>
      </c>
      <c r="AE238" t="s">
        <v>40</v>
      </c>
      <c r="AG238" t="s">
        <v>40</v>
      </c>
      <c r="AH238" t="s">
        <v>40</v>
      </c>
      <c r="AI238" t="s">
        <v>40</v>
      </c>
      <c r="AK238" t="s">
        <v>40</v>
      </c>
    </row>
    <row r="239" spans="1:37" x14ac:dyDescent="0.3">
      <c r="A239">
        <v>2019</v>
      </c>
      <c r="B239">
        <v>2</v>
      </c>
      <c r="C239" t="str">
        <f t="shared" si="6"/>
        <v>2/01/2019</v>
      </c>
      <c r="D239" s="1" t="str">
        <f t="shared" si="7"/>
        <v>2/01/2019</v>
      </c>
      <c r="E239" t="s">
        <v>55</v>
      </c>
      <c r="F239" t="s">
        <v>54</v>
      </c>
      <c r="G239" t="s">
        <v>47</v>
      </c>
      <c r="H239">
        <v>287</v>
      </c>
      <c r="I239">
        <v>268</v>
      </c>
      <c r="K239">
        <v>69</v>
      </c>
      <c r="L239">
        <v>18</v>
      </c>
      <c r="O239">
        <v>14</v>
      </c>
      <c r="R239">
        <v>0</v>
      </c>
      <c r="S239">
        <v>99</v>
      </c>
      <c r="T239">
        <v>13</v>
      </c>
      <c r="U239">
        <v>0</v>
      </c>
      <c r="V239">
        <v>0</v>
      </c>
      <c r="W239" s="1">
        <v>44160</v>
      </c>
      <c r="AA239" t="s">
        <v>40</v>
      </c>
      <c r="AD239" t="s">
        <v>40</v>
      </c>
      <c r="AE239" t="s">
        <v>40</v>
      </c>
      <c r="AG239" t="s">
        <v>40</v>
      </c>
      <c r="AH239" t="s">
        <v>40</v>
      </c>
    </row>
    <row r="240" spans="1:37" x14ac:dyDescent="0.3">
      <c r="A240">
        <v>2019</v>
      </c>
      <c r="B240">
        <v>2</v>
      </c>
      <c r="C240" t="str">
        <f t="shared" si="6"/>
        <v>2/01/2019</v>
      </c>
      <c r="D240" s="1" t="str">
        <f t="shared" si="7"/>
        <v>2/01/2019</v>
      </c>
      <c r="E240" t="s">
        <v>55</v>
      </c>
      <c r="F240" t="s">
        <v>54</v>
      </c>
      <c r="G240" t="s">
        <v>48</v>
      </c>
      <c r="H240">
        <v>182</v>
      </c>
      <c r="I240">
        <v>173</v>
      </c>
      <c r="K240">
        <v>45</v>
      </c>
      <c r="O240">
        <v>14</v>
      </c>
      <c r="S240">
        <v>47</v>
      </c>
      <c r="U240">
        <v>0</v>
      </c>
      <c r="V240">
        <v>0</v>
      </c>
      <c r="W240" s="1">
        <v>44160</v>
      </c>
      <c r="AA240" t="s">
        <v>40</v>
      </c>
      <c r="AC240" t="s">
        <v>40</v>
      </c>
      <c r="AD240" t="s">
        <v>40</v>
      </c>
      <c r="AE240" t="s">
        <v>40</v>
      </c>
      <c r="AG240" t="s">
        <v>40</v>
      </c>
      <c r="AH240" t="s">
        <v>40</v>
      </c>
      <c r="AI240" t="s">
        <v>40</v>
      </c>
      <c r="AK240" t="s">
        <v>40</v>
      </c>
    </row>
    <row r="241" spans="1:37" x14ac:dyDescent="0.3">
      <c r="A241">
        <v>2019</v>
      </c>
      <c r="B241">
        <v>2</v>
      </c>
      <c r="C241" t="str">
        <f t="shared" si="6"/>
        <v>2/01/2019</v>
      </c>
      <c r="D241" s="1" t="str">
        <f t="shared" si="7"/>
        <v>2/01/2019</v>
      </c>
      <c r="E241" t="s">
        <v>55</v>
      </c>
      <c r="F241" t="s">
        <v>54</v>
      </c>
      <c r="G241" t="s">
        <v>49</v>
      </c>
      <c r="H241">
        <v>106</v>
      </c>
      <c r="I241">
        <v>102</v>
      </c>
      <c r="K241">
        <v>15</v>
      </c>
      <c r="R241">
        <v>0</v>
      </c>
      <c r="S241">
        <v>31</v>
      </c>
      <c r="U241">
        <v>0</v>
      </c>
      <c r="V241">
        <v>0</v>
      </c>
      <c r="W241" s="1">
        <v>44160</v>
      </c>
      <c r="AA241" t="s">
        <v>40</v>
      </c>
      <c r="AC241" t="s">
        <v>40</v>
      </c>
      <c r="AD241" t="s">
        <v>40</v>
      </c>
      <c r="AE241" t="s">
        <v>40</v>
      </c>
      <c r="AF241" t="s">
        <v>40</v>
      </c>
      <c r="AG241" t="s">
        <v>40</v>
      </c>
      <c r="AH241" t="s">
        <v>40</v>
      </c>
      <c r="AK241" t="s">
        <v>40</v>
      </c>
    </row>
    <row r="242" spans="1:37" x14ac:dyDescent="0.3">
      <c r="A242">
        <v>2019</v>
      </c>
      <c r="B242">
        <v>3</v>
      </c>
      <c r="C242" t="str">
        <f t="shared" si="6"/>
        <v>3/01/2019</v>
      </c>
      <c r="D242" s="1" t="str">
        <f t="shared" si="7"/>
        <v>3/01/2019</v>
      </c>
      <c r="E242" t="s">
        <v>37</v>
      </c>
      <c r="F242" t="s">
        <v>38</v>
      </c>
      <c r="G242" t="s">
        <v>39</v>
      </c>
      <c r="H242">
        <v>206</v>
      </c>
      <c r="I242">
        <v>194</v>
      </c>
      <c r="J242">
        <v>0</v>
      </c>
      <c r="L242">
        <v>0</v>
      </c>
      <c r="M242">
        <v>0</v>
      </c>
      <c r="O242">
        <v>0</v>
      </c>
      <c r="R242">
        <v>17</v>
      </c>
      <c r="T242">
        <v>0</v>
      </c>
      <c r="U242">
        <v>0</v>
      </c>
      <c r="V242">
        <v>0</v>
      </c>
      <c r="W242" s="1">
        <v>44160</v>
      </c>
      <c r="AB242" t="s">
        <v>40</v>
      </c>
      <c r="AE242" t="s">
        <v>40</v>
      </c>
      <c r="AG242" t="s">
        <v>40</v>
      </c>
      <c r="AH242" t="s">
        <v>40</v>
      </c>
      <c r="AJ242" t="s">
        <v>40</v>
      </c>
    </row>
    <row r="243" spans="1:37" x14ac:dyDescent="0.3">
      <c r="A243">
        <v>2019</v>
      </c>
      <c r="B243">
        <v>3</v>
      </c>
      <c r="C243" t="str">
        <f t="shared" si="6"/>
        <v>3/01/2019</v>
      </c>
      <c r="D243" s="1" t="str">
        <f t="shared" si="7"/>
        <v>3/01/2019</v>
      </c>
      <c r="E243" t="s">
        <v>37</v>
      </c>
      <c r="F243" t="s">
        <v>38</v>
      </c>
      <c r="G243" t="s">
        <v>41</v>
      </c>
      <c r="H243">
        <v>109</v>
      </c>
      <c r="I243">
        <v>43</v>
      </c>
      <c r="J243">
        <v>0</v>
      </c>
      <c r="K243">
        <v>19</v>
      </c>
      <c r="L243">
        <v>0</v>
      </c>
      <c r="M243">
        <v>0</v>
      </c>
      <c r="O243">
        <v>0</v>
      </c>
      <c r="Q243">
        <v>0</v>
      </c>
      <c r="U243">
        <v>0</v>
      </c>
      <c r="V243">
        <v>0</v>
      </c>
      <c r="W243" s="1">
        <v>44160</v>
      </c>
      <c r="AE243" t="s">
        <v>40</v>
      </c>
      <c r="AG243" t="s">
        <v>40</v>
      </c>
      <c r="AI243" t="s">
        <v>40</v>
      </c>
      <c r="AJ243" t="s">
        <v>40</v>
      </c>
      <c r="AK243" t="s">
        <v>40</v>
      </c>
    </row>
    <row r="244" spans="1:37" x14ac:dyDescent="0.3">
      <c r="A244">
        <v>2019</v>
      </c>
      <c r="B244">
        <v>3</v>
      </c>
      <c r="C244" t="str">
        <f t="shared" si="6"/>
        <v>3/01/2019</v>
      </c>
      <c r="D244" s="1" t="str">
        <f t="shared" si="7"/>
        <v>3/01/2019</v>
      </c>
      <c r="E244" t="s">
        <v>37</v>
      </c>
      <c r="F244" t="s">
        <v>38</v>
      </c>
      <c r="G244" t="s">
        <v>42</v>
      </c>
      <c r="H244">
        <v>184</v>
      </c>
      <c r="I244">
        <v>95</v>
      </c>
      <c r="J244">
        <v>0</v>
      </c>
      <c r="K244">
        <v>29</v>
      </c>
      <c r="M244">
        <v>0</v>
      </c>
      <c r="O244">
        <v>0</v>
      </c>
      <c r="P244">
        <v>0</v>
      </c>
      <c r="R244">
        <v>0</v>
      </c>
      <c r="U244">
        <v>0</v>
      </c>
      <c r="V244">
        <v>0</v>
      </c>
      <c r="W244" s="1">
        <v>44160</v>
      </c>
      <c r="AC244" t="s">
        <v>40</v>
      </c>
      <c r="AE244" t="s">
        <v>40</v>
      </c>
      <c r="AH244" t="s">
        <v>40</v>
      </c>
      <c r="AJ244" t="s">
        <v>40</v>
      </c>
      <c r="AK244" t="s">
        <v>40</v>
      </c>
    </row>
    <row r="245" spans="1:37" x14ac:dyDescent="0.3">
      <c r="A245">
        <v>2019</v>
      </c>
      <c r="B245">
        <v>3</v>
      </c>
      <c r="C245" t="str">
        <f t="shared" si="6"/>
        <v>3/01/2019</v>
      </c>
      <c r="D245" s="1" t="str">
        <f t="shared" si="7"/>
        <v>3/01/2019</v>
      </c>
      <c r="E245" t="s">
        <v>37</v>
      </c>
      <c r="F245" t="s">
        <v>38</v>
      </c>
      <c r="G245" t="s">
        <v>43</v>
      </c>
      <c r="H245">
        <v>278</v>
      </c>
      <c r="I245">
        <v>219</v>
      </c>
      <c r="J245">
        <v>0</v>
      </c>
      <c r="K245">
        <v>73</v>
      </c>
      <c r="M245">
        <v>0</v>
      </c>
      <c r="S245">
        <v>34</v>
      </c>
      <c r="T245">
        <v>14</v>
      </c>
      <c r="U245">
        <v>0</v>
      </c>
      <c r="V245">
        <v>0</v>
      </c>
      <c r="W245" s="1">
        <v>44160</v>
      </c>
      <c r="AC245" t="s">
        <v>40</v>
      </c>
      <c r="AE245" t="s">
        <v>40</v>
      </c>
      <c r="AF245" t="s">
        <v>40</v>
      </c>
      <c r="AG245" t="s">
        <v>40</v>
      </c>
      <c r="AH245" t="s">
        <v>40</v>
      </c>
      <c r="AI245" t="s">
        <v>40</v>
      </c>
    </row>
    <row r="246" spans="1:37" x14ac:dyDescent="0.3">
      <c r="A246">
        <v>2019</v>
      </c>
      <c r="B246">
        <v>3</v>
      </c>
      <c r="C246" t="str">
        <f t="shared" si="6"/>
        <v>3/01/2019</v>
      </c>
      <c r="D246" s="1" t="str">
        <f t="shared" si="7"/>
        <v>3/01/2019</v>
      </c>
      <c r="E246" t="s">
        <v>37</v>
      </c>
      <c r="F246" t="s">
        <v>38</v>
      </c>
      <c r="G246" t="s">
        <v>44</v>
      </c>
      <c r="H246">
        <v>569</v>
      </c>
      <c r="I246">
        <v>497</v>
      </c>
      <c r="J246">
        <v>14</v>
      </c>
      <c r="K246">
        <v>208</v>
      </c>
      <c r="L246">
        <v>26</v>
      </c>
      <c r="M246">
        <v>0</v>
      </c>
      <c r="N246">
        <v>12</v>
      </c>
      <c r="S246">
        <v>69</v>
      </c>
      <c r="T246">
        <v>18</v>
      </c>
      <c r="U246">
        <v>0</v>
      </c>
      <c r="V246">
        <v>0</v>
      </c>
      <c r="W246" s="1">
        <v>44160</v>
      </c>
      <c r="AF246" t="s">
        <v>40</v>
      </c>
      <c r="AG246" t="s">
        <v>40</v>
      </c>
      <c r="AH246" t="s">
        <v>40</v>
      </c>
      <c r="AI246" t="s">
        <v>40</v>
      </c>
    </row>
    <row r="247" spans="1:37" x14ac:dyDescent="0.3">
      <c r="A247">
        <v>2019</v>
      </c>
      <c r="B247">
        <v>3</v>
      </c>
      <c r="C247" t="str">
        <f t="shared" si="6"/>
        <v>3/01/2019</v>
      </c>
      <c r="D247" s="1" t="str">
        <f t="shared" si="7"/>
        <v>3/01/2019</v>
      </c>
      <c r="E247" t="s">
        <v>37</v>
      </c>
      <c r="F247" t="s">
        <v>38</v>
      </c>
      <c r="G247" t="s">
        <v>45</v>
      </c>
      <c r="H247">
        <v>44</v>
      </c>
      <c r="I247">
        <v>28</v>
      </c>
      <c r="J247">
        <v>0</v>
      </c>
      <c r="L247">
        <v>0</v>
      </c>
      <c r="M247">
        <v>0</v>
      </c>
      <c r="O247">
        <v>0</v>
      </c>
      <c r="Q247">
        <v>0</v>
      </c>
      <c r="R247">
        <v>0</v>
      </c>
      <c r="U247">
        <v>0</v>
      </c>
      <c r="V247">
        <v>0</v>
      </c>
      <c r="W247" s="1">
        <v>44160</v>
      </c>
      <c r="AB247" t="s">
        <v>40</v>
      </c>
      <c r="AE247" t="s">
        <v>40</v>
      </c>
      <c r="AG247" t="s">
        <v>40</v>
      </c>
      <c r="AJ247" t="s">
        <v>40</v>
      </c>
      <c r="AK247" t="s">
        <v>40</v>
      </c>
    </row>
    <row r="248" spans="1:37" x14ac:dyDescent="0.3">
      <c r="A248">
        <v>2019</v>
      </c>
      <c r="B248">
        <v>3</v>
      </c>
      <c r="C248" t="str">
        <f t="shared" si="6"/>
        <v>3/01/2019</v>
      </c>
      <c r="D248" s="1" t="str">
        <f t="shared" si="7"/>
        <v>3/01/2019</v>
      </c>
      <c r="E248" t="s">
        <v>37</v>
      </c>
      <c r="F248" t="s">
        <v>38</v>
      </c>
      <c r="G248" t="s">
        <v>46</v>
      </c>
      <c r="H248" s="2">
        <v>1025</v>
      </c>
      <c r="I248">
        <v>970</v>
      </c>
      <c r="J248">
        <v>17</v>
      </c>
      <c r="K248">
        <v>401</v>
      </c>
      <c r="L248">
        <v>68</v>
      </c>
      <c r="N248">
        <v>20</v>
      </c>
      <c r="O248">
        <v>20</v>
      </c>
      <c r="P248">
        <v>10</v>
      </c>
      <c r="Q248">
        <v>24</v>
      </c>
      <c r="S248">
        <v>141</v>
      </c>
      <c r="T248">
        <v>40</v>
      </c>
      <c r="U248">
        <v>0</v>
      </c>
      <c r="V248">
        <v>0</v>
      </c>
      <c r="W248" s="1">
        <v>44160</v>
      </c>
      <c r="AD248" t="s">
        <v>40</v>
      </c>
      <c r="AI248" t="s">
        <v>40</v>
      </c>
    </row>
    <row r="249" spans="1:37" x14ac:dyDescent="0.3">
      <c r="A249">
        <v>2019</v>
      </c>
      <c r="B249">
        <v>3</v>
      </c>
      <c r="C249" t="str">
        <f t="shared" si="6"/>
        <v>3/01/2019</v>
      </c>
      <c r="D249" s="1" t="str">
        <f t="shared" si="7"/>
        <v>3/01/2019</v>
      </c>
      <c r="E249" t="s">
        <v>37</v>
      </c>
      <c r="F249" t="s">
        <v>38</v>
      </c>
      <c r="G249" t="s">
        <v>47</v>
      </c>
      <c r="H249" s="2">
        <v>1391</v>
      </c>
      <c r="I249" s="2">
        <v>1354</v>
      </c>
      <c r="J249">
        <v>26</v>
      </c>
      <c r="K249">
        <v>411</v>
      </c>
      <c r="L249">
        <v>107</v>
      </c>
      <c r="M249">
        <v>25</v>
      </c>
      <c r="N249">
        <v>33</v>
      </c>
      <c r="O249">
        <v>40</v>
      </c>
      <c r="P249">
        <v>49</v>
      </c>
      <c r="Q249">
        <v>49</v>
      </c>
      <c r="S249">
        <v>267</v>
      </c>
      <c r="T249">
        <v>66</v>
      </c>
      <c r="U249">
        <v>0</v>
      </c>
      <c r="V249">
        <v>0</v>
      </c>
      <c r="W249" s="1">
        <v>44160</v>
      </c>
      <c r="AI249" t="s">
        <v>40</v>
      </c>
    </row>
    <row r="250" spans="1:37" x14ac:dyDescent="0.3">
      <c r="A250">
        <v>2019</v>
      </c>
      <c r="B250">
        <v>3</v>
      </c>
      <c r="C250" t="str">
        <f t="shared" si="6"/>
        <v>3/01/2019</v>
      </c>
      <c r="D250" s="1" t="str">
        <f t="shared" si="7"/>
        <v>3/01/2019</v>
      </c>
      <c r="E250" t="s">
        <v>37</v>
      </c>
      <c r="F250" t="s">
        <v>38</v>
      </c>
      <c r="G250" t="s">
        <v>48</v>
      </c>
      <c r="H250" s="2">
        <v>1925</v>
      </c>
      <c r="I250" s="2">
        <v>1877</v>
      </c>
      <c r="J250">
        <v>30</v>
      </c>
      <c r="K250">
        <v>384</v>
      </c>
      <c r="L250">
        <v>126</v>
      </c>
      <c r="M250">
        <v>122</v>
      </c>
      <c r="N250">
        <v>52</v>
      </c>
      <c r="O250">
        <v>68</v>
      </c>
      <c r="P250">
        <v>44</v>
      </c>
      <c r="Q250">
        <v>48</v>
      </c>
      <c r="S250">
        <v>441</v>
      </c>
      <c r="T250">
        <v>142</v>
      </c>
      <c r="U250">
        <v>0</v>
      </c>
      <c r="V250">
        <v>0</v>
      </c>
      <c r="W250" s="1">
        <v>44160</v>
      </c>
      <c r="AI250" t="s">
        <v>40</v>
      </c>
    </row>
    <row r="251" spans="1:37" x14ac:dyDescent="0.3">
      <c r="A251">
        <v>2019</v>
      </c>
      <c r="B251">
        <v>3</v>
      </c>
      <c r="C251" t="str">
        <f t="shared" si="6"/>
        <v>3/01/2019</v>
      </c>
      <c r="D251" s="1" t="str">
        <f t="shared" si="7"/>
        <v>3/01/2019</v>
      </c>
      <c r="E251" t="s">
        <v>37</v>
      </c>
      <c r="F251" t="s">
        <v>38</v>
      </c>
      <c r="G251" t="s">
        <v>49</v>
      </c>
      <c r="H251" s="2">
        <v>2737</v>
      </c>
      <c r="I251" s="2">
        <v>2688</v>
      </c>
      <c r="J251">
        <v>28</v>
      </c>
      <c r="K251">
        <v>272</v>
      </c>
      <c r="L251">
        <v>99</v>
      </c>
      <c r="M251">
        <v>310</v>
      </c>
      <c r="N251">
        <v>82</v>
      </c>
      <c r="O251">
        <v>103</v>
      </c>
      <c r="P251">
        <v>61</v>
      </c>
      <c r="Q251">
        <v>58</v>
      </c>
      <c r="R251">
        <v>26</v>
      </c>
      <c r="S251">
        <v>749</v>
      </c>
      <c r="T251">
        <v>232</v>
      </c>
      <c r="U251">
        <v>0</v>
      </c>
      <c r="V251">
        <v>0</v>
      </c>
      <c r="W251" s="1">
        <v>44160</v>
      </c>
    </row>
    <row r="252" spans="1:37" x14ac:dyDescent="0.3">
      <c r="A252">
        <v>2019</v>
      </c>
      <c r="B252">
        <v>3</v>
      </c>
      <c r="C252" t="str">
        <f t="shared" si="6"/>
        <v>3/01/2019</v>
      </c>
      <c r="D252" s="1" t="str">
        <f t="shared" si="7"/>
        <v>3/01/2019</v>
      </c>
      <c r="E252" t="s">
        <v>37</v>
      </c>
      <c r="F252" t="s">
        <v>50</v>
      </c>
      <c r="G252" t="s">
        <v>39</v>
      </c>
      <c r="J252">
        <v>0</v>
      </c>
      <c r="L252">
        <v>0</v>
      </c>
      <c r="M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 s="1">
        <v>44160</v>
      </c>
      <c r="Y252" t="s">
        <v>40</v>
      </c>
      <c r="Z252" t="s">
        <v>40</v>
      </c>
      <c r="AB252" t="s">
        <v>40</v>
      </c>
      <c r="AE252" t="s">
        <v>40</v>
      </c>
    </row>
    <row r="253" spans="1:37" x14ac:dyDescent="0.3">
      <c r="A253">
        <v>2019</v>
      </c>
      <c r="B253">
        <v>3</v>
      </c>
      <c r="C253" t="str">
        <f t="shared" si="6"/>
        <v>3/01/2019</v>
      </c>
      <c r="D253" s="1" t="str">
        <f t="shared" si="7"/>
        <v>3/01/2019</v>
      </c>
      <c r="E253" t="s">
        <v>37</v>
      </c>
      <c r="F253" t="s">
        <v>50</v>
      </c>
      <c r="G253" t="s">
        <v>41</v>
      </c>
      <c r="J253">
        <v>0</v>
      </c>
      <c r="K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 s="1">
        <v>44160</v>
      </c>
      <c r="Y253" t="s">
        <v>40</v>
      </c>
      <c r="Z253" t="s">
        <v>40</v>
      </c>
      <c r="AC253" t="s">
        <v>40</v>
      </c>
    </row>
    <row r="254" spans="1:37" x14ac:dyDescent="0.3">
      <c r="A254">
        <v>2019</v>
      </c>
      <c r="B254">
        <v>3</v>
      </c>
      <c r="C254" t="str">
        <f t="shared" si="6"/>
        <v>3/01/2019</v>
      </c>
      <c r="D254" s="1" t="str">
        <f t="shared" si="7"/>
        <v>3/01/2019</v>
      </c>
      <c r="E254" t="s">
        <v>37</v>
      </c>
      <c r="F254" t="s">
        <v>50</v>
      </c>
      <c r="G254" t="s">
        <v>42</v>
      </c>
      <c r="H254">
        <v>32</v>
      </c>
      <c r="I254">
        <v>12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U254">
        <v>0</v>
      </c>
      <c r="V254">
        <v>0</v>
      </c>
      <c r="W254" s="1">
        <v>44160</v>
      </c>
      <c r="AJ254" t="s">
        <v>40</v>
      </c>
      <c r="AK254" t="s">
        <v>40</v>
      </c>
    </row>
    <row r="255" spans="1:37" x14ac:dyDescent="0.3">
      <c r="A255">
        <v>2019</v>
      </c>
      <c r="B255">
        <v>3</v>
      </c>
      <c r="C255" t="str">
        <f t="shared" si="6"/>
        <v>3/01/2019</v>
      </c>
      <c r="D255" s="1" t="str">
        <f t="shared" si="7"/>
        <v>3/01/2019</v>
      </c>
      <c r="E255" t="s">
        <v>37</v>
      </c>
      <c r="F255" t="s">
        <v>50</v>
      </c>
      <c r="G255" t="s">
        <v>43</v>
      </c>
      <c r="H255">
        <v>49</v>
      </c>
      <c r="I255">
        <v>32</v>
      </c>
      <c r="L255">
        <v>0</v>
      </c>
      <c r="M255">
        <v>0</v>
      </c>
      <c r="N255">
        <v>0</v>
      </c>
      <c r="P255">
        <v>0</v>
      </c>
      <c r="U255">
        <v>0</v>
      </c>
      <c r="V255">
        <v>0</v>
      </c>
      <c r="W255" s="1">
        <v>44160</v>
      </c>
      <c r="AA255" t="s">
        <v>40</v>
      </c>
      <c r="AB255" t="s">
        <v>40</v>
      </c>
      <c r="AF255" t="s">
        <v>40</v>
      </c>
      <c r="AH255" t="s">
        <v>40</v>
      </c>
      <c r="AI255" t="s">
        <v>40</v>
      </c>
      <c r="AJ255" t="s">
        <v>40</v>
      </c>
      <c r="AK255" t="s">
        <v>40</v>
      </c>
    </row>
    <row r="256" spans="1:37" x14ac:dyDescent="0.3">
      <c r="A256">
        <v>2019</v>
      </c>
      <c r="B256">
        <v>3</v>
      </c>
      <c r="C256" t="str">
        <f t="shared" si="6"/>
        <v>3/01/2019</v>
      </c>
      <c r="D256" s="1" t="str">
        <f t="shared" si="7"/>
        <v>3/01/2019</v>
      </c>
      <c r="E256" t="s">
        <v>37</v>
      </c>
      <c r="F256" t="s">
        <v>50</v>
      </c>
      <c r="G256" t="s">
        <v>44</v>
      </c>
      <c r="H256">
        <v>75</v>
      </c>
      <c r="I256">
        <v>62</v>
      </c>
      <c r="K256">
        <v>10</v>
      </c>
      <c r="M256">
        <v>0</v>
      </c>
      <c r="P256">
        <v>0</v>
      </c>
      <c r="S256">
        <v>14</v>
      </c>
      <c r="U256">
        <v>0</v>
      </c>
      <c r="V256">
        <v>0</v>
      </c>
      <c r="W256" s="1">
        <v>44160</v>
      </c>
      <c r="AA256" t="s">
        <v>40</v>
      </c>
      <c r="AC256" t="s">
        <v>40</v>
      </c>
      <c r="AE256" t="s">
        <v>40</v>
      </c>
      <c r="AF256" t="s">
        <v>40</v>
      </c>
      <c r="AH256" t="s">
        <v>40</v>
      </c>
      <c r="AI256" t="s">
        <v>40</v>
      </c>
      <c r="AK256" t="s">
        <v>40</v>
      </c>
    </row>
    <row r="257" spans="1:37" x14ac:dyDescent="0.3">
      <c r="A257">
        <v>2019</v>
      </c>
      <c r="B257">
        <v>3</v>
      </c>
      <c r="C257" t="str">
        <f t="shared" si="6"/>
        <v>3/01/2019</v>
      </c>
      <c r="D257" s="1" t="str">
        <f t="shared" si="7"/>
        <v>3/01/2019</v>
      </c>
      <c r="E257" t="s">
        <v>37</v>
      </c>
      <c r="F257" t="s">
        <v>50</v>
      </c>
      <c r="G257" t="s">
        <v>45</v>
      </c>
      <c r="J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 s="1">
        <v>44160</v>
      </c>
      <c r="Y257" t="s">
        <v>40</v>
      </c>
      <c r="Z257" t="s">
        <v>40</v>
      </c>
      <c r="AB257" t="s">
        <v>40</v>
      </c>
    </row>
    <row r="258" spans="1:37" x14ac:dyDescent="0.3">
      <c r="A258">
        <v>2019</v>
      </c>
      <c r="B258">
        <v>3</v>
      </c>
      <c r="C258" t="str">
        <f t="shared" si="6"/>
        <v>3/01/2019</v>
      </c>
      <c r="D258" s="1" t="str">
        <f t="shared" si="7"/>
        <v>3/01/2019</v>
      </c>
      <c r="E258" t="s">
        <v>37</v>
      </c>
      <c r="F258" t="s">
        <v>50</v>
      </c>
      <c r="G258" t="s">
        <v>46</v>
      </c>
      <c r="H258">
        <v>145</v>
      </c>
      <c r="I258">
        <v>134</v>
      </c>
      <c r="K258">
        <v>29</v>
      </c>
      <c r="L258">
        <v>10</v>
      </c>
      <c r="M258">
        <v>0</v>
      </c>
      <c r="N258">
        <v>10</v>
      </c>
      <c r="S258">
        <v>17</v>
      </c>
      <c r="U258">
        <v>0</v>
      </c>
      <c r="V258">
        <v>0</v>
      </c>
      <c r="W258" s="1">
        <v>44160</v>
      </c>
      <c r="AA258" t="s">
        <v>40</v>
      </c>
      <c r="AF258" t="s">
        <v>40</v>
      </c>
      <c r="AG258" t="s">
        <v>40</v>
      </c>
      <c r="AH258" t="s">
        <v>40</v>
      </c>
      <c r="AI258" t="s">
        <v>40</v>
      </c>
      <c r="AK258" t="s">
        <v>40</v>
      </c>
    </row>
    <row r="259" spans="1:37" x14ac:dyDescent="0.3">
      <c r="A259">
        <v>2019</v>
      </c>
      <c r="B259">
        <v>3</v>
      </c>
      <c r="C259" t="str">
        <f t="shared" ref="C259:C322" si="8">CONCATENATE(B259,"/01/",A259)</f>
        <v>3/01/2019</v>
      </c>
      <c r="D259" s="1" t="str">
        <f t="shared" ref="D259:D322" si="9">C259</f>
        <v>3/01/2019</v>
      </c>
      <c r="E259" t="s">
        <v>37</v>
      </c>
      <c r="F259" t="s">
        <v>50</v>
      </c>
      <c r="G259" t="s">
        <v>47</v>
      </c>
      <c r="H259">
        <v>139</v>
      </c>
      <c r="I259">
        <v>132</v>
      </c>
      <c r="J259">
        <v>0</v>
      </c>
      <c r="K259">
        <v>36</v>
      </c>
      <c r="L259">
        <v>10</v>
      </c>
      <c r="O259">
        <v>12</v>
      </c>
      <c r="S259">
        <v>23</v>
      </c>
      <c r="U259">
        <v>0</v>
      </c>
      <c r="V259">
        <v>0</v>
      </c>
      <c r="W259" s="1">
        <v>44160</v>
      </c>
      <c r="AD259" t="s">
        <v>40</v>
      </c>
      <c r="AE259" t="s">
        <v>40</v>
      </c>
      <c r="AG259" t="s">
        <v>40</v>
      </c>
      <c r="AH259" t="s">
        <v>40</v>
      </c>
      <c r="AI259" t="s">
        <v>40</v>
      </c>
      <c r="AK259" t="s">
        <v>40</v>
      </c>
    </row>
    <row r="260" spans="1:37" x14ac:dyDescent="0.3">
      <c r="A260">
        <v>2019</v>
      </c>
      <c r="B260">
        <v>3</v>
      </c>
      <c r="C260" t="str">
        <f t="shared" si="8"/>
        <v>3/01/2019</v>
      </c>
      <c r="D260" s="1" t="str">
        <f t="shared" si="9"/>
        <v>3/01/2019</v>
      </c>
      <c r="E260" t="s">
        <v>37</v>
      </c>
      <c r="F260" t="s">
        <v>50</v>
      </c>
      <c r="G260" t="s">
        <v>48</v>
      </c>
      <c r="H260">
        <v>136</v>
      </c>
      <c r="I260">
        <v>132</v>
      </c>
      <c r="J260">
        <v>0</v>
      </c>
      <c r="K260">
        <v>24</v>
      </c>
      <c r="L260">
        <v>15</v>
      </c>
      <c r="S260">
        <v>28</v>
      </c>
      <c r="T260">
        <v>10</v>
      </c>
      <c r="U260">
        <v>0</v>
      </c>
      <c r="V260">
        <v>0</v>
      </c>
      <c r="W260" s="1">
        <v>44160</v>
      </c>
      <c r="AD260" t="s">
        <v>40</v>
      </c>
      <c r="AE260" t="s">
        <v>40</v>
      </c>
      <c r="AF260" t="s">
        <v>40</v>
      </c>
      <c r="AG260" t="s">
        <v>40</v>
      </c>
      <c r="AH260" t="s">
        <v>40</v>
      </c>
      <c r="AI260" t="s">
        <v>40</v>
      </c>
    </row>
    <row r="261" spans="1:37" x14ac:dyDescent="0.3">
      <c r="A261">
        <v>2019</v>
      </c>
      <c r="B261">
        <v>3</v>
      </c>
      <c r="C261" t="str">
        <f t="shared" si="8"/>
        <v>3/01/2019</v>
      </c>
      <c r="D261" s="1" t="str">
        <f t="shared" si="9"/>
        <v>3/01/2019</v>
      </c>
      <c r="E261" t="s">
        <v>37</v>
      </c>
      <c r="F261" t="s">
        <v>50</v>
      </c>
      <c r="G261" t="s">
        <v>49</v>
      </c>
      <c r="H261">
        <v>131</v>
      </c>
      <c r="I261">
        <v>128</v>
      </c>
      <c r="J261">
        <v>0</v>
      </c>
      <c r="K261">
        <v>19</v>
      </c>
      <c r="R261">
        <v>0</v>
      </c>
      <c r="S261">
        <v>37</v>
      </c>
      <c r="T261">
        <v>11</v>
      </c>
      <c r="U261">
        <v>0</v>
      </c>
      <c r="V261">
        <v>0</v>
      </c>
      <c r="W261" s="1">
        <v>44160</v>
      </c>
      <c r="AC261" t="s">
        <v>40</v>
      </c>
      <c r="AD261" t="s">
        <v>40</v>
      </c>
      <c r="AE261" t="s">
        <v>40</v>
      </c>
      <c r="AF261" t="s">
        <v>40</v>
      </c>
      <c r="AG261" t="s">
        <v>40</v>
      </c>
      <c r="AH261" t="s">
        <v>40</v>
      </c>
    </row>
    <row r="262" spans="1:37" x14ac:dyDescent="0.3">
      <c r="A262">
        <v>2019</v>
      </c>
      <c r="B262">
        <v>3</v>
      </c>
      <c r="C262" t="str">
        <f t="shared" si="8"/>
        <v>3/01/2019</v>
      </c>
      <c r="D262" s="1" t="str">
        <f t="shared" si="9"/>
        <v>3/01/2019</v>
      </c>
      <c r="E262" t="s">
        <v>37</v>
      </c>
      <c r="F262" t="s">
        <v>51</v>
      </c>
      <c r="G262" t="s">
        <v>39</v>
      </c>
      <c r="H262">
        <v>33</v>
      </c>
      <c r="I262">
        <v>31</v>
      </c>
      <c r="J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S262">
        <v>0</v>
      </c>
      <c r="U262">
        <v>0</v>
      </c>
      <c r="V262">
        <v>0</v>
      </c>
      <c r="W262" s="1">
        <v>44160</v>
      </c>
      <c r="AB262" t="s">
        <v>40</v>
      </c>
      <c r="AG262" t="s">
        <v>40</v>
      </c>
      <c r="AI262" t="s">
        <v>40</v>
      </c>
      <c r="AK262" t="s">
        <v>40</v>
      </c>
    </row>
    <row r="263" spans="1:37" x14ac:dyDescent="0.3">
      <c r="A263">
        <v>2019</v>
      </c>
      <c r="B263">
        <v>3</v>
      </c>
      <c r="C263" t="str">
        <f t="shared" si="8"/>
        <v>3/01/2019</v>
      </c>
      <c r="D263" s="1" t="str">
        <f t="shared" si="9"/>
        <v>3/01/2019</v>
      </c>
      <c r="E263" t="s">
        <v>37</v>
      </c>
      <c r="F263" t="s">
        <v>51</v>
      </c>
      <c r="G263" t="s">
        <v>41</v>
      </c>
      <c r="H263">
        <v>22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T263">
        <v>0</v>
      </c>
      <c r="U263">
        <v>0</v>
      </c>
      <c r="V263">
        <v>0</v>
      </c>
      <c r="W263" s="1">
        <v>44160</v>
      </c>
      <c r="Z263" t="s">
        <v>40</v>
      </c>
      <c r="AA263" t="s">
        <v>40</v>
      </c>
      <c r="AB263" t="s">
        <v>40</v>
      </c>
      <c r="AJ263" t="s">
        <v>40</v>
      </c>
    </row>
    <row r="264" spans="1:37" x14ac:dyDescent="0.3">
      <c r="A264">
        <v>2019</v>
      </c>
      <c r="B264">
        <v>3</v>
      </c>
      <c r="C264" t="str">
        <f t="shared" si="8"/>
        <v>3/01/2019</v>
      </c>
      <c r="D264" s="1" t="str">
        <f t="shared" si="9"/>
        <v>3/01/2019</v>
      </c>
      <c r="E264" t="s">
        <v>37</v>
      </c>
      <c r="F264" t="s">
        <v>51</v>
      </c>
      <c r="G264" t="s">
        <v>42</v>
      </c>
      <c r="H264">
        <v>32</v>
      </c>
      <c r="I264">
        <v>23</v>
      </c>
      <c r="J264">
        <v>0</v>
      </c>
      <c r="M264">
        <v>0</v>
      </c>
      <c r="N264">
        <v>0</v>
      </c>
      <c r="P264">
        <v>0</v>
      </c>
      <c r="Q264">
        <v>0</v>
      </c>
      <c r="R264">
        <v>0</v>
      </c>
      <c r="U264">
        <v>0</v>
      </c>
      <c r="V264">
        <v>0</v>
      </c>
      <c r="W264" s="1">
        <v>44160</v>
      </c>
      <c r="AB264" t="s">
        <v>40</v>
      </c>
      <c r="AC264" t="s">
        <v>40</v>
      </c>
      <c r="AF264" t="s">
        <v>40</v>
      </c>
      <c r="AJ264" t="s">
        <v>40</v>
      </c>
      <c r="AK264" t="s">
        <v>40</v>
      </c>
    </row>
    <row r="265" spans="1:37" x14ac:dyDescent="0.3">
      <c r="A265">
        <v>2019</v>
      </c>
      <c r="B265">
        <v>3</v>
      </c>
      <c r="C265" t="str">
        <f t="shared" si="8"/>
        <v>3/01/2019</v>
      </c>
      <c r="D265" s="1" t="str">
        <f t="shared" si="9"/>
        <v>3/01/2019</v>
      </c>
      <c r="E265" t="s">
        <v>37</v>
      </c>
      <c r="F265" t="s">
        <v>51</v>
      </c>
      <c r="G265" t="s">
        <v>43</v>
      </c>
      <c r="H265">
        <v>60</v>
      </c>
      <c r="I265">
        <v>47</v>
      </c>
      <c r="J265">
        <v>0</v>
      </c>
      <c r="K265">
        <v>24</v>
      </c>
      <c r="L265">
        <v>0</v>
      </c>
      <c r="M265">
        <v>0</v>
      </c>
      <c r="O265">
        <v>0</v>
      </c>
      <c r="P265">
        <v>0</v>
      </c>
      <c r="R265">
        <v>0</v>
      </c>
      <c r="U265">
        <v>0</v>
      </c>
      <c r="V265">
        <v>0</v>
      </c>
      <c r="W265" s="1">
        <v>44160</v>
      </c>
      <c r="AE265" t="s">
        <v>40</v>
      </c>
      <c r="AH265" t="s">
        <v>40</v>
      </c>
      <c r="AJ265" t="s">
        <v>40</v>
      </c>
      <c r="AK265" t="s">
        <v>40</v>
      </c>
    </row>
    <row r="266" spans="1:37" x14ac:dyDescent="0.3">
      <c r="A266">
        <v>2019</v>
      </c>
      <c r="B266">
        <v>3</v>
      </c>
      <c r="C266" t="str">
        <f t="shared" si="8"/>
        <v>3/01/2019</v>
      </c>
      <c r="D266" s="1" t="str">
        <f t="shared" si="9"/>
        <v>3/01/2019</v>
      </c>
      <c r="E266" t="s">
        <v>37</v>
      </c>
      <c r="F266" t="s">
        <v>51</v>
      </c>
      <c r="G266" t="s">
        <v>44</v>
      </c>
      <c r="H266">
        <v>132</v>
      </c>
      <c r="I266">
        <v>118</v>
      </c>
      <c r="J266">
        <v>0</v>
      </c>
      <c r="K266">
        <v>82</v>
      </c>
      <c r="M266">
        <v>0</v>
      </c>
      <c r="S266">
        <v>15</v>
      </c>
      <c r="U266">
        <v>0</v>
      </c>
      <c r="V266">
        <v>0</v>
      </c>
      <c r="W266" s="1">
        <v>44160</v>
      </c>
      <c r="AC266" t="s">
        <v>40</v>
      </c>
      <c r="AE266" t="s">
        <v>40</v>
      </c>
      <c r="AF266" t="s">
        <v>40</v>
      </c>
      <c r="AG266" t="s">
        <v>40</v>
      </c>
      <c r="AH266" t="s">
        <v>40</v>
      </c>
      <c r="AI266" t="s">
        <v>40</v>
      </c>
      <c r="AK266" t="s">
        <v>40</v>
      </c>
    </row>
    <row r="267" spans="1:37" x14ac:dyDescent="0.3">
      <c r="A267">
        <v>2019</v>
      </c>
      <c r="B267">
        <v>3</v>
      </c>
      <c r="C267" t="str">
        <f t="shared" si="8"/>
        <v>3/01/2019</v>
      </c>
      <c r="D267" s="1" t="str">
        <f t="shared" si="9"/>
        <v>3/01/2019</v>
      </c>
      <c r="E267" t="s">
        <v>37</v>
      </c>
      <c r="F267" t="s">
        <v>51</v>
      </c>
      <c r="G267" t="s">
        <v>45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 s="1">
        <v>44160</v>
      </c>
      <c r="Y267" t="s">
        <v>40</v>
      </c>
      <c r="Z267" t="s">
        <v>40</v>
      </c>
      <c r="AG267" t="s">
        <v>40</v>
      </c>
    </row>
    <row r="268" spans="1:37" x14ac:dyDescent="0.3">
      <c r="A268">
        <v>2019</v>
      </c>
      <c r="B268">
        <v>3</v>
      </c>
      <c r="C268" t="str">
        <f t="shared" si="8"/>
        <v>3/01/2019</v>
      </c>
      <c r="D268" s="1" t="str">
        <f t="shared" si="9"/>
        <v>3/01/2019</v>
      </c>
      <c r="E268" t="s">
        <v>37</v>
      </c>
      <c r="F268" t="s">
        <v>51</v>
      </c>
      <c r="G268" t="s">
        <v>46</v>
      </c>
      <c r="H268">
        <v>279</v>
      </c>
      <c r="I268">
        <v>262</v>
      </c>
      <c r="K268">
        <v>130</v>
      </c>
      <c r="L268">
        <v>14</v>
      </c>
      <c r="M268">
        <v>0</v>
      </c>
      <c r="R268">
        <v>0</v>
      </c>
      <c r="S268">
        <v>36</v>
      </c>
      <c r="T268">
        <v>14</v>
      </c>
      <c r="U268">
        <v>0</v>
      </c>
      <c r="V268">
        <v>0</v>
      </c>
      <c r="W268" s="1">
        <v>44160</v>
      </c>
      <c r="AA268" t="s">
        <v>40</v>
      </c>
      <c r="AE268" t="s">
        <v>40</v>
      </c>
      <c r="AF268" t="s">
        <v>40</v>
      </c>
      <c r="AG268" t="s">
        <v>40</v>
      </c>
      <c r="AH268" t="s">
        <v>40</v>
      </c>
    </row>
    <row r="269" spans="1:37" x14ac:dyDescent="0.3">
      <c r="A269">
        <v>2019</v>
      </c>
      <c r="B269">
        <v>3</v>
      </c>
      <c r="C269" t="str">
        <f t="shared" si="8"/>
        <v>3/01/2019</v>
      </c>
      <c r="D269" s="1" t="str">
        <f t="shared" si="9"/>
        <v>3/01/2019</v>
      </c>
      <c r="E269" t="s">
        <v>37</v>
      </c>
      <c r="F269" t="s">
        <v>51</v>
      </c>
      <c r="G269" t="s">
        <v>47</v>
      </c>
      <c r="H269">
        <v>469</v>
      </c>
      <c r="I269">
        <v>444</v>
      </c>
      <c r="K269">
        <v>181</v>
      </c>
      <c r="L269">
        <v>36</v>
      </c>
      <c r="P269">
        <v>15</v>
      </c>
      <c r="Q269">
        <v>15</v>
      </c>
      <c r="S269">
        <v>71</v>
      </c>
      <c r="T269">
        <v>26</v>
      </c>
      <c r="U269">
        <v>0</v>
      </c>
      <c r="V269">
        <v>0</v>
      </c>
      <c r="W269" s="1">
        <v>44160</v>
      </c>
      <c r="AA269" t="s">
        <v>40</v>
      </c>
      <c r="AD269" t="s">
        <v>40</v>
      </c>
      <c r="AE269" t="s">
        <v>40</v>
      </c>
      <c r="AF269" t="s">
        <v>40</v>
      </c>
      <c r="AI269" t="s">
        <v>40</v>
      </c>
    </row>
    <row r="270" spans="1:37" x14ac:dyDescent="0.3">
      <c r="A270">
        <v>2019</v>
      </c>
      <c r="B270">
        <v>3</v>
      </c>
      <c r="C270" t="str">
        <f t="shared" si="8"/>
        <v>3/01/2019</v>
      </c>
      <c r="D270" s="1" t="str">
        <f t="shared" si="9"/>
        <v>3/01/2019</v>
      </c>
      <c r="E270" t="s">
        <v>37</v>
      </c>
      <c r="F270" t="s">
        <v>51</v>
      </c>
      <c r="G270" t="s">
        <v>48</v>
      </c>
      <c r="H270">
        <v>765</v>
      </c>
      <c r="I270">
        <v>743</v>
      </c>
      <c r="J270">
        <v>15</v>
      </c>
      <c r="K270">
        <v>176</v>
      </c>
      <c r="L270">
        <v>36</v>
      </c>
      <c r="M270">
        <v>28</v>
      </c>
      <c r="N270">
        <v>18</v>
      </c>
      <c r="O270">
        <v>24</v>
      </c>
      <c r="P270">
        <v>20</v>
      </c>
      <c r="Q270">
        <v>19</v>
      </c>
      <c r="S270">
        <v>158</v>
      </c>
      <c r="T270">
        <v>71</v>
      </c>
      <c r="U270">
        <v>0</v>
      </c>
      <c r="V270">
        <v>0</v>
      </c>
      <c r="W270" s="1">
        <v>44160</v>
      </c>
      <c r="AI270" t="s">
        <v>40</v>
      </c>
    </row>
    <row r="271" spans="1:37" x14ac:dyDescent="0.3">
      <c r="A271">
        <v>2019</v>
      </c>
      <c r="B271">
        <v>3</v>
      </c>
      <c r="C271" t="str">
        <f t="shared" si="8"/>
        <v>3/01/2019</v>
      </c>
      <c r="D271" s="1" t="str">
        <f t="shared" si="9"/>
        <v>3/01/2019</v>
      </c>
      <c r="E271" t="s">
        <v>37</v>
      </c>
      <c r="F271" t="s">
        <v>51</v>
      </c>
      <c r="G271" t="s">
        <v>49</v>
      </c>
      <c r="H271" s="2">
        <v>1351</v>
      </c>
      <c r="I271" s="2">
        <v>1322</v>
      </c>
      <c r="J271">
        <v>16</v>
      </c>
      <c r="K271">
        <v>144</v>
      </c>
      <c r="L271">
        <v>53</v>
      </c>
      <c r="M271">
        <v>145</v>
      </c>
      <c r="N271">
        <v>78</v>
      </c>
      <c r="O271">
        <v>42</v>
      </c>
      <c r="P271">
        <v>14</v>
      </c>
      <c r="Q271">
        <v>23</v>
      </c>
      <c r="R271">
        <v>16</v>
      </c>
      <c r="S271">
        <v>335</v>
      </c>
      <c r="T271">
        <v>139</v>
      </c>
      <c r="U271">
        <v>0</v>
      </c>
      <c r="V271">
        <v>0</v>
      </c>
      <c r="W271" s="1">
        <v>44160</v>
      </c>
    </row>
    <row r="272" spans="1:37" x14ac:dyDescent="0.3">
      <c r="A272">
        <v>2019</v>
      </c>
      <c r="B272">
        <v>3</v>
      </c>
      <c r="C272" t="str">
        <f t="shared" si="8"/>
        <v>3/01/2019</v>
      </c>
      <c r="D272" s="1" t="str">
        <f t="shared" si="9"/>
        <v>3/01/2019</v>
      </c>
      <c r="E272" t="s">
        <v>37</v>
      </c>
      <c r="F272" t="s">
        <v>52</v>
      </c>
      <c r="G272" t="s">
        <v>39</v>
      </c>
      <c r="H272">
        <v>305</v>
      </c>
      <c r="I272">
        <v>275</v>
      </c>
      <c r="L272">
        <v>0</v>
      </c>
      <c r="M272">
        <v>0</v>
      </c>
      <c r="Q272">
        <v>0</v>
      </c>
      <c r="R272">
        <v>43</v>
      </c>
      <c r="U272">
        <v>0</v>
      </c>
      <c r="V272">
        <v>0</v>
      </c>
      <c r="W272" s="1">
        <v>44160</v>
      </c>
      <c r="AA272" t="s">
        <v>40</v>
      </c>
      <c r="AB272" t="s">
        <v>40</v>
      </c>
      <c r="AE272" t="s">
        <v>40</v>
      </c>
      <c r="AF272" t="s">
        <v>40</v>
      </c>
      <c r="AG272" t="s">
        <v>40</v>
      </c>
      <c r="AJ272" t="s">
        <v>40</v>
      </c>
      <c r="AK272" t="s">
        <v>40</v>
      </c>
    </row>
    <row r="273" spans="1:37" x14ac:dyDescent="0.3">
      <c r="A273">
        <v>2019</v>
      </c>
      <c r="B273">
        <v>3</v>
      </c>
      <c r="C273" t="str">
        <f t="shared" si="8"/>
        <v>3/01/2019</v>
      </c>
      <c r="D273" s="1" t="str">
        <f t="shared" si="9"/>
        <v>3/01/2019</v>
      </c>
      <c r="E273" t="s">
        <v>37</v>
      </c>
      <c r="F273" t="s">
        <v>52</v>
      </c>
      <c r="G273" t="s">
        <v>41</v>
      </c>
      <c r="H273">
        <v>125</v>
      </c>
      <c r="I273">
        <v>57</v>
      </c>
      <c r="M273">
        <v>0</v>
      </c>
      <c r="Q273">
        <v>0</v>
      </c>
      <c r="T273">
        <v>0</v>
      </c>
      <c r="U273">
        <v>0</v>
      </c>
      <c r="V273">
        <v>0</v>
      </c>
      <c r="W273" s="1">
        <v>44160</v>
      </c>
      <c r="AA273" t="s">
        <v>40</v>
      </c>
      <c r="AB273" t="s">
        <v>40</v>
      </c>
      <c r="AC273" t="s">
        <v>40</v>
      </c>
      <c r="AE273" t="s">
        <v>40</v>
      </c>
      <c r="AF273" t="s">
        <v>40</v>
      </c>
      <c r="AG273" t="s">
        <v>40</v>
      </c>
      <c r="AI273" t="s">
        <v>40</v>
      </c>
      <c r="AJ273" t="s">
        <v>40</v>
      </c>
    </row>
    <row r="274" spans="1:37" x14ac:dyDescent="0.3">
      <c r="A274">
        <v>2019</v>
      </c>
      <c r="B274">
        <v>3</v>
      </c>
      <c r="C274" t="str">
        <f t="shared" si="8"/>
        <v>3/01/2019</v>
      </c>
      <c r="D274" s="1" t="str">
        <f t="shared" si="9"/>
        <v>3/01/2019</v>
      </c>
      <c r="E274" t="s">
        <v>37</v>
      </c>
      <c r="F274" t="s">
        <v>52</v>
      </c>
      <c r="G274" t="s">
        <v>42</v>
      </c>
      <c r="H274">
        <v>292</v>
      </c>
      <c r="I274">
        <v>182</v>
      </c>
      <c r="K274">
        <v>35</v>
      </c>
      <c r="M274">
        <v>0</v>
      </c>
      <c r="S274">
        <v>29</v>
      </c>
      <c r="T274">
        <v>11</v>
      </c>
      <c r="U274">
        <v>0</v>
      </c>
      <c r="V274">
        <v>0</v>
      </c>
      <c r="W274" s="1">
        <v>44160</v>
      </c>
      <c r="AA274" t="s">
        <v>40</v>
      </c>
      <c r="AC274" t="s">
        <v>40</v>
      </c>
      <c r="AE274" t="s">
        <v>40</v>
      </c>
      <c r="AF274" t="s">
        <v>40</v>
      </c>
      <c r="AG274" t="s">
        <v>40</v>
      </c>
      <c r="AH274" t="s">
        <v>40</v>
      </c>
      <c r="AI274" t="s">
        <v>40</v>
      </c>
    </row>
    <row r="275" spans="1:37" x14ac:dyDescent="0.3">
      <c r="A275">
        <v>2019</v>
      </c>
      <c r="B275">
        <v>3</v>
      </c>
      <c r="C275" t="str">
        <f t="shared" si="8"/>
        <v>3/01/2019</v>
      </c>
      <c r="D275" s="1" t="str">
        <f t="shared" si="9"/>
        <v>3/01/2019</v>
      </c>
      <c r="E275" t="s">
        <v>37</v>
      </c>
      <c r="F275" t="s">
        <v>52</v>
      </c>
      <c r="G275" t="s">
        <v>43</v>
      </c>
      <c r="H275">
        <v>544</v>
      </c>
      <c r="I275">
        <v>431</v>
      </c>
      <c r="J275">
        <v>14</v>
      </c>
      <c r="K275">
        <v>116</v>
      </c>
      <c r="L275">
        <v>18</v>
      </c>
      <c r="M275">
        <v>0</v>
      </c>
      <c r="Q275">
        <v>11</v>
      </c>
      <c r="S275">
        <v>80</v>
      </c>
      <c r="T275">
        <v>26</v>
      </c>
      <c r="U275">
        <v>0</v>
      </c>
      <c r="V275">
        <v>0</v>
      </c>
      <c r="W275" s="1">
        <v>44160</v>
      </c>
      <c r="AE275" t="s">
        <v>40</v>
      </c>
      <c r="AF275" t="s">
        <v>40</v>
      </c>
      <c r="AG275" t="s">
        <v>40</v>
      </c>
      <c r="AI275" t="s">
        <v>40</v>
      </c>
    </row>
    <row r="276" spans="1:37" x14ac:dyDescent="0.3">
      <c r="A276">
        <v>2019</v>
      </c>
      <c r="B276">
        <v>3</v>
      </c>
      <c r="C276" t="str">
        <f t="shared" si="8"/>
        <v>3/01/2019</v>
      </c>
      <c r="D276" s="1" t="str">
        <f t="shared" si="9"/>
        <v>3/01/2019</v>
      </c>
      <c r="E276" t="s">
        <v>37</v>
      </c>
      <c r="F276" t="s">
        <v>52</v>
      </c>
      <c r="G276" t="s">
        <v>44</v>
      </c>
      <c r="H276" s="2">
        <v>1075</v>
      </c>
      <c r="I276">
        <v>967</v>
      </c>
      <c r="J276">
        <v>20</v>
      </c>
      <c r="K276">
        <v>259</v>
      </c>
      <c r="L276">
        <v>45</v>
      </c>
      <c r="M276">
        <v>0</v>
      </c>
      <c r="N276">
        <v>18</v>
      </c>
      <c r="O276">
        <v>32</v>
      </c>
      <c r="P276">
        <v>24</v>
      </c>
      <c r="Q276">
        <v>35</v>
      </c>
      <c r="S276">
        <v>228</v>
      </c>
      <c r="T276">
        <v>57</v>
      </c>
      <c r="U276">
        <v>0</v>
      </c>
      <c r="V276">
        <v>0</v>
      </c>
      <c r="W276" s="1">
        <v>44160</v>
      </c>
      <c r="AI276" t="s">
        <v>40</v>
      </c>
    </row>
    <row r="277" spans="1:37" x14ac:dyDescent="0.3">
      <c r="A277">
        <v>2019</v>
      </c>
      <c r="B277">
        <v>3</v>
      </c>
      <c r="C277" t="str">
        <f t="shared" si="8"/>
        <v>3/01/2019</v>
      </c>
      <c r="D277" s="1" t="str">
        <f t="shared" si="9"/>
        <v>3/01/2019</v>
      </c>
      <c r="E277" t="s">
        <v>37</v>
      </c>
      <c r="F277" t="s">
        <v>52</v>
      </c>
      <c r="G277" t="s">
        <v>45</v>
      </c>
      <c r="H277">
        <v>49</v>
      </c>
      <c r="I277">
        <v>29</v>
      </c>
      <c r="J277">
        <v>0</v>
      </c>
      <c r="L277">
        <v>0</v>
      </c>
      <c r="M277">
        <v>0</v>
      </c>
      <c r="N277">
        <v>0</v>
      </c>
      <c r="Q277">
        <v>0</v>
      </c>
      <c r="S277">
        <v>0</v>
      </c>
      <c r="U277">
        <v>0</v>
      </c>
      <c r="V277">
        <v>0</v>
      </c>
      <c r="W277" s="1">
        <v>44160</v>
      </c>
      <c r="AB277" t="s">
        <v>40</v>
      </c>
      <c r="AF277" t="s">
        <v>40</v>
      </c>
      <c r="AG277" t="s">
        <v>40</v>
      </c>
      <c r="AI277" t="s">
        <v>40</v>
      </c>
      <c r="AK277" t="s">
        <v>40</v>
      </c>
    </row>
    <row r="278" spans="1:37" x14ac:dyDescent="0.3">
      <c r="A278">
        <v>2019</v>
      </c>
      <c r="B278">
        <v>3</v>
      </c>
      <c r="C278" t="str">
        <f t="shared" si="8"/>
        <v>3/01/2019</v>
      </c>
      <c r="D278" s="1" t="str">
        <f t="shared" si="9"/>
        <v>3/01/2019</v>
      </c>
      <c r="E278" t="s">
        <v>37</v>
      </c>
      <c r="F278" t="s">
        <v>52</v>
      </c>
      <c r="G278" t="s">
        <v>46</v>
      </c>
      <c r="H278" s="2">
        <v>2371</v>
      </c>
      <c r="I278" s="2">
        <v>2246</v>
      </c>
      <c r="J278">
        <v>52</v>
      </c>
      <c r="K278">
        <v>710</v>
      </c>
      <c r="L278">
        <v>131</v>
      </c>
      <c r="N278">
        <v>47</v>
      </c>
      <c r="O278">
        <v>95</v>
      </c>
      <c r="P278">
        <v>34</v>
      </c>
      <c r="Q278">
        <v>69</v>
      </c>
      <c r="R278">
        <v>16</v>
      </c>
      <c r="S278">
        <v>546</v>
      </c>
      <c r="T278">
        <v>115</v>
      </c>
      <c r="U278">
        <v>0</v>
      </c>
      <c r="V278">
        <v>0</v>
      </c>
      <c r="W278" s="1">
        <v>44160</v>
      </c>
      <c r="AD278" t="s">
        <v>40</v>
      </c>
    </row>
    <row r="279" spans="1:37" x14ac:dyDescent="0.3">
      <c r="A279">
        <v>2019</v>
      </c>
      <c r="B279">
        <v>3</v>
      </c>
      <c r="C279" t="str">
        <f t="shared" si="8"/>
        <v>3/01/2019</v>
      </c>
      <c r="D279" s="1" t="str">
        <f t="shared" si="9"/>
        <v>3/01/2019</v>
      </c>
      <c r="E279" t="s">
        <v>37</v>
      </c>
      <c r="F279" t="s">
        <v>52</v>
      </c>
      <c r="G279" t="s">
        <v>47</v>
      </c>
      <c r="H279" s="2">
        <v>3004</v>
      </c>
      <c r="I279" s="2">
        <v>2920</v>
      </c>
      <c r="J279">
        <v>68</v>
      </c>
      <c r="K279">
        <v>859</v>
      </c>
      <c r="L279">
        <v>158</v>
      </c>
      <c r="M279">
        <v>41</v>
      </c>
      <c r="N279">
        <v>64</v>
      </c>
      <c r="O279">
        <v>144</v>
      </c>
      <c r="P279">
        <v>47</v>
      </c>
      <c r="Q279">
        <v>114</v>
      </c>
      <c r="R279">
        <v>28</v>
      </c>
      <c r="S279">
        <v>660</v>
      </c>
      <c r="T279">
        <v>185</v>
      </c>
      <c r="U279">
        <v>0</v>
      </c>
      <c r="V279">
        <v>0</v>
      </c>
      <c r="W279" s="1">
        <v>44160</v>
      </c>
    </row>
    <row r="280" spans="1:37" x14ac:dyDescent="0.3">
      <c r="A280">
        <v>2019</v>
      </c>
      <c r="B280">
        <v>3</v>
      </c>
      <c r="C280" t="str">
        <f t="shared" si="8"/>
        <v>3/01/2019</v>
      </c>
      <c r="D280" s="1" t="str">
        <f t="shared" si="9"/>
        <v>3/01/2019</v>
      </c>
      <c r="E280" t="s">
        <v>37</v>
      </c>
      <c r="F280" t="s">
        <v>52</v>
      </c>
      <c r="G280" t="s">
        <v>48</v>
      </c>
      <c r="H280" s="2">
        <v>3141</v>
      </c>
      <c r="I280" s="2">
        <v>3081</v>
      </c>
      <c r="J280">
        <v>69</v>
      </c>
      <c r="K280">
        <v>662</v>
      </c>
      <c r="L280">
        <v>155</v>
      </c>
      <c r="M280">
        <v>154</v>
      </c>
      <c r="N280">
        <v>56</v>
      </c>
      <c r="O280">
        <v>128</v>
      </c>
      <c r="P280">
        <v>35</v>
      </c>
      <c r="Q280">
        <v>118</v>
      </c>
      <c r="R280">
        <v>29</v>
      </c>
      <c r="S280">
        <v>740</v>
      </c>
      <c r="T280">
        <v>261</v>
      </c>
      <c r="U280">
        <v>0</v>
      </c>
      <c r="V280">
        <v>0</v>
      </c>
      <c r="W280" s="1">
        <v>44160</v>
      </c>
    </row>
    <row r="281" spans="1:37" x14ac:dyDescent="0.3">
      <c r="A281">
        <v>2019</v>
      </c>
      <c r="B281">
        <v>3</v>
      </c>
      <c r="C281" t="str">
        <f t="shared" si="8"/>
        <v>3/01/2019</v>
      </c>
      <c r="D281" s="1" t="str">
        <f t="shared" si="9"/>
        <v>3/01/2019</v>
      </c>
      <c r="E281" t="s">
        <v>37</v>
      </c>
      <c r="F281" t="s">
        <v>52</v>
      </c>
      <c r="G281" t="s">
        <v>49</v>
      </c>
      <c r="H281" s="2">
        <v>3691</v>
      </c>
      <c r="I281" s="2">
        <v>3637</v>
      </c>
      <c r="J281">
        <v>63</v>
      </c>
      <c r="K281">
        <v>409</v>
      </c>
      <c r="L281">
        <v>112</v>
      </c>
      <c r="M281">
        <v>405</v>
      </c>
      <c r="N281">
        <v>92</v>
      </c>
      <c r="O281">
        <v>108</v>
      </c>
      <c r="P281">
        <v>40</v>
      </c>
      <c r="Q281">
        <v>92</v>
      </c>
      <c r="R281">
        <v>43</v>
      </c>
      <c r="S281">
        <v>977</v>
      </c>
      <c r="T281">
        <v>334</v>
      </c>
      <c r="U281">
        <v>0</v>
      </c>
      <c r="V281">
        <v>0</v>
      </c>
      <c r="W281" s="1">
        <v>44160</v>
      </c>
    </row>
    <row r="282" spans="1:37" x14ac:dyDescent="0.3">
      <c r="A282">
        <v>2019</v>
      </c>
      <c r="B282">
        <v>3</v>
      </c>
      <c r="C282" t="str">
        <f t="shared" si="8"/>
        <v>3/01/2019</v>
      </c>
      <c r="D282" s="1" t="str">
        <f t="shared" si="9"/>
        <v>3/01/2019</v>
      </c>
      <c r="E282" t="s">
        <v>37</v>
      </c>
      <c r="F282" t="s">
        <v>53</v>
      </c>
      <c r="G282" t="s">
        <v>39</v>
      </c>
      <c r="H282">
        <v>383</v>
      </c>
      <c r="I282">
        <v>323</v>
      </c>
      <c r="L282">
        <v>0</v>
      </c>
      <c r="M282">
        <v>0</v>
      </c>
      <c r="O282">
        <v>0</v>
      </c>
      <c r="R282">
        <v>35</v>
      </c>
      <c r="U282">
        <v>0</v>
      </c>
      <c r="V282">
        <v>0</v>
      </c>
      <c r="W282" s="1">
        <v>44160</v>
      </c>
      <c r="AA282" t="s">
        <v>40</v>
      </c>
      <c r="AB282" t="s">
        <v>40</v>
      </c>
      <c r="AE282" t="s">
        <v>40</v>
      </c>
      <c r="AG282" t="s">
        <v>40</v>
      </c>
      <c r="AH282" t="s">
        <v>40</v>
      </c>
      <c r="AJ282" t="s">
        <v>40</v>
      </c>
      <c r="AK282" t="s">
        <v>40</v>
      </c>
    </row>
    <row r="283" spans="1:37" x14ac:dyDescent="0.3">
      <c r="A283">
        <v>2019</v>
      </c>
      <c r="B283">
        <v>3</v>
      </c>
      <c r="C283" t="str">
        <f t="shared" si="8"/>
        <v>3/01/2019</v>
      </c>
      <c r="D283" s="1" t="str">
        <f t="shared" si="9"/>
        <v>3/01/2019</v>
      </c>
      <c r="E283" t="s">
        <v>37</v>
      </c>
      <c r="F283" t="s">
        <v>53</v>
      </c>
      <c r="G283" t="s">
        <v>41</v>
      </c>
      <c r="H283">
        <v>345</v>
      </c>
      <c r="I283">
        <v>95</v>
      </c>
      <c r="K283">
        <v>25</v>
      </c>
      <c r="M283">
        <v>0</v>
      </c>
      <c r="O283">
        <v>0</v>
      </c>
      <c r="U283">
        <v>0</v>
      </c>
      <c r="V283">
        <v>0</v>
      </c>
      <c r="W283" s="1">
        <v>44160</v>
      </c>
      <c r="AA283" t="s">
        <v>40</v>
      </c>
      <c r="AC283" t="s">
        <v>40</v>
      </c>
      <c r="AE283" t="s">
        <v>40</v>
      </c>
      <c r="AG283" t="s">
        <v>40</v>
      </c>
      <c r="AH283" t="s">
        <v>40</v>
      </c>
      <c r="AI283" t="s">
        <v>40</v>
      </c>
      <c r="AJ283" t="s">
        <v>40</v>
      </c>
      <c r="AK283" t="s">
        <v>40</v>
      </c>
    </row>
    <row r="284" spans="1:37" x14ac:dyDescent="0.3">
      <c r="A284">
        <v>2019</v>
      </c>
      <c r="B284">
        <v>3</v>
      </c>
      <c r="C284" t="str">
        <f t="shared" si="8"/>
        <v>3/01/2019</v>
      </c>
      <c r="D284" s="1" t="str">
        <f t="shared" si="9"/>
        <v>3/01/2019</v>
      </c>
      <c r="E284" t="s">
        <v>37</v>
      </c>
      <c r="F284" t="s">
        <v>53</v>
      </c>
      <c r="G284" t="s">
        <v>42</v>
      </c>
      <c r="H284">
        <v>895</v>
      </c>
      <c r="I284">
        <v>367</v>
      </c>
      <c r="K284">
        <v>76</v>
      </c>
      <c r="M284">
        <v>0</v>
      </c>
      <c r="N284">
        <v>23</v>
      </c>
      <c r="R284">
        <v>13</v>
      </c>
      <c r="S284">
        <v>49</v>
      </c>
      <c r="T284">
        <v>16</v>
      </c>
      <c r="U284">
        <v>0</v>
      </c>
      <c r="V284">
        <v>0</v>
      </c>
      <c r="W284" s="1">
        <v>44160</v>
      </c>
      <c r="AA284" t="s">
        <v>40</v>
      </c>
      <c r="AC284" t="s">
        <v>40</v>
      </c>
      <c r="AF284" t="s">
        <v>40</v>
      </c>
      <c r="AG284" t="s">
        <v>40</v>
      </c>
      <c r="AH284" t="s">
        <v>40</v>
      </c>
    </row>
    <row r="285" spans="1:37" x14ac:dyDescent="0.3">
      <c r="A285">
        <v>2019</v>
      </c>
      <c r="B285">
        <v>3</v>
      </c>
      <c r="C285" t="str">
        <f t="shared" si="8"/>
        <v>3/01/2019</v>
      </c>
      <c r="D285" s="1" t="str">
        <f t="shared" si="9"/>
        <v>3/01/2019</v>
      </c>
      <c r="E285" t="s">
        <v>37</v>
      </c>
      <c r="F285" t="s">
        <v>53</v>
      </c>
      <c r="G285" t="s">
        <v>43</v>
      </c>
      <c r="H285" s="2">
        <v>1569</v>
      </c>
      <c r="I285">
        <v>991</v>
      </c>
      <c r="J285">
        <v>15</v>
      </c>
      <c r="K285">
        <v>296</v>
      </c>
      <c r="L285">
        <v>36</v>
      </c>
      <c r="M285">
        <v>0</v>
      </c>
      <c r="N285">
        <v>34</v>
      </c>
      <c r="O285">
        <v>20</v>
      </c>
      <c r="P285">
        <v>16</v>
      </c>
      <c r="Q285">
        <v>20</v>
      </c>
      <c r="R285">
        <v>22</v>
      </c>
      <c r="S285">
        <v>181</v>
      </c>
      <c r="T285">
        <v>33</v>
      </c>
      <c r="U285">
        <v>0</v>
      </c>
      <c r="V285">
        <v>0</v>
      </c>
      <c r="W285" s="1">
        <v>44160</v>
      </c>
    </row>
    <row r="286" spans="1:37" x14ac:dyDescent="0.3">
      <c r="A286">
        <v>2019</v>
      </c>
      <c r="B286">
        <v>3</v>
      </c>
      <c r="C286" t="str">
        <f t="shared" si="8"/>
        <v>3/01/2019</v>
      </c>
      <c r="D286" s="1" t="str">
        <f t="shared" si="9"/>
        <v>3/01/2019</v>
      </c>
      <c r="E286" t="s">
        <v>37</v>
      </c>
      <c r="F286" t="s">
        <v>53</v>
      </c>
      <c r="G286" t="s">
        <v>44</v>
      </c>
      <c r="H286" s="2">
        <v>3422</v>
      </c>
      <c r="I286" s="2">
        <v>2752</v>
      </c>
      <c r="J286">
        <v>66</v>
      </c>
      <c r="K286">
        <v>953</v>
      </c>
      <c r="L286">
        <v>126</v>
      </c>
      <c r="N286">
        <v>81</v>
      </c>
      <c r="O286">
        <v>150</v>
      </c>
      <c r="P286">
        <v>30</v>
      </c>
      <c r="Q286">
        <v>45</v>
      </c>
      <c r="R286">
        <v>24</v>
      </c>
      <c r="S286">
        <v>475</v>
      </c>
      <c r="T286">
        <v>106</v>
      </c>
      <c r="U286">
        <v>0</v>
      </c>
      <c r="V286">
        <v>0</v>
      </c>
      <c r="W286" s="1">
        <v>44160</v>
      </c>
      <c r="AD286" t="s">
        <v>40</v>
      </c>
    </row>
    <row r="287" spans="1:37" x14ac:dyDescent="0.3">
      <c r="A287">
        <v>2019</v>
      </c>
      <c r="B287">
        <v>3</v>
      </c>
      <c r="C287" t="str">
        <f t="shared" si="8"/>
        <v>3/01/2019</v>
      </c>
      <c r="D287" s="1" t="str">
        <f t="shared" si="9"/>
        <v>3/01/2019</v>
      </c>
      <c r="E287" t="s">
        <v>37</v>
      </c>
      <c r="F287" t="s">
        <v>53</v>
      </c>
      <c r="G287" t="s">
        <v>45</v>
      </c>
      <c r="H287">
        <v>75</v>
      </c>
      <c r="I287">
        <v>50</v>
      </c>
      <c r="K287">
        <v>12</v>
      </c>
      <c r="M287">
        <v>0</v>
      </c>
      <c r="Q287">
        <v>0</v>
      </c>
      <c r="T287">
        <v>0</v>
      </c>
      <c r="U287">
        <v>0</v>
      </c>
      <c r="V287">
        <v>0</v>
      </c>
      <c r="W287" s="1">
        <v>44160</v>
      </c>
      <c r="AA287" t="s">
        <v>40</v>
      </c>
      <c r="AC287" t="s">
        <v>40</v>
      </c>
      <c r="AE287" t="s">
        <v>40</v>
      </c>
      <c r="AF287" t="s">
        <v>40</v>
      </c>
      <c r="AG287" t="s">
        <v>40</v>
      </c>
      <c r="AI287" t="s">
        <v>40</v>
      </c>
      <c r="AJ287" t="s">
        <v>40</v>
      </c>
    </row>
    <row r="288" spans="1:37" x14ac:dyDescent="0.3">
      <c r="A288">
        <v>2019</v>
      </c>
      <c r="B288">
        <v>3</v>
      </c>
      <c r="C288" t="str">
        <f t="shared" si="8"/>
        <v>3/01/2019</v>
      </c>
      <c r="D288" s="1" t="str">
        <f t="shared" si="9"/>
        <v>3/01/2019</v>
      </c>
      <c r="E288" t="s">
        <v>37</v>
      </c>
      <c r="F288" t="s">
        <v>53</v>
      </c>
      <c r="G288" t="s">
        <v>46</v>
      </c>
      <c r="H288" s="2">
        <v>9256</v>
      </c>
      <c r="I288" s="2">
        <v>8587</v>
      </c>
      <c r="J288">
        <v>169</v>
      </c>
      <c r="K288" s="2">
        <v>3178</v>
      </c>
      <c r="L288">
        <v>303</v>
      </c>
      <c r="M288">
        <v>56</v>
      </c>
      <c r="N288">
        <v>219</v>
      </c>
      <c r="O288">
        <v>811</v>
      </c>
      <c r="P288">
        <v>146</v>
      </c>
      <c r="Q288">
        <v>108</v>
      </c>
      <c r="R288">
        <v>82</v>
      </c>
      <c r="S288" s="2">
        <v>1424</v>
      </c>
      <c r="T288">
        <v>304</v>
      </c>
      <c r="U288">
        <v>0</v>
      </c>
      <c r="V288">
        <v>0</v>
      </c>
      <c r="W288" s="1">
        <v>44160</v>
      </c>
    </row>
    <row r="289" spans="1:37" x14ac:dyDescent="0.3">
      <c r="A289">
        <v>2019</v>
      </c>
      <c r="B289">
        <v>3</v>
      </c>
      <c r="C289" t="str">
        <f t="shared" si="8"/>
        <v>3/01/2019</v>
      </c>
      <c r="D289" s="1" t="str">
        <f t="shared" si="9"/>
        <v>3/01/2019</v>
      </c>
      <c r="E289" t="s">
        <v>37</v>
      </c>
      <c r="F289" t="s">
        <v>53</v>
      </c>
      <c r="G289" t="s">
        <v>47</v>
      </c>
      <c r="H289" s="2">
        <v>15814</v>
      </c>
      <c r="I289" s="2">
        <v>15275</v>
      </c>
      <c r="J289">
        <v>282</v>
      </c>
      <c r="K289" s="2">
        <v>5056</v>
      </c>
      <c r="L289">
        <v>489</v>
      </c>
      <c r="M289">
        <v>314</v>
      </c>
      <c r="N289">
        <v>356</v>
      </c>
      <c r="O289" s="2">
        <v>1677</v>
      </c>
      <c r="P289">
        <v>298</v>
      </c>
      <c r="Q289">
        <v>280</v>
      </c>
      <c r="R289">
        <v>108</v>
      </c>
      <c r="S289" s="2">
        <v>2789</v>
      </c>
      <c r="T289">
        <v>717</v>
      </c>
      <c r="U289">
        <v>0</v>
      </c>
      <c r="V289">
        <v>0</v>
      </c>
      <c r="W289" s="1">
        <v>44160</v>
      </c>
    </row>
    <row r="290" spans="1:37" x14ac:dyDescent="0.3">
      <c r="A290">
        <v>2019</v>
      </c>
      <c r="B290">
        <v>3</v>
      </c>
      <c r="C290" t="str">
        <f t="shared" si="8"/>
        <v>3/01/2019</v>
      </c>
      <c r="D290" s="1" t="str">
        <f t="shared" si="9"/>
        <v>3/01/2019</v>
      </c>
      <c r="E290" t="s">
        <v>37</v>
      </c>
      <c r="F290" t="s">
        <v>53</v>
      </c>
      <c r="G290" t="s">
        <v>48</v>
      </c>
      <c r="H290" s="2">
        <v>23739</v>
      </c>
      <c r="I290" s="2">
        <v>23091</v>
      </c>
      <c r="J290">
        <v>344</v>
      </c>
      <c r="K290" s="2">
        <v>5053</v>
      </c>
      <c r="L290">
        <v>587</v>
      </c>
      <c r="M290" s="2">
        <v>1446</v>
      </c>
      <c r="N290">
        <v>609</v>
      </c>
      <c r="O290" s="2">
        <v>2268</v>
      </c>
      <c r="P290">
        <v>458</v>
      </c>
      <c r="Q290">
        <v>446</v>
      </c>
      <c r="R290">
        <v>192</v>
      </c>
      <c r="S290" s="2">
        <v>5060</v>
      </c>
      <c r="T290" s="2">
        <v>1450</v>
      </c>
      <c r="U290">
        <v>0</v>
      </c>
      <c r="V290">
        <v>0</v>
      </c>
      <c r="W290" s="1">
        <v>44160</v>
      </c>
    </row>
    <row r="291" spans="1:37" x14ac:dyDescent="0.3">
      <c r="A291">
        <v>2019</v>
      </c>
      <c r="B291">
        <v>3</v>
      </c>
      <c r="C291" t="str">
        <f t="shared" si="8"/>
        <v>3/01/2019</v>
      </c>
      <c r="D291" s="1" t="str">
        <f t="shared" si="9"/>
        <v>3/01/2019</v>
      </c>
      <c r="E291" t="s">
        <v>37</v>
      </c>
      <c r="F291" t="s">
        <v>53</v>
      </c>
      <c r="G291" t="s">
        <v>49</v>
      </c>
      <c r="H291" s="2">
        <v>40793</v>
      </c>
      <c r="I291" s="2">
        <v>39589</v>
      </c>
      <c r="J291">
        <v>448</v>
      </c>
      <c r="K291" s="2">
        <v>3803</v>
      </c>
      <c r="L291">
        <v>589</v>
      </c>
      <c r="M291" s="2">
        <v>4257</v>
      </c>
      <c r="N291" s="2">
        <v>1217</v>
      </c>
      <c r="O291" s="2">
        <v>2181</v>
      </c>
      <c r="P291">
        <v>588</v>
      </c>
      <c r="Q291">
        <v>601</v>
      </c>
      <c r="R291">
        <v>648</v>
      </c>
      <c r="S291" s="2">
        <v>11454</v>
      </c>
      <c r="T291" s="2">
        <v>3274</v>
      </c>
      <c r="U291">
        <v>0</v>
      </c>
      <c r="V291">
        <v>0</v>
      </c>
      <c r="W291" s="1">
        <v>44160</v>
      </c>
    </row>
    <row r="292" spans="1:37" x14ac:dyDescent="0.3">
      <c r="A292">
        <v>2019</v>
      </c>
      <c r="B292">
        <v>3</v>
      </c>
      <c r="C292" t="str">
        <f t="shared" si="8"/>
        <v>3/01/2019</v>
      </c>
      <c r="D292" s="1" t="str">
        <f t="shared" si="9"/>
        <v>3/01/2019</v>
      </c>
      <c r="E292" t="s">
        <v>37</v>
      </c>
      <c r="F292" t="s">
        <v>54</v>
      </c>
      <c r="G292" t="s">
        <v>39</v>
      </c>
      <c r="H292">
        <v>51</v>
      </c>
      <c r="I292">
        <v>46</v>
      </c>
      <c r="K292">
        <v>0</v>
      </c>
      <c r="L292">
        <v>0</v>
      </c>
      <c r="M292">
        <v>0</v>
      </c>
      <c r="O292">
        <v>0</v>
      </c>
      <c r="P292">
        <v>0</v>
      </c>
      <c r="Q292">
        <v>0</v>
      </c>
      <c r="T292">
        <v>0</v>
      </c>
      <c r="U292">
        <v>0</v>
      </c>
      <c r="V292">
        <v>0</v>
      </c>
      <c r="W292" s="1">
        <v>44160</v>
      </c>
      <c r="AA292" t="s">
        <v>40</v>
      </c>
      <c r="AE292" t="s">
        <v>40</v>
      </c>
      <c r="AI292" t="s">
        <v>40</v>
      </c>
      <c r="AJ292" t="s">
        <v>40</v>
      </c>
    </row>
    <row r="293" spans="1:37" x14ac:dyDescent="0.3">
      <c r="A293">
        <v>2019</v>
      </c>
      <c r="B293">
        <v>3</v>
      </c>
      <c r="C293" t="str">
        <f t="shared" si="8"/>
        <v>3/01/2019</v>
      </c>
      <c r="D293" s="1" t="str">
        <f t="shared" si="9"/>
        <v>3/01/2019</v>
      </c>
      <c r="E293" t="s">
        <v>37</v>
      </c>
      <c r="F293" t="s">
        <v>54</v>
      </c>
      <c r="G293" t="s">
        <v>41</v>
      </c>
      <c r="H293">
        <v>23</v>
      </c>
      <c r="J293">
        <v>0</v>
      </c>
      <c r="M293">
        <v>0</v>
      </c>
      <c r="N293">
        <v>0</v>
      </c>
      <c r="P293">
        <v>0</v>
      </c>
      <c r="Q293">
        <v>0</v>
      </c>
      <c r="R293">
        <v>0</v>
      </c>
      <c r="T293">
        <v>0</v>
      </c>
      <c r="U293">
        <v>0</v>
      </c>
      <c r="V293">
        <v>0</v>
      </c>
      <c r="W293" s="1">
        <v>44160</v>
      </c>
      <c r="Z293" t="s">
        <v>40</v>
      </c>
      <c r="AB293" t="s">
        <v>40</v>
      </c>
      <c r="AC293" t="s">
        <v>40</v>
      </c>
      <c r="AF293" t="s">
        <v>40</v>
      </c>
      <c r="AJ293" t="s">
        <v>40</v>
      </c>
    </row>
    <row r="294" spans="1:37" x14ac:dyDescent="0.3">
      <c r="A294">
        <v>2019</v>
      </c>
      <c r="B294">
        <v>3</v>
      </c>
      <c r="C294" t="str">
        <f t="shared" si="8"/>
        <v>3/01/2019</v>
      </c>
      <c r="D294" s="1" t="str">
        <f t="shared" si="9"/>
        <v>3/01/2019</v>
      </c>
      <c r="E294" t="s">
        <v>37</v>
      </c>
      <c r="F294" t="s">
        <v>54</v>
      </c>
      <c r="G294" t="s">
        <v>42</v>
      </c>
      <c r="H294">
        <v>35</v>
      </c>
      <c r="I294">
        <v>20</v>
      </c>
      <c r="J294">
        <v>0</v>
      </c>
      <c r="L294">
        <v>0</v>
      </c>
      <c r="M294">
        <v>0</v>
      </c>
      <c r="N294">
        <v>0</v>
      </c>
      <c r="P294">
        <v>0</v>
      </c>
      <c r="R294">
        <v>0</v>
      </c>
      <c r="T294">
        <v>0</v>
      </c>
      <c r="U294">
        <v>0</v>
      </c>
      <c r="V294">
        <v>0</v>
      </c>
      <c r="W294" s="1">
        <v>44160</v>
      </c>
      <c r="AB294" t="s">
        <v>40</v>
      </c>
      <c r="AF294" t="s">
        <v>40</v>
      </c>
      <c r="AH294" t="s">
        <v>40</v>
      </c>
      <c r="AJ294" t="s">
        <v>40</v>
      </c>
    </row>
    <row r="295" spans="1:37" x14ac:dyDescent="0.3">
      <c r="A295">
        <v>2019</v>
      </c>
      <c r="B295">
        <v>3</v>
      </c>
      <c r="C295" t="str">
        <f t="shared" si="8"/>
        <v>3/01/2019</v>
      </c>
      <c r="D295" s="1" t="str">
        <f t="shared" si="9"/>
        <v>3/01/2019</v>
      </c>
      <c r="E295" t="s">
        <v>37</v>
      </c>
      <c r="F295" t="s">
        <v>54</v>
      </c>
      <c r="G295" t="s">
        <v>43</v>
      </c>
      <c r="H295">
        <v>49</v>
      </c>
      <c r="I295">
        <v>34</v>
      </c>
      <c r="K295">
        <v>12</v>
      </c>
      <c r="L295">
        <v>0</v>
      </c>
      <c r="M295">
        <v>0</v>
      </c>
      <c r="P295">
        <v>0</v>
      </c>
      <c r="R295">
        <v>0</v>
      </c>
      <c r="T295">
        <v>0</v>
      </c>
      <c r="U295">
        <v>0</v>
      </c>
      <c r="V295">
        <v>0</v>
      </c>
      <c r="W295" s="1">
        <v>44160</v>
      </c>
      <c r="AA295" t="s">
        <v>40</v>
      </c>
      <c r="AE295" t="s">
        <v>40</v>
      </c>
      <c r="AF295" t="s">
        <v>40</v>
      </c>
      <c r="AH295" t="s">
        <v>40</v>
      </c>
      <c r="AJ295" t="s">
        <v>40</v>
      </c>
    </row>
    <row r="296" spans="1:37" x14ac:dyDescent="0.3">
      <c r="A296">
        <v>2019</v>
      </c>
      <c r="B296">
        <v>3</v>
      </c>
      <c r="C296" t="str">
        <f t="shared" si="8"/>
        <v>3/01/2019</v>
      </c>
      <c r="D296" s="1" t="str">
        <f t="shared" si="9"/>
        <v>3/01/2019</v>
      </c>
      <c r="E296" t="s">
        <v>37</v>
      </c>
      <c r="F296" t="s">
        <v>54</v>
      </c>
      <c r="G296" t="s">
        <v>44</v>
      </c>
      <c r="H296">
        <v>80</v>
      </c>
      <c r="I296">
        <v>70</v>
      </c>
      <c r="K296">
        <v>22</v>
      </c>
      <c r="M296">
        <v>0</v>
      </c>
      <c r="P296">
        <v>0</v>
      </c>
      <c r="S296">
        <v>14</v>
      </c>
      <c r="U296">
        <v>0</v>
      </c>
      <c r="V296">
        <v>0</v>
      </c>
      <c r="W296" s="1">
        <v>44160</v>
      </c>
      <c r="AA296" t="s">
        <v>40</v>
      </c>
      <c r="AC296" t="s">
        <v>40</v>
      </c>
      <c r="AE296" t="s">
        <v>40</v>
      </c>
      <c r="AF296" t="s">
        <v>40</v>
      </c>
      <c r="AH296" t="s">
        <v>40</v>
      </c>
      <c r="AI296" t="s">
        <v>40</v>
      </c>
      <c r="AK296" t="s">
        <v>40</v>
      </c>
    </row>
    <row r="297" spans="1:37" x14ac:dyDescent="0.3">
      <c r="A297">
        <v>2019</v>
      </c>
      <c r="B297">
        <v>3</v>
      </c>
      <c r="C297" t="str">
        <f t="shared" si="8"/>
        <v>3/01/2019</v>
      </c>
      <c r="D297" s="1" t="str">
        <f t="shared" si="9"/>
        <v>3/01/2019</v>
      </c>
      <c r="E297" t="s">
        <v>37</v>
      </c>
      <c r="F297" t="s">
        <v>54</v>
      </c>
      <c r="G297" t="s">
        <v>45</v>
      </c>
      <c r="H297">
        <v>11</v>
      </c>
      <c r="J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U297">
        <v>0</v>
      </c>
      <c r="V297">
        <v>0</v>
      </c>
      <c r="W297" s="1">
        <v>44160</v>
      </c>
      <c r="Z297" t="s">
        <v>40</v>
      </c>
      <c r="AB297" t="s">
        <v>40</v>
      </c>
      <c r="AG297" t="s">
        <v>40</v>
      </c>
      <c r="AK297" t="s">
        <v>40</v>
      </c>
    </row>
    <row r="298" spans="1:37" x14ac:dyDescent="0.3">
      <c r="A298">
        <v>2019</v>
      </c>
      <c r="B298">
        <v>3</v>
      </c>
      <c r="C298" t="str">
        <f t="shared" si="8"/>
        <v>3/01/2019</v>
      </c>
      <c r="D298" s="1" t="str">
        <f t="shared" si="9"/>
        <v>3/01/2019</v>
      </c>
      <c r="E298" t="s">
        <v>37</v>
      </c>
      <c r="F298" t="s">
        <v>54</v>
      </c>
      <c r="G298" t="s">
        <v>46</v>
      </c>
      <c r="H298">
        <v>154</v>
      </c>
      <c r="I298">
        <v>146</v>
      </c>
      <c r="K298">
        <v>49</v>
      </c>
      <c r="L298">
        <v>12</v>
      </c>
      <c r="Q298">
        <v>0</v>
      </c>
      <c r="S298">
        <v>28</v>
      </c>
      <c r="U298">
        <v>0</v>
      </c>
      <c r="V298">
        <v>0</v>
      </c>
      <c r="W298" s="1">
        <v>44160</v>
      </c>
      <c r="AA298" t="s">
        <v>40</v>
      </c>
      <c r="AD298" t="s">
        <v>40</v>
      </c>
      <c r="AE298" t="s">
        <v>40</v>
      </c>
      <c r="AF298" t="s">
        <v>40</v>
      </c>
      <c r="AG298" t="s">
        <v>40</v>
      </c>
      <c r="AI298" t="s">
        <v>40</v>
      </c>
      <c r="AK298" t="s">
        <v>40</v>
      </c>
    </row>
    <row r="299" spans="1:37" x14ac:dyDescent="0.3">
      <c r="A299">
        <v>2019</v>
      </c>
      <c r="B299">
        <v>3</v>
      </c>
      <c r="C299" t="str">
        <f t="shared" si="8"/>
        <v>3/01/2019</v>
      </c>
      <c r="D299" s="1" t="str">
        <f t="shared" si="9"/>
        <v>3/01/2019</v>
      </c>
      <c r="E299" t="s">
        <v>37</v>
      </c>
      <c r="F299" t="s">
        <v>54</v>
      </c>
      <c r="G299" t="s">
        <v>47</v>
      </c>
      <c r="H299">
        <v>178</v>
      </c>
      <c r="I299">
        <v>174</v>
      </c>
      <c r="K299">
        <v>48</v>
      </c>
      <c r="M299">
        <v>0</v>
      </c>
      <c r="O299">
        <v>15</v>
      </c>
      <c r="S299">
        <v>37</v>
      </c>
      <c r="U299">
        <v>0</v>
      </c>
      <c r="V299">
        <v>0</v>
      </c>
      <c r="W299" s="1">
        <v>44160</v>
      </c>
      <c r="AA299" t="s">
        <v>40</v>
      </c>
      <c r="AC299" t="s">
        <v>40</v>
      </c>
      <c r="AE299" t="s">
        <v>40</v>
      </c>
      <c r="AG299" t="s">
        <v>40</v>
      </c>
      <c r="AH299" t="s">
        <v>40</v>
      </c>
      <c r="AI299" t="s">
        <v>40</v>
      </c>
      <c r="AK299" t="s">
        <v>40</v>
      </c>
    </row>
    <row r="300" spans="1:37" x14ac:dyDescent="0.3">
      <c r="A300">
        <v>2019</v>
      </c>
      <c r="B300">
        <v>3</v>
      </c>
      <c r="C300" t="str">
        <f t="shared" si="8"/>
        <v>3/01/2019</v>
      </c>
      <c r="D300" s="1" t="str">
        <f t="shared" si="9"/>
        <v>3/01/2019</v>
      </c>
      <c r="E300" t="s">
        <v>37</v>
      </c>
      <c r="F300" t="s">
        <v>54</v>
      </c>
      <c r="G300" t="s">
        <v>48</v>
      </c>
      <c r="H300">
        <v>204</v>
      </c>
      <c r="I300">
        <v>197</v>
      </c>
      <c r="K300">
        <v>41</v>
      </c>
      <c r="M300">
        <v>16</v>
      </c>
      <c r="O300">
        <v>18</v>
      </c>
      <c r="S300">
        <v>46</v>
      </c>
      <c r="T300">
        <v>18</v>
      </c>
      <c r="U300">
        <v>0</v>
      </c>
      <c r="V300">
        <v>0</v>
      </c>
      <c r="W300" s="1">
        <v>44160</v>
      </c>
      <c r="AA300" t="s">
        <v>40</v>
      </c>
      <c r="AC300" t="s">
        <v>40</v>
      </c>
      <c r="AE300" t="s">
        <v>40</v>
      </c>
      <c r="AG300" t="s">
        <v>40</v>
      </c>
      <c r="AH300" t="s">
        <v>40</v>
      </c>
      <c r="AI300" t="s">
        <v>40</v>
      </c>
    </row>
    <row r="301" spans="1:37" x14ac:dyDescent="0.3">
      <c r="A301">
        <v>2019</v>
      </c>
      <c r="B301">
        <v>3</v>
      </c>
      <c r="C301" t="str">
        <f t="shared" si="8"/>
        <v>3/01/2019</v>
      </c>
      <c r="D301" s="1" t="str">
        <f t="shared" si="9"/>
        <v>3/01/2019</v>
      </c>
      <c r="E301" t="s">
        <v>37</v>
      </c>
      <c r="F301" t="s">
        <v>54</v>
      </c>
      <c r="G301" t="s">
        <v>49</v>
      </c>
      <c r="H301">
        <v>194</v>
      </c>
      <c r="I301">
        <v>190</v>
      </c>
      <c r="K301">
        <v>17</v>
      </c>
      <c r="M301">
        <v>18</v>
      </c>
      <c r="S301">
        <v>54</v>
      </c>
      <c r="T301">
        <v>17</v>
      </c>
      <c r="U301">
        <v>0</v>
      </c>
      <c r="V301">
        <v>0</v>
      </c>
      <c r="W301" s="1">
        <v>44160</v>
      </c>
      <c r="AA301" t="s">
        <v>40</v>
      </c>
      <c r="AC301" t="s">
        <v>40</v>
      </c>
      <c r="AE301" t="s">
        <v>40</v>
      </c>
      <c r="AF301" t="s">
        <v>40</v>
      </c>
      <c r="AG301" t="s">
        <v>40</v>
      </c>
      <c r="AH301" t="s">
        <v>40</v>
      </c>
      <c r="AI301" t="s">
        <v>40</v>
      </c>
    </row>
    <row r="302" spans="1:37" x14ac:dyDescent="0.3">
      <c r="A302">
        <v>2019</v>
      </c>
      <c r="B302">
        <v>3</v>
      </c>
      <c r="C302" t="str">
        <f t="shared" si="8"/>
        <v>3/01/2019</v>
      </c>
      <c r="D302" s="1" t="str">
        <f t="shared" si="9"/>
        <v>3/01/2019</v>
      </c>
      <c r="E302" t="s">
        <v>55</v>
      </c>
      <c r="F302" t="s">
        <v>38</v>
      </c>
      <c r="G302" t="s">
        <v>39</v>
      </c>
      <c r="H302">
        <v>247</v>
      </c>
      <c r="I302">
        <v>225</v>
      </c>
      <c r="L302">
        <v>0</v>
      </c>
      <c r="M302">
        <v>0</v>
      </c>
      <c r="R302">
        <v>30</v>
      </c>
      <c r="U302">
        <v>0</v>
      </c>
      <c r="V302">
        <v>0</v>
      </c>
      <c r="W302" s="1">
        <v>44160</v>
      </c>
      <c r="AA302" t="s">
        <v>40</v>
      </c>
      <c r="AB302" t="s">
        <v>40</v>
      </c>
      <c r="AE302" t="s">
        <v>40</v>
      </c>
      <c r="AF302" t="s">
        <v>40</v>
      </c>
      <c r="AG302" t="s">
        <v>40</v>
      </c>
      <c r="AH302" t="s">
        <v>40</v>
      </c>
      <c r="AJ302" t="s">
        <v>40</v>
      </c>
      <c r="AK302" t="s">
        <v>40</v>
      </c>
    </row>
    <row r="303" spans="1:37" x14ac:dyDescent="0.3">
      <c r="A303">
        <v>2019</v>
      </c>
      <c r="B303">
        <v>3</v>
      </c>
      <c r="C303" t="str">
        <f t="shared" si="8"/>
        <v>3/01/2019</v>
      </c>
      <c r="D303" s="1" t="str">
        <f t="shared" si="9"/>
        <v>3/01/2019</v>
      </c>
      <c r="E303" t="s">
        <v>55</v>
      </c>
      <c r="F303" t="s">
        <v>38</v>
      </c>
      <c r="G303" t="s">
        <v>41</v>
      </c>
      <c r="H303">
        <v>347</v>
      </c>
      <c r="I303">
        <v>55</v>
      </c>
      <c r="J303">
        <v>0</v>
      </c>
      <c r="K303">
        <v>14</v>
      </c>
      <c r="M303">
        <v>0</v>
      </c>
      <c r="Q303">
        <v>0</v>
      </c>
      <c r="U303">
        <v>0</v>
      </c>
      <c r="V303">
        <v>0</v>
      </c>
      <c r="W303" s="1">
        <v>44160</v>
      </c>
      <c r="AC303" t="s">
        <v>40</v>
      </c>
      <c r="AE303" t="s">
        <v>40</v>
      </c>
      <c r="AF303" t="s">
        <v>40</v>
      </c>
      <c r="AG303" t="s">
        <v>40</v>
      </c>
      <c r="AI303" t="s">
        <v>40</v>
      </c>
      <c r="AJ303" t="s">
        <v>40</v>
      </c>
      <c r="AK303" t="s">
        <v>40</v>
      </c>
    </row>
    <row r="304" spans="1:37" x14ac:dyDescent="0.3">
      <c r="A304">
        <v>2019</v>
      </c>
      <c r="B304">
        <v>3</v>
      </c>
      <c r="C304" t="str">
        <f t="shared" si="8"/>
        <v>3/01/2019</v>
      </c>
      <c r="D304" s="1" t="str">
        <f t="shared" si="9"/>
        <v>3/01/2019</v>
      </c>
      <c r="E304" t="s">
        <v>55</v>
      </c>
      <c r="F304" t="s">
        <v>38</v>
      </c>
      <c r="G304" t="s">
        <v>42</v>
      </c>
      <c r="H304">
        <v>598</v>
      </c>
      <c r="I304">
        <v>196</v>
      </c>
      <c r="K304">
        <v>40</v>
      </c>
      <c r="M304">
        <v>0</v>
      </c>
      <c r="R304">
        <v>10</v>
      </c>
      <c r="S304">
        <v>39</v>
      </c>
      <c r="U304">
        <v>0</v>
      </c>
      <c r="V304">
        <v>0</v>
      </c>
      <c r="W304" s="1">
        <v>44160</v>
      </c>
      <c r="AA304" t="s">
        <v>40</v>
      </c>
      <c r="AC304" t="s">
        <v>40</v>
      </c>
      <c r="AE304" t="s">
        <v>40</v>
      </c>
      <c r="AF304" t="s">
        <v>40</v>
      </c>
      <c r="AG304" t="s">
        <v>40</v>
      </c>
      <c r="AH304" t="s">
        <v>40</v>
      </c>
      <c r="AK304" t="s">
        <v>40</v>
      </c>
    </row>
    <row r="305" spans="1:37" x14ac:dyDescent="0.3">
      <c r="A305">
        <v>2019</v>
      </c>
      <c r="B305">
        <v>3</v>
      </c>
      <c r="C305" t="str">
        <f t="shared" si="8"/>
        <v>3/01/2019</v>
      </c>
      <c r="D305" s="1" t="str">
        <f t="shared" si="9"/>
        <v>3/01/2019</v>
      </c>
      <c r="E305" t="s">
        <v>55</v>
      </c>
      <c r="F305" t="s">
        <v>38</v>
      </c>
      <c r="G305" t="s">
        <v>43</v>
      </c>
      <c r="H305">
        <v>709</v>
      </c>
      <c r="I305">
        <v>383</v>
      </c>
      <c r="K305">
        <v>64</v>
      </c>
      <c r="L305">
        <v>20</v>
      </c>
      <c r="M305">
        <v>0</v>
      </c>
      <c r="N305">
        <v>17</v>
      </c>
      <c r="S305">
        <v>94</v>
      </c>
      <c r="T305">
        <v>19</v>
      </c>
      <c r="U305">
        <v>0</v>
      </c>
      <c r="V305">
        <v>0</v>
      </c>
      <c r="W305" s="1">
        <v>44160</v>
      </c>
      <c r="AA305" t="s">
        <v>40</v>
      </c>
      <c r="AF305" t="s">
        <v>40</v>
      </c>
      <c r="AG305" t="s">
        <v>40</v>
      </c>
      <c r="AH305" t="s">
        <v>40</v>
      </c>
      <c r="AI305" t="s">
        <v>40</v>
      </c>
    </row>
    <row r="306" spans="1:37" x14ac:dyDescent="0.3">
      <c r="A306">
        <v>2019</v>
      </c>
      <c r="B306">
        <v>3</v>
      </c>
      <c r="C306" t="str">
        <f t="shared" si="8"/>
        <v>3/01/2019</v>
      </c>
      <c r="D306" s="1" t="str">
        <f t="shared" si="9"/>
        <v>3/01/2019</v>
      </c>
      <c r="E306" t="s">
        <v>55</v>
      </c>
      <c r="F306" t="s">
        <v>38</v>
      </c>
      <c r="G306" t="s">
        <v>44</v>
      </c>
      <c r="H306" s="2">
        <v>1123</v>
      </c>
      <c r="I306">
        <v>871</v>
      </c>
      <c r="J306">
        <v>16</v>
      </c>
      <c r="K306">
        <v>178</v>
      </c>
      <c r="L306">
        <v>67</v>
      </c>
      <c r="N306">
        <v>29</v>
      </c>
      <c r="P306">
        <v>11</v>
      </c>
      <c r="Q306">
        <v>26</v>
      </c>
      <c r="S306">
        <v>220</v>
      </c>
      <c r="T306">
        <v>41</v>
      </c>
      <c r="U306">
        <v>0</v>
      </c>
      <c r="V306">
        <v>0</v>
      </c>
      <c r="W306" s="1">
        <v>44160</v>
      </c>
      <c r="AD306" t="s">
        <v>40</v>
      </c>
      <c r="AF306" t="s">
        <v>40</v>
      </c>
      <c r="AI306" t="s">
        <v>40</v>
      </c>
    </row>
    <row r="307" spans="1:37" x14ac:dyDescent="0.3">
      <c r="A307">
        <v>2019</v>
      </c>
      <c r="B307">
        <v>3</v>
      </c>
      <c r="C307" t="str">
        <f t="shared" si="8"/>
        <v>3/01/2019</v>
      </c>
      <c r="D307" s="1" t="str">
        <f t="shared" si="9"/>
        <v>3/01/2019</v>
      </c>
      <c r="E307" t="s">
        <v>55</v>
      </c>
      <c r="F307" t="s">
        <v>38</v>
      </c>
      <c r="G307" t="s">
        <v>45</v>
      </c>
      <c r="H307">
        <v>72</v>
      </c>
      <c r="I307">
        <v>42</v>
      </c>
      <c r="J307">
        <v>0</v>
      </c>
      <c r="K307">
        <v>10</v>
      </c>
      <c r="L307">
        <v>0</v>
      </c>
      <c r="M307">
        <v>0</v>
      </c>
      <c r="P307">
        <v>0</v>
      </c>
      <c r="Q307">
        <v>0</v>
      </c>
      <c r="U307">
        <v>0</v>
      </c>
      <c r="V307">
        <v>0</v>
      </c>
      <c r="W307" s="1">
        <v>44160</v>
      </c>
      <c r="AE307" t="s">
        <v>40</v>
      </c>
      <c r="AF307" t="s">
        <v>40</v>
      </c>
      <c r="AI307" t="s">
        <v>40</v>
      </c>
      <c r="AJ307" t="s">
        <v>40</v>
      </c>
      <c r="AK307" t="s">
        <v>40</v>
      </c>
    </row>
    <row r="308" spans="1:37" x14ac:dyDescent="0.3">
      <c r="A308">
        <v>2019</v>
      </c>
      <c r="B308">
        <v>3</v>
      </c>
      <c r="C308" t="str">
        <f t="shared" si="8"/>
        <v>3/01/2019</v>
      </c>
      <c r="D308" s="1" t="str">
        <f t="shared" si="9"/>
        <v>3/01/2019</v>
      </c>
      <c r="E308" t="s">
        <v>55</v>
      </c>
      <c r="F308" t="s">
        <v>38</v>
      </c>
      <c r="G308" t="s">
        <v>46</v>
      </c>
      <c r="H308" s="2">
        <v>1715</v>
      </c>
      <c r="I308" s="2">
        <v>1530</v>
      </c>
      <c r="J308">
        <v>23</v>
      </c>
      <c r="K308">
        <v>372</v>
      </c>
      <c r="L308">
        <v>110</v>
      </c>
      <c r="N308">
        <v>32</v>
      </c>
      <c r="O308">
        <v>37</v>
      </c>
      <c r="P308">
        <v>27</v>
      </c>
      <c r="Q308">
        <v>35</v>
      </c>
      <c r="R308">
        <v>14</v>
      </c>
      <c r="S308">
        <v>429</v>
      </c>
      <c r="T308">
        <v>51</v>
      </c>
      <c r="U308">
        <v>0</v>
      </c>
      <c r="V308">
        <v>0</v>
      </c>
      <c r="W308" s="1">
        <v>44160</v>
      </c>
      <c r="AD308" t="s">
        <v>40</v>
      </c>
    </row>
    <row r="309" spans="1:37" x14ac:dyDescent="0.3">
      <c r="A309">
        <v>2019</v>
      </c>
      <c r="B309">
        <v>3</v>
      </c>
      <c r="C309" t="str">
        <f t="shared" si="8"/>
        <v>3/01/2019</v>
      </c>
      <c r="D309" s="1" t="str">
        <f t="shared" si="9"/>
        <v>3/01/2019</v>
      </c>
      <c r="E309" t="s">
        <v>55</v>
      </c>
      <c r="F309" t="s">
        <v>38</v>
      </c>
      <c r="G309" t="s">
        <v>47</v>
      </c>
      <c r="H309" s="2">
        <v>1927</v>
      </c>
      <c r="I309" s="2">
        <v>1846</v>
      </c>
      <c r="J309">
        <v>19</v>
      </c>
      <c r="K309">
        <v>506</v>
      </c>
      <c r="L309">
        <v>131</v>
      </c>
      <c r="M309">
        <v>21</v>
      </c>
      <c r="N309">
        <v>60</v>
      </c>
      <c r="O309">
        <v>69</v>
      </c>
      <c r="P309">
        <v>44</v>
      </c>
      <c r="Q309">
        <v>51</v>
      </c>
      <c r="R309">
        <v>10</v>
      </c>
      <c r="S309">
        <v>461</v>
      </c>
      <c r="T309">
        <v>93</v>
      </c>
      <c r="U309">
        <v>0</v>
      </c>
      <c r="V309">
        <v>0</v>
      </c>
      <c r="W309" s="1">
        <v>44160</v>
      </c>
    </row>
    <row r="310" spans="1:37" x14ac:dyDescent="0.3">
      <c r="A310">
        <v>2019</v>
      </c>
      <c r="B310">
        <v>3</v>
      </c>
      <c r="C310" t="str">
        <f t="shared" si="8"/>
        <v>3/01/2019</v>
      </c>
      <c r="D310" s="1" t="str">
        <f t="shared" si="9"/>
        <v>3/01/2019</v>
      </c>
      <c r="E310" t="s">
        <v>55</v>
      </c>
      <c r="F310" t="s">
        <v>38</v>
      </c>
      <c r="G310" t="s">
        <v>48</v>
      </c>
      <c r="H310" s="2">
        <v>1884</v>
      </c>
      <c r="I310" s="2">
        <v>1812</v>
      </c>
      <c r="J310">
        <v>31</v>
      </c>
      <c r="K310">
        <v>457</v>
      </c>
      <c r="L310">
        <v>107</v>
      </c>
      <c r="M310">
        <v>68</v>
      </c>
      <c r="N310">
        <v>44</v>
      </c>
      <c r="O310">
        <v>90</v>
      </c>
      <c r="P310">
        <v>46</v>
      </c>
      <c r="Q310">
        <v>48</v>
      </c>
      <c r="R310">
        <v>14</v>
      </c>
      <c r="S310">
        <v>459</v>
      </c>
      <c r="T310">
        <v>101</v>
      </c>
      <c r="U310">
        <v>0</v>
      </c>
      <c r="V310">
        <v>0</v>
      </c>
      <c r="W310" s="1">
        <v>44160</v>
      </c>
    </row>
    <row r="311" spans="1:37" x14ac:dyDescent="0.3">
      <c r="A311">
        <v>2019</v>
      </c>
      <c r="B311">
        <v>3</v>
      </c>
      <c r="C311" t="str">
        <f t="shared" si="8"/>
        <v>3/01/2019</v>
      </c>
      <c r="D311" s="1" t="str">
        <f t="shared" si="9"/>
        <v>3/01/2019</v>
      </c>
      <c r="E311" t="s">
        <v>55</v>
      </c>
      <c r="F311" t="s">
        <v>38</v>
      </c>
      <c r="G311" t="s">
        <v>49</v>
      </c>
      <c r="H311" s="2">
        <v>1685</v>
      </c>
      <c r="I311" s="2">
        <v>1641</v>
      </c>
      <c r="J311">
        <v>25</v>
      </c>
      <c r="K311">
        <v>251</v>
      </c>
      <c r="L311">
        <v>75</v>
      </c>
      <c r="M311">
        <v>140</v>
      </c>
      <c r="N311">
        <v>56</v>
      </c>
      <c r="O311">
        <v>75</v>
      </c>
      <c r="P311">
        <v>34</v>
      </c>
      <c r="Q311">
        <v>37</v>
      </c>
      <c r="S311">
        <v>439</v>
      </c>
      <c r="T311">
        <v>115</v>
      </c>
      <c r="U311">
        <v>0</v>
      </c>
      <c r="V311">
        <v>0</v>
      </c>
      <c r="W311" s="1">
        <v>44160</v>
      </c>
      <c r="AI311" t="s">
        <v>40</v>
      </c>
    </row>
    <row r="312" spans="1:37" x14ac:dyDescent="0.3">
      <c r="A312">
        <v>2019</v>
      </c>
      <c r="B312">
        <v>3</v>
      </c>
      <c r="C312" t="str">
        <f t="shared" si="8"/>
        <v>3/01/2019</v>
      </c>
      <c r="D312" s="1" t="str">
        <f t="shared" si="9"/>
        <v>3/01/2019</v>
      </c>
      <c r="E312" t="s">
        <v>55</v>
      </c>
      <c r="F312" t="s">
        <v>50</v>
      </c>
      <c r="G312" t="s">
        <v>39</v>
      </c>
      <c r="H312">
        <v>21</v>
      </c>
      <c r="I312">
        <v>16</v>
      </c>
      <c r="J312">
        <v>0</v>
      </c>
      <c r="K312">
        <v>0</v>
      </c>
      <c r="L312">
        <v>0</v>
      </c>
      <c r="M312">
        <v>0</v>
      </c>
      <c r="O312">
        <v>0</v>
      </c>
      <c r="Q312">
        <v>0</v>
      </c>
      <c r="S312">
        <v>0</v>
      </c>
      <c r="U312">
        <v>0</v>
      </c>
      <c r="V312">
        <v>0</v>
      </c>
      <c r="W312" s="1">
        <v>44160</v>
      </c>
      <c r="AE312" t="s">
        <v>40</v>
      </c>
      <c r="AG312" t="s">
        <v>40</v>
      </c>
      <c r="AI312" t="s">
        <v>40</v>
      </c>
      <c r="AK312" t="s">
        <v>40</v>
      </c>
    </row>
    <row r="313" spans="1:37" x14ac:dyDescent="0.3">
      <c r="A313">
        <v>2019</v>
      </c>
      <c r="B313">
        <v>3</v>
      </c>
      <c r="C313" t="str">
        <f t="shared" si="8"/>
        <v>3/01/2019</v>
      </c>
      <c r="D313" s="1" t="str">
        <f t="shared" si="9"/>
        <v>3/01/2019</v>
      </c>
      <c r="E313" t="s">
        <v>55</v>
      </c>
      <c r="F313" t="s">
        <v>50</v>
      </c>
      <c r="G313" t="s">
        <v>41</v>
      </c>
      <c r="H313">
        <v>25</v>
      </c>
      <c r="J313">
        <v>0</v>
      </c>
      <c r="L313">
        <v>0</v>
      </c>
      <c r="M313">
        <v>0</v>
      </c>
      <c r="O313">
        <v>0</v>
      </c>
      <c r="P313">
        <v>0</v>
      </c>
      <c r="Q313">
        <v>0</v>
      </c>
      <c r="S313">
        <v>0</v>
      </c>
      <c r="T313">
        <v>0</v>
      </c>
      <c r="U313">
        <v>0</v>
      </c>
      <c r="V313">
        <v>0</v>
      </c>
      <c r="W313" s="1">
        <v>44160</v>
      </c>
      <c r="Z313" t="s">
        <v>40</v>
      </c>
      <c r="AB313" t="s">
        <v>40</v>
      </c>
      <c r="AE313" t="s">
        <v>40</v>
      </c>
      <c r="AI313" t="s">
        <v>40</v>
      </c>
    </row>
    <row r="314" spans="1:37" x14ac:dyDescent="0.3">
      <c r="A314">
        <v>2019</v>
      </c>
      <c r="B314">
        <v>3</v>
      </c>
      <c r="C314" t="str">
        <f t="shared" si="8"/>
        <v>3/01/2019</v>
      </c>
      <c r="D314" s="1" t="str">
        <f t="shared" si="9"/>
        <v>3/01/2019</v>
      </c>
      <c r="E314" t="s">
        <v>55</v>
      </c>
      <c r="F314" t="s">
        <v>50</v>
      </c>
      <c r="G314" t="s">
        <v>42</v>
      </c>
      <c r="H314">
        <v>51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T314">
        <v>0</v>
      </c>
      <c r="U314">
        <v>0</v>
      </c>
      <c r="V314">
        <v>0</v>
      </c>
      <c r="W314" s="1">
        <v>44160</v>
      </c>
      <c r="Z314" t="s">
        <v>40</v>
      </c>
      <c r="AA314" t="s">
        <v>40</v>
      </c>
      <c r="AI314" t="s">
        <v>40</v>
      </c>
      <c r="AJ314" t="s">
        <v>40</v>
      </c>
    </row>
    <row r="315" spans="1:37" x14ac:dyDescent="0.3">
      <c r="A315">
        <v>2019</v>
      </c>
      <c r="B315">
        <v>3</v>
      </c>
      <c r="C315" t="str">
        <f t="shared" si="8"/>
        <v>3/01/2019</v>
      </c>
      <c r="D315" s="1" t="str">
        <f t="shared" si="9"/>
        <v>3/01/2019</v>
      </c>
      <c r="E315" t="s">
        <v>55</v>
      </c>
      <c r="F315" t="s">
        <v>50</v>
      </c>
      <c r="G315" t="s">
        <v>43</v>
      </c>
      <c r="H315">
        <v>69</v>
      </c>
      <c r="I315">
        <v>38</v>
      </c>
      <c r="J315">
        <v>0</v>
      </c>
      <c r="M315">
        <v>0</v>
      </c>
      <c r="P315">
        <v>0</v>
      </c>
      <c r="R315">
        <v>0</v>
      </c>
      <c r="T315">
        <v>0</v>
      </c>
      <c r="U315">
        <v>0</v>
      </c>
      <c r="V315">
        <v>0</v>
      </c>
      <c r="W315" s="1">
        <v>44160</v>
      </c>
      <c r="AB315" t="s">
        <v>40</v>
      </c>
      <c r="AC315" t="s">
        <v>40</v>
      </c>
      <c r="AE315" t="s">
        <v>40</v>
      </c>
      <c r="AF315" t="s">
        <v>40</v>
      </c>
      <c r="AH315" t="s">
        <v>40</v>
      </c>
      <c r="AJ315" t="s">
        <v>40</v>
      </c>
    </row>
    <row r="316" spans="1:37" x14ac:dyDescent="0.3">
      <c r="A316">
        <v>2019</v>
      </c>
      <c r="B316">
        <v>3</v>
      </c>
      <c r="C316" t="str">
        <f t="shared" si="8"/>
        <v>3/01/2019</v>
      </c>
      <c r="D316" s="1" t="str">
        <f t="shared" si="9"/>
        <v>3/01/2019</v>
      </c>
      <c r="E316" t="s">
        <v>55</v>
      </c>
      <c r="F316" t="s">
        <v>50</v>
      </c>
      <c r="G316" t="s">
        <v>44</v>
      </c>
      <c r="H316">
        <v>120</v>
      </c>
      <c r="I316">
        <v>94</v>
      </c>
      <c r="K316">
        <v>17</v>
      </c>
      <c r="L316">
        <v>10</v>
      </c>
      <c r="M316">
        <v>0</v>
      </c>
      <c r="S316">
        <v>17</v>
      </c>
      <c r="U316">
        <v>0</v>
      </c>
      <c r="V316">
        <v>0</v>
      </c>
      <c r="W316" s="1">
        <v>44160</v>
      </c>
      <c r="AA316" t="s">
        <v>40</v>
      </c>
      <c r="AE316" t="s">
        <v>40</v>
      </c>
      <c r="AF316" t="s">
        <v>40</v>
      </c>
      <c r="AG316" t="s">
        <v>40</v>
      </c>
      <c r="AH316" t="s">
        <v>40</v>
      </c>
      <c r="AI316" t="s">
        <v>40</v>
      </c>
      <c r="AK316" t="s">
        <v>40</v>
      </c>
    </row>
    <row r="317" spans="1:37" x14ac:dyDescent="0.3">
      <c r="A317">
        <v>2019</v>
      </c>
      <c r="B317">
        <v>3</v>
      </c>
      <c r="C317" t="str">
        <f t="shared" si="8"/>
        <v>3/01/2019</v>
      </c>
      <c r="D317" s="1" t="str">
        <f t="shared" si="9"/>
        <v>3/01/2019</v>
      </c>
      <c r="E317" t="s">
        <v>55</v>
      </c>
      <c r="F317" t="s">
        <v>50</v>
      </c>
      <c r="G317" t="s">
        <v>45</v>
      </c>
      <c r="J317">
        <v>0</v>
      </c>
      <c r="L317">
        <v>0</v>
      </c>
      <c r="M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 s="1">
        <v>44160</v>
      </c>
      <c r="Y317" t="s">
        <v>40</v>
      </c>
      <c r="Z317" t="s">
        <v>40</v>
      </c>
      <c r="AB317" t="s">
        <v>40</v>
      </c>
      <c r="AE317" t="s">
        <v>40</v>
      </c>
    </row>
    <row r="318" spans="1:37" x14ac:dyDescent="0.3">
      <c r="A318">
        <v>2019</v>
      </c>
      <c r="B318">
        <v>3</v>
      </c>
      <c r="C318" t="str">
        <f t="shared" si="8"/>
        <v>3/01/2019</v>
      </c>
      <c r="D318" s="1" t="str">
        <f t="shared" si="9"/>
        <v>3/01/2019</v>
      </c>
      <c r="E318" t="s">
        <v>55</v>
      </c>
      <c r="F318" t="s">
        <v>50</v>
      </c>
      <c r="G318" t="s">
        <v>46</v>
      </c>
      <c r="H318">
        <v>182</v>
      </c>
      <c r="I318">
        <v>165</v>
      </c>
      <c r="K318">
        <v>39</v>
      </c>
      <c r="M318">
        <v>0</v>
      </c>
      <c r="S318">
        <v>43</v>
      </c>
      <c r="U318">
        <v>0</v>
      </c>
      <c r="V318">
        <v>0</v>
      </c>
      <c r="W318" s="1">
        <v>44160</v>
      </c>
      <c r="AA318" t="s">
        <v>40</v>
      </c>
      <c r="AC318" t="s">
        <v>40</v>
      </c>
      <c r="AE318" t="s">
        <v>40</v>
      </c>
      <c r="AF318" t="s">
        <v>40</v>
      </c>
      <c r="AG318" t="s">
        <v>40</v>
      </c>
      <c r="AH318" t="s">
        <v>40</v>
      </c>
      <c r="AI318" t="s">
        <v>40</v>
      </c>
      <c r="AK318" t="s">
        <v>40</v>
      </c>
    </row>
    <row r="319" spans="1:37" x14ac:dyDescent="0.3">
      <c r="A319">
        <v>2019</v>
      </c>
      <c r="B319">
        <v>3</v>
      </c>
      <c r="C319" t="str">
        <f t="shared" si="8"/>
        <v>3/01/2019</v>
      </c>
      <c r="D319" s="1" t="str">
        <f t="shared" si="9"/>
        <v>3/01/2019</v>
      </c>
      <c r="E319" t="s">
        <v>55</v>
      </c>
      <c r="F319" t="s">
        <v>50</v>
      </c>
      <c r="G319" t="s">
        <v>47</v>
      </c>
      <c r="H319">
        <v>188</v>
      </c>
      <c r="I319">
        <v>184</v>
      </c>
      <c r="K319">
        <v>44</v>
      </c>
      <c r="O319">
        <v>15</v>
      </c>
      <c r="S319">
        <v>50</v>
      </c>
      <c r="U319">
        <v>0</v>
      </c>
      <c r="V319">
        <v>0</v>
      </c>
      <c r="W319" s="1">
        <v>44160</v>
      </c>
      <c r="AA319" t="s">
        <v>40</v>
      </c>
      <c r="AC319" t="s">
        <v>40</v>
      </c>
      <c r="AD319" t="s">
        <v>40</v>
      </c>
      <c r="AE319" t="s">
        <v>40</v>
      </c>
      <c r="AG319" t="s">
        <v>40</v>
      </c>
      <c r="AH319" t="s">
        <v>40</v>
      </c>
      <c r="AI319" t="s">
        <v>40</v>
      </c>
      <c r="AK319" t="s">
        <v>40</v>
      </c>
    </row>
    <row r="320" spans="1:37" x14ac:dyDescent="0.3">
      <c r="A320">
        <v>2019</v>
      </c>
      <c r="B320">
        <v>3</v>
      </c>
      <c r="C320" t="str">
        <f t="shared" si="8"/>
        <v>3/01/2019</v>
      </c>
      <c r="D320" s="1" t="str">
        <f t="shared" si="9"/>
        <v>3/01/2019</v>
      </c>
      <c r="E320" t="s">
        <v>55</v>
      </c>
      <c r="F320" t="s">
        <v>50</v>
      </c>
      <c r="G320" t="s">
        <v>48</v>
      </c>
      <c r="H320">
        <v>140</v>
      </c>
      <c r="I320">
        <v>130</v>
      </c>
      <c r="J320">
        <v>0</v>
      </c>
      <c r="K320">
        <v>38</v>
      </c>
      <c r="R320">
        <v>0</v>
      </c>
      <c r="S320">
        <v>21</v>
      </c>
      <c r="U320">
        <v>0</v>
      </c>
      <c r="V320">
        <v>0</v>
      </c>
      <c r="W320" s="1">
        <v>44160</v>
      </c>
      <c r="AC320" t="s">
        <v>40</v>
      </c>
      <c r="AD320" t="s">
        <v>40</v>
      </c>
      <c r="AE320" t="s">
        <v>40</v>
      </c>
      <c r="AF320" t="s">
        <v>40</v>
      </c>
      <c r="AG320" t="s">
        <v>40</v>
      </c>
      <c r="AH320" t="s">
        <v>40</v>
      </c>
      <c r="AK320" t="s">
        <v>40</v>
      </c>
    </row>
    <row r="321" spans="1:37" x14ac:dyDescent="0.3">
      <c r="A321">
        <v>2019</v>
      </c>
      <c r="B321">
        <v>3</v>
      </c>
      <c r="C321" t="str">
        <f t="shared" si="8"/>
        <v>3/01/2019</v>
      </c>
      <c r="D321" s="1" t="str">
        <f t="shared" si="9"/>
        <v>3/01/2019</v>
      </c>
      <c r="E321" t="s">
        <v>55</v>
      </c>
      <c r="F321" t="s">
        <v>50</v>
      </c>
      <c r="G321" t="s">
        <v>49</v>
      </c>
      <c r="H321">
        <v>73</v>
      </c>
      <c r="I321">
        <v>69</v>
      </c>
      <c r="J321">
        <v>0</v>
      </c>
      <c r="K321">
        <v>12</v>
      </c>
      <c r="P321">
        <v>0</v>
      </c>
      <c r="S321">
        <v>18</v>
      </c>
      <c r="U321">
        <v>0</v>
      </c>
      <c r="V321">
        <v>0</v>
      </c>
      <c r="W321" s="1">
        <v>44160</v>
      </c>
      <c r="AC321" t="s">
        <v>40</v>
      </c>
      <c r="AD321" t="s">
        <v>40</v>
      </c>
      <c r="AE321" t="s">
        <v>40</v>
      </c>
      <c r="AF321" t="s">
        <v>40</v>
      </c>
      <c r="AH321" t="s">
        <v>40</v>
      </c>
      <c r="AI321" t="s">
        <v>40</v>
      </c>
      <c r="AK321" t="s">
        <v>40</v>
      </c>
    </row>
    <row r="322" spans="1:37" x14ac:dyDescent="0.3">
      <c r="A322">
        <v>2019</v>
      </c>
      <c r="B322">
        <v>3</v>
      </c>
      <c r="C322" t="str">
        <f t="shared" si="8"/>
        <v>3/01/2019</v>
      </c>
      <c r="D322" s="1" t="str">
        <f t="shared" si="9"/>
        <v>3/01/2019</v>
      </c>
      <c r="E322" t="s">
        <v>55</v>
      </c>
      <c r="F322" t="s">
        <v>51</v>
      </c>
      <c r="G322" t="s">
        <v>39</v>
      </c>
      <c r="H322">
        <v>33</v>
      </c>
      <c r="I322">
        <v>31</v>
      </c>
      <c r="J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T322">
        <v>0</v>
      </c>
      <c r="U322">
        <v>0</v>
      </c>
      <c r="V322">
        <v>0</v>
      </c>
      <c r="W322" s="1">
        <v>44160</v>
      </c>
      <c r="AB322" t="s">
        <v>40</v>
      </c>
      <c r="AI322" t="s">
        <v>40</v>
      </c>
      <c r="AJ322" t="s">
        <v>40</v>
      </c>
    </row>
    <row r="323" spans="1:37" x14ac:dyDescent="0.3">
      <c r="A323">
        <v>2019</v>
      </c>
      <c r="B323">
        <v>3</v>
      </c>
      <c r="C323" t="str">
        <f t="shared" ref="C323:C386" si="10">CONCATENATE(B323,"/01/",A323)</f>
        <v>3/01/2019</v>
      </c>
      <c r="D323" s="1" t="str">
        <f t="shared" ref="D323:D386" si="11">C323</f>
        <v>3/01/2019</v>
      </c>
      <c r="E323" t="s">
        <v>55</v>
      </c>
      <c r="F323" t="s">
        <v>51</v>
      </c>
      <c r="G323" t="s">
        <v>41</v>
      </c>
      <c r="H323">
        <v>37</v>
      </c>
      <c r="I323">
        <v>12</v>
      </c>
      <c r="J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 s="1">
        <v>44160</v>
      </c>
      <c r="AB323" t="s">
        <v>40</v>
      </c>
    </row>
    <row r="324" spans="1:37" x14ac:dyDescent="0.3">
      <c r="A324">
        <v>2019</v>
      </c>
      <c r="B324">
        <v>3</v>
      </c>
      <c r="C324" t="str">
        <f t="shared" si="10"/>
        <v>3/01/2019</v>
      </c>
      <c r="D324" s="1" t="str">
        <f t="shared" si="11"/>
        <v>3/01/2019</v>
      </c>
      <c r="E324" t="s">
        <v>55</v>
      </c>
      <c r="F324" t="s">
        <v>51</v>
      </c>
      <c r="G324" t="s">
        <v>42</v>
      </c>
      <c r="H324">
        <v>74</v>
      </c>
      <c r="I324">
        <v>25</v>
      </c>
      <c r="J324">
        <v>0</v>
      </c>
      <c r="L324">
        <v>0</v>
      </c>
      <c r="M324">
        <v>0</v>
      </c>
      <c r="P324">
        <v>0</v>
      </c>
      <c r="Q324">
        <v>0</v>
      </c>
      <c r="U324">
        <v>0</v>
      </c>
      <c r="V324">
        <v>0</v>
      </c>
      <c r="W324" s="1">
        <v>44160</v>
      </c>
      <c r="AB324" t="s">
        <v>40</v>
      </c>
      <c r="AE324" t="s">
        <v>40</v>
      </c>
      <c r="AF324" t="s">
        <v>40</v>
      </c>
      <c r="AI324" t="s">
        <v>40</v>
      </c>
      <c r="AJ324" t="s">
        <v>40</v>
      </c>
      <c r="AK324" t="s">
        <v>40</v>
      </c>
    </row>
    <row r="325" spans="1:37" x14ac:dyDescent="0.3">
      <c r="A325">
        <v>2019</v>
      </c>
      <c r="B325">
        <v>3</v>
      </c>
      <c r="C325" t="str">
        <f t="shared" si="10"/>
        <v>3/01/2019</v>
      </c>
      <c r="D325" s="1" t="str">
        <f t="shared" si="11"/>
        <v>3/01/2019</v>
      </c>
      <c r="E325" t="s">
        <v>55</v>
      </c>
      <c r="F325" t="s">
        <v>51</v>
      </c>
      <c r="G325" t="s">
        <v>43</v>
      </c>
      <c r="H325">
        <v>95</v>
      </c>
      <c r="I325">
        <v>72</v>
      </c>
      <c r="K325">
        <v>16</v>
      </c>
      <c r="M325">
        <v>0</v>
      </c>
      <c r="O325">
        <v>0</v>
      </c>
      <c r="S325">
        <v>19</v>
      </c>
      <c r="U325">
        <v>0</v>
      </c>
      <c r="V325">
        <v>0</v>
      </c>
      <c r="W325" s="1">
        <v>44160</v>
      </c>
      <c r="AA325" t="s">
        <v>40</v>
      </c>
      <c r="AC325" t="s">
        <v>40</v>
      </c>
      <c r="AE325" t="s">
        <v>40</v>
      </c>
      <c r="AG325" t="s">
        <v>40</v>
      </c>
      <c r="AH325" t="s">
        <v>40</v>
      </c>
      <c r="AI325" t="s">
        <v>40</v>
      </c>
      <c r="AK325" t="s">
        <v>40</v>
      </c>
    </row>
    <row r="326" spans="1:37" x14ac:dyDescent="0.3">
      <c r="A326">
        <v>2019</v>
      </c>
      <c r="B326">
        <v>3</v>
      </c>
      <c r="C326" t="str">
        <f t="shared" si="10"/>
        <v>3/01/2019</v>
      </c>
      <c r="D326" s="1" t="str">
        <f t="shared" si="11"/>
        <v>3/01/2019</v>
      </c>
      <c r="E326" t="s">
        <v>55</v>
      </c>
      <c r="F326" t="s">
        <v>51</v>
      </c>
      <c r="G326" t="s">
        <v>44</v>
      </c>
      <c r="H326">
        <v>215</v>
      </c>
      <c r="I326">
        <v>177</v>
      </c>
      <c r="K326">
        <v>59</v>
      </c>
      <c r="M326">
        <v>0</v>
      </c>
      <c r="S326">
        <v>41</v>
      </c>
      <c r="T326">
        <v>14</v>
      </c>
      <c r="U326">
        <v>0</v>
      </c>
      <c r="V326">
        <v>0</v>
      </c>
      <c r="W326" s="1">
        <v>44160</v>
      </c>
      <c r="AA326" t="s">
        <v>40</v>
      </c>
      <c r="AC326" t="s">
        <v>40</v>
      </c>
      <c r="AE326" t="s">
        <v>40</v>
      </c>
      <c r="AF326" t="s">
        <v>40</v>
      </c>
      <c r="AG326" t="s">
        <v>40</v>
      </c>
      <c r="AH326" t="s">
        <v>40</v>
      </c>
      <c r="AI326" t="s">
        <v>40</v>
      </c>
    </row>
    <row r="327" spans="1:37" x14ac:dyDescent="0.3">
      <c r="A327">
        <v>2019</v>
      </c>
      <c r="B327">
        <v>3</v>
      </c>
      <c r="C327" t="str">
        <f t="shared" si="10"/>
        <v>3/01/2019</v>
      </c>
      <c r="D327" s="1" t="str">
        <f t="shared" si="11"/>
        <v>3/01/2019</v>
      </c>
      <c r="E327" t="s">
        <v>55</v>
      </c>
      <c r="F327" t="s">
        <v>51</v>
      </c>
      <c r="G327" t="s">
        <v>45</v>
      </c>
      <c r="J327">
        <v>0</v>
      </c>
      <c r="L327">
        <v>0</v>
      </c>
      <c r="M327">
        <v>0</v>
      </c>
      <c r="O327">
        <v>0</v>
      </c>
      <c r="P327">
        <v>0</v>
      </c>
      <c r="Q327">
        <v>0</v>
      </c>
      <c r="S327">
        <v>0</v>
      </c>
      <c r="T327">
        <v>0</v>
      </c>
      <c r="U327">
        <v>0</v>
      </c>
      <c r="V327">
        <v>0</v>
      </c>
      <c r="W327" s="1">
        <v>44160</v>
      </c>
      <c r="Y327" t="s">
        <v>40</v>
      </c>
      <c r="Z327" t="s">
        <v>40</v>
      </c>
      <c r="AB327" t="s">
        <v>40</v>
      </c>
      <c r="AE327" t="s">
        <v>40</v>
      </c>
      <c r="AI327" t="s">
        <v>40</v>
      </c>
    </row>
    <row r="328" spans="1:37" x14ac:dyDescent="0.3">
      <c r="A328">
        <v>2019</v>
      </c>
      <c r="B328">
        <v>3</v>
      </c>
      <c r="C328" t="str">
        <f t="shared" si="10"/>
        <v>3/01/2019</v>
      </c>
      <c r="D328" s="1" t="str">
        <f t="shared" si="11"/>
        <v>3/01/2019</v>
      </c>
      <c r="E328" t="s">
        <v>55</v>
      </c>
      <c r="F328" t="s">
        <v>51</v>
      </c>
      <c r="G328" t="s">
        <v>46</v>
      </c>
      <c r="H328">
        <v>384</v>
      </c>
      <c r="I328">
        <v>357</v>
      </c>
      <c r="K328">
        <v>117</v>
      </c>
      <c r="L328">
        <v>24</v>
      </c>
      <c r="N328">
        <v>11</v>
      </c>
      <c r="S328">
        <v>81</v>
      </c>
      <c r="T328">
        <v>21</v>
      </c>
      <c r="U328">
        <v>0</v>
      </c>
      <c r="V328">
        <v>0</v>
      </c>
      <c r="W328" s="1">
        <v>44160</v>
      </c>
      <c r="AA328" t="s">
        <v>40</v>
      </c>
      <c r="AD328" t="s">
        <v>40</v>
      </c>
      <c r="AF328" t="s">
        <v>40</v>
      </c>
      <c r="AG328" t="s">
        <v>40</v>
      </c>
      <c r="AH328" t="s">
        <v>40</v>
      </c>
      <c r="AI328" t="s">
        <v>40</v>
      </c>
    </row>
    <row r="329" spans="1:37" x14ac:dyDescent="0.3">
      <c r="A329">
        <v>2019</v>
      </c>
      <c r="B329">
        <v>3</v>
      </c>
      <c r="C329" t="str">
        <f t="shared" si="10"/>
        <v>3/01/2019</v>
      </c>
      <c r="D329" s="1" t="str">
        <f t="shared" si="11"/>
        <v>3/01/2019</v>
      </c>
      <c r="E329" t="s">
        <v>55</v>
      </c>
      <c r="F329" t="s">
        <v>51</v>
      </c>
      <c r="G329" t="s">
        <v>47</v>
      </c>
      <c r="H329">
        <v>644</v>
      </c>
      <c r="I329">
        <v>618</v>
      </c>
      <c r="K329">
        <v>192</v>
      </c>
      <c r="L329">
        <v>38</v>
      </c>
      <c r="M329">
        <v>11</v>
      </c>
      <c r="N329">
        <v>19</v>
      </c>
      <c r="O329">
        <v>19</v>
      </c>
      <c r="P329">
        <v>13</v>
      </c>
      <c r="Q329">
        <v>18</v>
      </c>
      <c r="S329">
        <v>154</v>
      </c>
      <c r="T329">
        <v>45</v>
      </c>
      <c r="U329">
        <v>0</v>
      </c>
      <c r="V329">
        <v>0</v>
      </c>
      <c r="W329" s="1">
        <v>44160</v>
      </c>
      <c r="AA329" t="s">
        <v>40</v>
      </c>
      <c r="AI329" t="s">
        <v>40</v>
      </c>
    </row>
    <row r="330" spans="1:37" x14ac:dyDescent="0.3">
      <c r="A330">
        <v>2019</v>
      </c>
      <c r="B330">
        <v>3</v>
      </c>
      <c r="C330" t="str">
        <f t="shared" si="10"/>
        <v>3/01/2019</v>
      </c>
      <c r="D330" s="1" t="str">
        <f t="shared" si="11"/>
        <v>3/01/2019</v>
      </c>
      <c r="E330" t="s">
        <v>55</v>
      </c>
      <c r="F330" t="s">
        <v>51</v>
      </c>
      <c r="G330" t="s">
        <v>48</v>
      </c>
      <c r="H330">
        <v>850</v>
      </c>
      <c r="I330">
        <v>820</v>
      </c>
      <c r="K330">
        <v>218</v>
      </c>
      <c r="L330">
        <v>27</v>
      </c>
      <c r="M330">
        <v>23</v>
      </c>
      <c r="N330">
        <v>29</v>
      </c>
      <c r="O330">
        <v>36</v>
      </c>
      <c r="P330">
        <v>16</v>
      </c>
      <c r="Q330">
        <v>31</v>
      </c>
      <c r="S330">
        <v>209</v>
      </c>
      <c r="T330">
        <v>70</v>
      </c>
      <c r="U330">
        <v>0</v>
      </c>
      <c r="V330">
        <v>0</v>
      </c>
      <c r="W330" s="1">
        <v>44160</v>
      </c>
      <c r="AA330" t="s">
        <v>40</v>
      </c>
      <c r="AI330" t="s">
        <v>40</v>
      </c>
    </row>
    <row r="331" spans="1:37" x14ac:dyDescent="0.3">
      <c r="A331">
        <v>2019</v>
      </c>
      <c r="B331">
        <v>3</v>
      </c>
      <c r="C331" t="str">
        <f t="shared" si="10"/>
        <v>3/01/2019</v>
      </c>
      <c r="D331" s="1" t="str">
        <f t="shared" si="11"/>
        <v>3/01/2019</v>
      </c>
      <c r="E331" t="s">
        <v>55</v>
      </c>
      <c r="F331" t="s">
        <v>51</v>
      </c>
      <c r="G331" t="s">
        <v>49</v>
      </c>
      <c r="H331">
        <v>918</v>
      </c>
      <c r="I331">
        <v>889</v>
      </c>
      <c r="K331">
        <v>119</v>
      </c>
      <c r="L331">
        <v>33</v>
      </c>
      <c r="M331">
        <v>55</v>
      </c>
      <c r="N331">
        <v>52</v>
      </c>
      <c r="O331">
        <v>52</v>
      </c>
      <c r="P331">
        <v>12</v>
      </c>
      <c r="Q331">
        <v>22</v>
      </c>
      <c r="S331">
        <v>248</v>
      </c>
      <c r="T331">
        <v>66</v>
      </c>
      <c r="U331">
        <v>0</v>
      </c>
      <c r="V331">
        <v>0</v>
      </c>
      <c r="W331" s="1">
        <v>44160</v>
      </c>
      <c r="AA331" t="s">
        <v>40</v>
      </c>
      <c r="AI331" t="s">
        <v>40</v>
      </c>
    </row>
    <row r="332" spans="1:37" x14ac:dyDescent="0.3">
      <c r="A332">
        <v>2019</v>
      </c>
      <c r="B332">
        <v>3</v>
      </c>
      <c r="C332" t="str">
        <f t="shared" si="10"/>
        <v>3/01/2019</v>
      </c>
      <c r="D332" s="1" t="str">
        <f t="shared" si="11"/>
        <v>3/01/2019</v>
      </c>
      <c r="E332" t="s">
        <v>55</v>
      </c>
      <c r="F332" t="s">
        <v>52</v>
      </c>
      <c r="G332" t="s">
        <v>39</v>
      </c>
      <c r="H332">
        <v>325</v>
      </c>
      <c r="I332">
        <v>289</v>
      </c>
      <c r="L332">
        <v>0</v>
      </c>
      <c r="M332">
        <v>0</v>
      </c>
      <c r="O332">
        <v>0</v>
      </c>
      <c r="Q332">
        <v>0</v>
      </c>
      <c r="R332">
        <v>42</v>
      </c>
      <c r="U332">
        <v>0</v>
      </c>
      <c r="V332">
        <v>0</v>
      </c>
      <c r="W332" s="1">
        <v>44160</v>
      </c>
      <c r="AA332" t="s">
        <v>40</v>
      </c>
      <c r="AB332" t="s">
        <v>40</v>
      </c>
      <c r="AE332" t="s">
        <v>40</v>
      </c>
      <c r="AG332" t="s">
        <v>40</v>
      </c>
      <c r="AJ332" t="s">
        <v>40</v>
      </c>
      <c r="AK332" t="s">
        <v>40</v>
      </c>
    </row>
    <row r="333" spans="1:37" x14ac:dyDescent="0.3">
      <c r="A333">
        <v>2019</v>
      </c>
      <c r="B333">
        <v>3</v>
      </c>
      <c r="C333" t="str">
        <f t="shared" si="10"/>
        <v>3/01/2019</v>
      </c>
      <c r="D333" s="1" t="str">
        <f t="shared" si="11"/>
        <v>3/01/2019</v>
      </c>
      <c r="E333" t="s">
        <v>55</v>
      </c>
      <c r="F333" t="s">
        <v>52</v>
      </c>
      <c r="G333" t="s">
        <v>41</v>
      </c>
      <c r="H333">
        <v>443</v>
      </c>
      <c r="I333">
        <v>104</v>
      </c>
      <c r="K333">
        <v>16</v>
      </c>
      <c r="M333">
        <v>0</v>
      </c>
      <c r="S333">
        <v>24</v>
      </c>
      <c r="U333">
        <v>0</v>
      </c>
      <c r="V333">
        <v>0</v>
      </c>
      <c r="W333" s="1">
        <v>44160</v>
      </c>
      <c r="AA333" t="s">
        <v>40</v>
      </c>
      <c r="AC333" t="s">
        <v>40</v>
      </c>
      <c r="AE333" t="s">
        <v>40</v>
      </c>
      <c r="AF333" t="s">
        <v>40</v>
      </c>
      <c r="AG333" t="s">
        <v>40</v>
      </c>
      <c r="AH333" t="s">
        <v>40</v>
      </c>
      <c r="AI333" t="s">
        <v>40</v>
      </c>
      <c r="AK333" t="s">
        <v>40</v>
      </c>
    </row>
    <row r="334" spans="1:37" x14ac:dyDescent="0.3">
      <c r="A334">
        <v>2019</v>
      </c>
      <c r="B334">
        <v>3</v>
      </c>
      <c r="C334" t="str">
        <f t="shared" si="10"/>
        <v>3/01/2019</v>
      </c>
      <c r="D334" s="1" t="str">
        <f t="shared" si="11"/>
        <v>3/01/2019</v>
      </c>
      <c r="E334" t="s">
        <v>55</v>
      </c>
      <c r="F334" t="s">
        <v>52</v>
      </c>
      <c r="G334" t="s">
        <v>42</v>
      </c>
      <c r="H334">
        <v>706</v>
      </c>
      <c r="I334">
        <v>232</v>
      </c>
      <c r="K334">
        <v>21</v>
      </c>
      <c r="L334">
        <v>13</v>
      </c>
      <c r="M334">
        <v>0</v>
      </c>
      <c r="R334">
        <v>13</v>
      </c>
      <c r="S334">
        <v>66</v>
      </c>
      <c r="T334">
        <v>14</v>
      </c>
      <c r="U334">
        <v>0</v>
      </c>
      <c r="V334">
        <v>0</v>
      </c>
      <c r="W334" s="1">
        <v>44160</v>
      </c>
      <c r="AA334" t="s">
        <v>40</v>
      </c>
      <c r="AE334" t="s">
        <v>40</v>
      </c>
      <c r="AF334" t="s">
        <v>40</v>
      </c>
      <c r="AG334" t="s">
        <v>40</v>
      </c>
      <c r="AH334" t="s">
        <v>40</v>
      </c>
    </row>
    <row r="335" spans="1:37" x14ac:dyDescent="0.3">
      <c r="A335">
        <v>2019</v>
      </c>
      <c r="B335">
        <v>3</v>
      </c>
      <c r="C335" t="str">
        <f t="shared" si="10"/>
        <v>3/01/2019</v>
      </c>
      <c r="D335" s="1" t="str">
        <f t="shared" si="11"/>
        <v>3/01/2019</v>
      </c>
      <c r="E335" t="s">
        <v>55</v>
      </c>
      <c r="F335" t="s">
        <v>52</v>
      </c>
      <c r="G335" t="s">
        <v>43</v>
      </c>
      <c r="H335">
        <v>915</v>
      </c>
      <c r="I335">
        <v>538</v>
      </c>
      <c r="J335">
        <v>12</v>
      </c>
      <c r="K335">
        <v>64</v>
      </c>
      <c r="L335">
        <v>35</v>
      </c>
      <c r="M335">
        <v>0</v>
      </c>
      <c r="N335">
        <v>15</v>
      </c>
      <c r="Q335">
        <v>14</v>
      </c>
      <c r="R335">
        <v>15</v>
      </c>
      <c r="S335">
        <v>178</v>
      </c>
      <c r="T335">
        <v>17</v>
      </c>
      <c r="U335">
        <v>0</v>
      </c>
      <c r="V335">
        <v>0</v>
      </c>
      <c r="W335" s="1">
        <v>44160</v>
      </c>
      <c r="AF335" t="s">
        <v>40</v>
      </c>
      <c r="AG335" t="s">
        <v>40</v>
      </c>
    </row>
    <row r="336" spans="1:37" x14ac:dyDescent="0.3">
      <c r="A336">
        <v>2019</v>
      </c>
      <c r="B336">
        <v>3</v>
      </c>
      <c r="C336" t="str">
        <f t="shared" si="10"/>
        <v>3/01/2019</v>
      </c>
      <c r="D336" s="1" t="str">
        <f t="shared" si="11"/>
        <v>3/01/2019</v>
      </c>
      <c r="E336" t="s">
        <v>55</v>
      </c>
      <c r="F336" t="s">
        <v>52</v>
      </c>
      <c r="G336" t="s">
        <v>44</v>
      </c>
      <c r="H336" s="2">
        <v>1597</v>
      </c>
      <c r="I336" s="2">
        <v>1299</v>
      </c>
      <c r="J336">
        <v>32</v>
      </c>
      <c r="K336">
        <v>243</v>
      </c>
      <c r="L336">
        <v>104</v>
      </c>
      <c r="M336">
        <v>0</v>
      </c>
      <c r="N336">
        <v>34</v>
      </c>
      <c r="O336">
        <v>29</v>
      </c>
      <c r="P336">
        <v>17</v>
      </c>
      <c r="Q336">
        <v>38</v>
      </c>
      <c r="R336">
        <v>14</v>
      </c>
      <c r="S336">
        <v>402</v>
      </c>
      <c r="T336">
        <v>65</v>
      </c>
      <c r="U336">
        <v>0</v>
      </c>
      <c r="V336">
        <v>0</v>
      </c>
      <c r="W336" s="1">
        <v>44160</v>
      </c>
    </row>
    <row r="337" spans="1:37" x14ac:dyDescent="0.3">
      <c r="A337">
        <v>2019</v>
      </c>
      <c r="B337">
        <v>3</v>
      </c>
      <c r="C337" t="str">
        <f t="shared" si="10"/>
        <v>3/01/2019</v>
      </c>
      <c r="D337" s="1" t="str">
        <f t="shared" si="11"/>
        <v>3/01/2019</v>
      </c>
      <c r="E337" t="s">
        <v>55</v>
      </c>
      <c r="F337" t="s">
        <v>52</v>
      </c>
      <c r="G337" t="s">
        <v>45</v>
      </c>
      <c r="H337">
        <v>70</v>
      </c>
      <c r="I337">
        <v>39</v>
      </c>
      <c r="K337">
        <v>12</v>
      </c>
      <c r="L337">
        <v>0</v>
      </c>
      <c r="M337">
        <v>0</v>
      </c>
      <c r="P337">
        <v>0</v>
      </c>
      <c r="Q337">
        <v>0</v>
      </c>
      <c r="T337">
        <v>0</v>
      </c>
      <c r="U337">
        <v>0</v>
      </c>
      <c r="V337">
        <v>0</v>
      </c>
      <c r="W337" s="1">
        <v>44160</v>
      </c>
      <c r="AA337" t="s">
        <v>40</v>
      </c>
      <c r="AE337" t="s">
        <v>40</v>
      </c>
      <c r="AF337" t="s">
        <v>40</v>
      </c>
      <c r="AI337" t="s">
        <v>40</v>
      </c>
      <c r="AJ337" t="s">
        <v>40</v>
      </c>
    </row>
    <row r="338" spans="1:37" x14ac:dyDescent="0.3">
      <c r="A338">
        <v>2019</v>
      </c>
      <c r="B338">
        <v>3</v>
      </c>
      <c r="C338" t="str">
        <f t="shared" si="10"/>
        <v>3/01/2019</v>
      </c>
      <c r="D338" s="1" t="str">
        <f t="shared" si="11"/>
        <v>3/01/2019</v>
      </c>
      <c r="E338" t="s">
        <v>55</v>
      </c>
      <c r="F338" t="s">
        <v>52</v>
      </c>
      <c r="G338" t="s">
        <v>46</v>
      </c>
      <c r="H338" s="2">
        <v>3261</v>
      </c>
      <c r="I338" s="2">
        <v>2927</v>
      </c>
      <c r="J338">
        <v>60</v>
      </c>
      <c r="K338">
        <v>766</v>
      </c>
      <c r="L338">
        <v>164</v>
      </c>
      <c r="N338">
        <v>61</v>
      </c>
      <c r="O338">
        <v>119</v>
      </c>
      <c r="P338">
        <v>43</v>
      </c>
      <c r="Q338">
        <v>79</v>
      </c>
      <c r="R338">
        <v>24</v>
      </c>
      <c r="S338">
        <v>866</v>
      </c>
      <c r="T338">
        <v>156</v>
      </c>
      <c r="U338">
        <v>0</v>
      </c>
      <c r="V338">
        <v>0</v>
      </c>
      <c r="W338" s="1">
        <v>44160</v>
      </c>
      <c r="AD338" t="s">
        <v>40</v>
      </c>
    </row>
    <row r="339" spans="1:37" x14ac:dyDescent="0.3">
      <c r="A339">
        <v>2019</v>
      </c>
      <c r="B339">
        <v>3</v>
      </c>
      <c r="C339" t="str">
        <f t="shared" si="10"/>
        <v>3/01/2019</v>
      </c>
      <c r="D339" s="1" t="str">
        <f t="shared" si="11"/>
        <v>3/01/2019</v>
      </c>
      <c r="E339" t="s">
        <v>55</v>
      </c>
      <c r="F339" t="s">
        <v>52</v>
      </c>
      <c r="G339" t="s">
        <v>47</v>
      </c>
      <c r="H339" s="2">
        <v>3799</v>
      </c>
      <c r="I339" s="2">
        <v>3610</v>
      </c>
      <c r="J339">
        <v>68</v>
      </c>
      <c r="K339">
        <v>993</v>
      </c>
      <c r="L339">
        <v>193</v>
      </c>
      <c r="M339">
        <v>24</v>
      </c>
      <c r="N339">
        <v>72</v>
      </c>
      <c r="O339">
        <v>180</v>
      </c>
      <c r="P339">
        <v>54</v>
      </c>
      <c r="Q339">
        <v>116</v>
      </c>
      <c r="R339">
        <v>26</v>
      </c>
      <c r="S339" s="2">
        <v>1035</v>
      </c>
      <c r="T339">
        <v>206</v>
      </c>
      <c r="U339">
        <v>0</v>
      </c>
      <c r="V339">
        <v>0</v>
      </c>
      <c r="W339" s="1">
        <v>44160</v>
      </c>
    </row>
    <row r="340" spans="1:37" x14ac:dyDescent="0.3">
      <c r="A340">
        <v>2019</v>
      </c>
      <c r="B340">
        <v>3</v>
      </c>
      <c r="C340" t="str">
        <f t="shared" si="10"/>
        <v>3/01/2019</v>
      </c>
      <c r="D340" s="1" t="str">
        <f t="shared" si="11"/>
        <v>3/01/2019</v>
      </c>
      <c r="E340" t="s">
        <v>55</v>
      </c>
      <c r="F340" t="s">
        <v>52</v>
      </c>
      <c r="G340" t="s">
        <v>48</v>
      </c>
      <c r="H340" s="2">
        <v>2912</v>
      </c>
      <c r="I340" s="2">
        <v>2846</v>
      </c>
      <c r="J340">
        <v>66</v>
      </c>
      <c r="K340">
        <v>652</v>
      </c>
      <c r="L340">
        <v>156</v>
      </c>
      <c r="M340">
        <v>95</v>
      </c>
      <c r="N340">
        <v>60</v>
      </c>
      <c r="O340">
        <v>137</v>
      </c>
      <c r="P340">
        <v>45</v>
      </c>
      <c r="Q340">
        <v>103</v>
      </c>
      <c r="R340">
        <v>20</v>
      </c>
      <c r="S340">
        <v>762</v>
      </c>
      <c r="T340">
        <v>199</v>
      </c>
      <c r="U340">
        <v>0</v>
      </c>
      <c r="V340">
        <v>0</v>
      </c>
      <c r="W340" s="1">
        <v>44160</v>
      </c>
    </row>
    <row r="341" spans="1:37" x14ac:dyDescent="0.3">
      <c r="A341">
        <v>2019</v>
      </c>
      <c r="B341">
        <v>3</v>
      </c>
      <c r="C341" t="str">
        <f t="shared" si="10"/>
        <v>3/01/2019</v>
      </c>
      <c r="D341" s="1" t="str">
        <f t="shared" si="11"/>
        <v>3/01/2019</v>
      </c>
      <c r="E341" t="s">
        <v>55</v>
      </c>
      <c r="F341" t="s">
        <v>52</v>
      </c>
      <c r="G341" t="s">
        <v>49</v>
      </c>
      <c r="H341" s="2">
        <v>1935</v>
      </c>
      <c r="I341" s="2">
        <v>1900</v>
      </c>
      <c r="J341">
        <v>39</v>
      </c>
      <c r="K341">
        <v>338</v>
      </c>
      <c r="L341">
        <v>45</v>
      </c>
      <c r="M341">
        <v>113</v>
      </c>
      <c r="N341">
        <v>44</v>
      </c>
      <c r="O341">
        <v>71</v>
      </c>
      <c r="P341">
        <v>20</v>
      </c>
      <c r="Q341">
        <v>49</v>
      </c>
      <c r="R341">
        <v>18</v>
      </c>
      <c r="S341">
        <v>565</v>
      </c>
      <c r="T341">
        <v>133</v>
      </c>
      <c r="U341">
        <v>0</v>
      </c>
      <c r="V341">
        <v>0</v>
      </c>
      <c r="W341" s="1">
        <v>44160</v>
      </c>
    </row>
    <row r="342" spans="1:37" x14ac:dyDescent="0.3">
      <c r="A342">
        <v>2019</v>
      </c>
      <c r="B342">
        <v>3</v>
      </c>
      <c r="C342" t="str">
        <f t="shared" si="10"/>
        <v>3/01/2019</v>
      </c>
      <c r="D342" s="1" t="str">
        <f t="shared" si="11"/>
        <v>3/01/2019</v>
      </c>
      <c r="E342" t="s">
        <v>55</v>
      </c>
      <c r="F342" t="s">
        <v>53</v>
      </c>
      <c r="G342" t="s">
        <v>39</v>
      </c>
      <c r="H342">
        <v>462</v>
      </c>
      <c r="I342">
        <v>398</v>
      </c>
      <c r="L342">
        <v>0</v>
      </c>
      <c r="M342">
        <v>0</v>
      </c>
      <c r="R342">
        <v>58</v>
      </c>
      <c r="U342">
        <v>0</v>
      </c>
      <c r="V342">
        <v>0</v>
      </c>
      <c r="W342" s="1">
        <v>44160</v>
      </c>
      <c r="AA342" t="s">
        <v>40</v>
      </c>
      <c r="AB342" t="s">
        <v>40</v>
      </c>
      <c r="AE342" t="s">
        <v>40</v>
      </c>
      <c r="AF342" t="s">
        <v>40</v>
      </c>
      <c r="AG342" t="s">
        <v>40</v>
      </c>
      <c r="AH342" t="s">
        <v>40</v>
      </c>
      <c r="AJ342" t="s">
        <v>40</v>
      </c>
      <c r="AK342" t="s">
        <v>40</v>
      </c>
    </row>
    <row r="343" spans="1:37" x14ac:dyDescent="0.3">
      <c r="A343">
        <v>2019</v>
      </c>
      <c r="B343">
        <v>3</v>
      </c>
      <c r="C343" t="str">
        <f t="shared" si="10"/>
        <v>3/01/2019</v>
      </c>
      <c r="D343" s="1" t="str">
        <f t="shared" si="11"/>
        <v>3/01/2019</v>
      </c>
      <c r="E343" t="s">
        <v>55</v>
      </c>
      <c r="F343" t="s">
        <v>53</v>
      </c>
      <c r="G343" t="s">
        <v>41</v>
      </c>
      <c r="H343">
        <v>884</v>
      </c>
      <c r="I343">
        <v>164</v>
      </c>
      <c r="K343">
        <v>37</v>
      </c>
      <c r="M343">
        <v>0</v>
      </c>
      <c r="O343">
        <v>0</v>
      </c>
      <c r="S343">
        <v>24</v>
      </c>
      <c r="U343">
        <v>0</v>
      </c>
      <c r="V343">
        <v>0</v>
      </c>
      <c r="W343" s="1">
        <v>44160</v>
      </c>
      <c r="AA343" t="s">
        <v>40</v>
      </c>
      <c r="AC343" t="s">
        <v>40</v>
      </c>
      <c r="AE343" t="s">
        <v>40</v>
      </c>
      <c r="AG343" t="s">
        <v>40</v>
      </c>
      <c r="AH343" t="s">
        <v>40</v>
      </c>
      <c r="AI343" t="s">
        <v>40</v>
      </c>
      <c r="AK343" t="s">
        <v>40</v>
      </c>
    </row>
    <row r="344" spans="1:37" x14ac:dyDescent="0.3">
      <c r="A344">
        <v>2019</v>
      </c>
      <c r="B344">
        <v>3</v>
      </c>
      <c r="C344" t="str">
        <f t="shared" si="10"/>
        <v>3/01/2019</v>
      </c>
      <c r="D344" s="1" t="str">
        <f t="shared" si="11"/>
        <v>3/01/2019</v>
      </c>
      <c r="E344" t="s">
        <v>55</v>
      </c>
      <c r="F344" t="s">
        <v>53</v>
      </c>
      <c r="G344" t="s">
        <v>42</v>
      </c>
      <c r="H344" s="2">
        <v>2032</v>
      </c>
      <c r="I344">
        <v>517</v>
      </c>
      <c r="K344">
        <v>97</v>
      </c>
      <c r="L344">
        <v>36</v>
      </c>
      <c r="M344">
        <v>0</v>
      </c>
      <c r="N344">
        <v>18</v>
      </c>
      <c r="P344">
        <v>11</v>
      </c>
      <c r="R344">
        <v>22</v>
      </c>
      <c r="S344">
        <v>100</v>
      </c>
      <c r="T344">
        <v>10</v>
      </c>
      <c r="U344">
        <v>0</v>
      </c>
      <c r="V344">
        <v>0</v>
      </c>
      <c r="W344" s="1">
        <v>44160</v>
      </c>
      <c r="AA344" t="s">
        <v>40</v>
      </c>
      <c r="AF344" t="s">
        <v>40</v>
      </c>
      <c r="AH344" t="s">
        <v>40</v>
      </c>
    </row>
    <row r="345" spans="1:37" x14ac:dyDescent="0.3">
      <c r="A345">
        <v>2019</v>
      </c>
      <c r="B345">
        <v>3</v>
      </c>
      <c r="C345" t="str">
        <f t="shared" si="10"/>
        <v>3/01/2019</v>
      </c>
      <c r="D345" s="1" t="str">
        <f t="shared" si="11"/>
        <v>3/01/2019</v>
      </c>
      <c r="E345" t="s">
        <v>55</v>
      </c>
      <c r="F345" t="s">
        <v>53</v>
      </c>
      <c r="G345" t="s">
        <v>43</v>
      </c>
      <c r="H345" s="2">
        <v>2690</v>
      </c>
      <c r="I345" s="2">
        <v>1262</v>
      </c>
      <c r="J345">
        <v>27</v>
      </c>
      <c r="K345">
        <v>221</v>
      </c>
      <c r="L345">
        <v>60</v>
      </c>
      <c r="M345">
        <v>0</v>
      </c>
      <c r="N345">
        <v>46</v>
      </c>
      <c r="O345">
        <v>25</v>
      </c>
      <c r="P345">
        <v>11</v>
      </c>
      <c r="Q345">
        <v>16</v>
      </c>
      <c r="R345">
        <v>32</v>
      </c>
      <c r="S345">
        <v>339</v>
      </c>
      <c r="T345">
        <v>42</v>
      </c>
      <c r="U345">
        <v>0</v>
      </c>
      <c r="V345">
        <v>0</v>
      </c>
      <c r="W345" s="1">
        <v>44160</v>
      </c>
    </row>
    <row r="346" spans="1:37" x14ac:dyDescent="0.3">
      <c r="A346">
        <v>2019</v>
      </c>
      <c r="B346">
        <v>3</v>
      </c>
      <c r="C346" t="str">
        <f t="shared" si="10"/>
        <v>3/01/2019</v>
      </c>
      <c r="D346" s="1" t="str">
        <f t="shared" si="11"/>
        <v>3/01/2019</v>
      </c>
      <c r="E346" t="s">
        <v>55</v>
      </c>
      <c r="F346" t="s">
        <v>53</v>
      </c>
      <c r="G346" t="s">
        <v>44</v>
      </c>
      <c r="H346" s="2">
        <v>5514</v>
      </c>
      <c r="I346" s="2">
        <v>4207</v>
      </c>
      <c r="J346">
        <v>68</v>
      </c>
      <c r="K346" s="2">
        <v>1023</v>
      </c>
      <c r="L346">
        <v>192</v>
      </c>
      <c r="N346">
        <v>104</v>
      </c>
      <c r="O346">
        <v>130</v>
      </c>
      <c r="P346">
        <v>37</v>
      </c>
      <c r="Q346">
        <v>50</v>
      </c>
      <c r="R346">
        <v>47</v>
      </c>
      <c r="S346" s="2">
        <v>1242</v>
      </c>
      <c r="T346">
        <v>148</v>
      </c>
      <c r="U346">
        <v>0</v>
      </c>
      <c r="V346">
        <v>0</v>
      </c>
      <c r="W346" s="1">
        <v>44160</v>
      </c>
      <c r="AD346" t="s">
        <v>40</v>
      </c>
    </row>
    <row r="347" spans="1:37" x14ac:dyDescent="0.3">
      <c r="A347">
        <v>2019</v>
      </c>
      <c r="B347">
        <v>3</v>
      </c>
      <c r="C347" t="str">
        <f t="shared" si="10"/>
        <v>3/01/2019</v>
      </c>
      <c r="D347" s="1" t="str">
        <f t="shared" si="11"/>
        <v>3/01/2019</v>
      </c>
      <c r="E347" t="s">
        <v>55</v>
      </c>
      <c r="F347" t="s">
        <v>53</v>
      </c>
      <c r="G347" t="s">
        <v>45</v>
      </c>
      <c r="H347">
        <v>118</v>
      </c>
      <c r="I347">
        <v>68</v>
      </c>
      <c r="M347">
        <v>0</v>
      </c>
      <c r="Q347">
        <v>0</v>
      </c>
      <c r="U347">
        <v>0</v>
      </c>
      <c r="V347">
        <v>0</v>
      </c>
      <c r="W347" s="1">
        <v>44160</v>
      </c>
      <c r="AA347" t="s">
        <v>40</v>
      </c>
      <c r="AB347" t="s">
        <v>40</v>
      </c>
      <c r="AC347" t="s">
        <v>40</v>
      </c>
      <c r="AE347" t="s">
        <v>40</v>
      </c>
      <c r="AF347" t="s">
        <v>40</v>
      </c>
      <c r="AG347" t="s">
        <v>40</v>
      </c>
      <c r="AI347" t="s">
        <v>40</v>
      </c>
      <c r="AJ347" t="s">
        <v>40</v>
      </c>
      <c r="AK347" t="s">
        <v>40</v>
      </c>
    </row>
    <row r="348" spans="1:37" x14ac:dyDescent="0.3">
      <c r="A348">
        <v>2019</v>
      </c>
      <c r="B348">
        <v>3</v>
      </c>
      <c r="C348" t="str">
        <f t="shared" si="10"/>
        <v>3/01/2019</v>
      </c>
      <c r="D348" s="1" t="str">
        <f t="shared" si="11"/>
        <v>3/01/2019</v>
      </c>
      <c r="E348" t="s">
        <v>55</v>
      </c>
      <c r="F348" t="s">
        <v>53</v>
      </c>
      <c r="G348" t="s">
        <v>46</v>
      </c>
      <c r="H348" s="2">
        <v>14253</v>
      </c>
      <c r="I348" s="2">
        <v>12644</v>
      </c>
      <c r="J348">
        <v>180</v>
      </c>
      <c r="K348" s="2">
        <v>3756</v>
      </c>
      <c r="L348">
        <v>554</v>
      </c>
      <c r="M348">
        <v>34</v>
      </c>
      <c r="N348">
        <v>273</v>
      </c>
      <c r="O348">
        <v>763</v>
      </c>
      <c r="P348">
        <v>178</v>
      </c>
      <c r="Q348">
        <v>170</v>
      </c>
      <c r="R348">
        <v>128</v>
      </c>
      <c r="S348" s="2">
        <v>3502</v>
      </c>
      <c r="T348">
        <v>395</v>
      </c>
      <c r="U348">
        <v>0</v>
      </c>
      <c r="V348">
        <v>0</v>
      </c>
      <c r="W348" s="1">
        <v>44160</v>
      </c>
    </row>
    <row r="349" spans="1:37" x14ac:dyDescent="0.3">
      <c r="A349">
        <v>2019</v>
      </c>
      <c r="B349">
        <v>3</v>
      </c>
      <c r="C349" t="str">
        <f t="shared" si="10"/>
        <v>3/01/2019</v>
      </c>
      <c r="D349" s="1" t="str">
        <f t="shared" si="11"/>
        <v>3/01/2019</v>
      </c>
      <c r="E349" t="s">
        <v>55</v>
      </c>
      <c r="F349" t="s">
        <v>53</v>
      </c>
      <c r="G349" t="s">
        <v>47</v>
      </c>
      <c r="H349" s="2">
        <v>21840</v>
      </c>
      <c r="I349" s="2">
        <v>20713</v>
      </c>
      <c r="J349">
        <v>278</v>
      </c>
      <c r="K349" s="2">
        <v>6275</v>
      </c>
      <c r="L349">
        <v>861</v>
      </c>
      <c r="M349">
        <v>226</v>
      </c>
      <c r="N349">
        <v>450</v>
      </c>
      <c r="O349" s="2">
        <v>1714</v>
      </c>
      <c r="P349">
        <v>407</v>
      </c>
      <c r="Q349">
        <v>345</v>
      </c>
      <c r="R349">
        <v>148</v>
      </c>
      <c r="S349" s="2">
        <v>5405</v>
      </c>
      <c r="T349">
        <v>821</v>
      </c>
      <c r="U349">
        <v>0</v>
      </c>
      <c r="V349">
        <v>0</v>
      </c>
      <c r="W349" s="1">
        <v>44160</v>
      </c>
    </row>
    <row r="350" spans="1:37" x14ac:dyDescent="0.3">
      <c r="A350">
        <v>2019</v>
      </c>
      <c r="B350">
        <v>3</v>
      </c>
      <c r="C350" t="str">
        <f t="shared" si="10"/>
        <v>3/01/2019</v>
      </c>
      <c r="D350" s="1" t="str">
        <f t="shared" si="11"/>
        <v>3/01/2019</v>
      </c>
      <c r="E350" t="s">
        <v>55</v>
      </c>
      <c r="F350" t="s">
        <v>53</v>
      </c>
      <c r="G350" t="s">
        <v>48</v>
      </c>
      <c r="H350" s="2">
        <v>25654</v>
      </c>
      <c r="I350" s="2">
        <v>24684</v>
      </c>
      <c r="J350">
        <v>343</v>
      </c>
      <c r="K350" s="2">
        <v>6008</v>
      </c>
      <c r="L350">
        <v>790</v>
      </c>
      <c r="M350">
        <v>936</v>
      </c>
      <c r="N350">
        <v>610</v>
      </c>
      <c r="O350" s="2">
        <v>2065</v>
      </c>
      <c r="P350">
        <v>571</v>
      </c>
      <c r="Q350">
        <v>502</v>
      </c>
      <c r="R350">
        <v>166</v>
      </c>
      <c r="S350" s="2">
        <v>6478</v>
      </c>
      <c r="T350" s="2">
        <v>1297</v>
      </c>
      <c r="U350">
        <v>0</v>
      </c>
      <c r="V350">
        <v>0</v>
      </c>
      <c r="W350" s="1">
        <v>44160</v>
      </c>
    </row>
    <row r="351" spans="1:37" x14ac:dyDescent="0.3">
      <c r="A351">
        <v>2019</v>
      </c>
      <c r="B351">
        <v>3</v>
      </c>
      <c r="C351" t="str">
        <f t="shared" si="10"/>
        <v>3/01/2019</v>
      </c>
      <c r="D351" s="1" t="str">
        <f t="shared" si="11"/>
        <v>3/01/2019</v>
      </c>
      <c r="E351" t="s">
        <v>55</v>
      </c>
      <c r="F351" t="s">
        <v>53</v>
      </c>
      <c r="G351" t="s">
        <v>49</v>
      </c>
      <c r="H351" s="2">
        <v>26170</v>
      </c>
      <c r="I351" s="2">
        <v>25251</v>
      </c>
      <c r="J351">
        <v>364</v>
      </c>
      <c r="K351" s="2">
        <v>3608</v>
      </c>
      <c r="L351">
        <v>509</v>
      </c>
      <c r="M351" s="2">
        <v>1663</v>
      </c>
      <c r="N351">
        <v>802</v>
      </c>
      <c r="O351" s="2">
        <v>1366</v>
      </c>
      <c r="P351">
        <v>461</v>
      </c>
      <c r="Q351">
        <v>576</v>
      </c>
      <c r="R351">
        <v>283</v>
      </c>
      <c r="S351" s="2">
        <v>8142</v>
      </c>
      <c r="T351" s="2">
        <v>1460</v>
      </c>
      <c r="U351">
        <v>0</v>
      </c>
      <c r="V351">
        <v>0</v>
      </c>
      <c r="W351" s="1">
        <v>44160</v>
      </c>
    </row>
    <row r="352" spans="1:37" x14ac:dyDescent="0.3">
      <c r="A352">
        <v>2019</v>
      </c>
      <c r="B352">
        <v>3</v>
      </c>
      <c r="C352" t="str">
        <f t="shared" si="10"/>
        <v>3/01/2019</v>
      </c>
      <c r="D352" s="1" t="str">
        <f t="shared" si="11"/>
        <v>3/01/2019</v>
      </c>
      <c r="E352" t="s">
        <v>55</v>
      </c>
      <c r="F352" t="s">
        <v>54</v>
      </c>
      <c r="G352" t="s">
        <v>39</v>
      </c>
      <c r="H352">
        <v>59</v>
      </c>
      <c r="I352">
        <v>57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12</v>
      </c>
      <c r="T352">
        <v>0</v>
      </c>
      <c r="U352">
        <v>0</v>
      </c>
      <c r="V352">
        <v>0</v>
      </c>
      <c r="W352" s="1">
        <v>44160</v>
      </c>
      <c r="AJ352" t="s">
        <v>40</v>
      </c>
    </row>
    <row r="353" spans="1:37" x14ac:dyDescent="0.3">
      <c r="A353">
        <v>2019</v>
      </c>
      <c r="B353">
        <v>3</v>
      </c>
      <c r="C353" t="str">
        <f t="shared" si="10"/>
        <v>3/01/2019</v>
      </c>
      <c r="D353" s="1" t="str">
        <f t="shared" si="11"/>
        <v>3/01/2019</v>
      </c>
      <c r="E353" t="s">
        <v>55</v>
      </c>
      <c r="F353" t="s">
        <v>54</v>
      </c>
      <c r="G353" t="s">
        <v>41</v>
      </c>
      <c r="H353">
        <v>41</v>
      </c>
      <c r="J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 s="1">
        <v>44160</v>
      </c>
      <c r="Z353" t="s">
        <v>40</v>
      </c>
      <c r="AB353" t="s">
        <v>40</v>
      </c>
    </row>
    <row r="354" spans="1:37" x14ac:dyDescent="0.3">
      <c r="A354">
        <v>2019</v>
      </c>
      <c r="B354">
        <v>3</v>
      </c>
      <c r="C354" t="str">
        <f t="shared" si="10"/>
        <v>3/01/2019</v>
      </c>
      <c r="D354" s="1" t="str">
        <f t="shared" si="11"/>
        <v>3/01/2019</v>
      </c>
      <c r="E354" t="s">
        <v>55</v>
      </c>
      <c r="F354" t="s">
        <v>54</v>
      </c>
      <c r="G354" t="s">
        <v>42</v>
      </c>
      <c r="H354">
        <v>49</v>
      </c>
      <c r="I354">
        <v>17</v>
      </c>
      <c r="J354">
        <v>0</v>
      </c>
      <c r="M354">
        <v>0</v>
      </c>
      <c r="O354">
        <v>0</v>
      </c>
      <c r="P354">
        <v>0</v>
      </c>
      <c r="R354">
        <v>0</v>
      </c>
      <c r="T354">
        <v>0</v>
      </c>
      <c r="U354">
        <v>0</v>
      </c>
      <c r="V354">
        <v>0</v>
      </c>
      <c r="W354" s="1">
        <v>44160</v>
      </c>
      <c r="AB354" t="s">
        <v>40</v>
      </c>
      <c r="AC354" t="s">
        <v>40</v>
      </c>
      <c r="AE354" t="s">
        <v>40</v>
      </c>
      <c r="AH354" t="s">
        <v>40</v>
      </c>
      <c r="AJ354" t="s">
        <v>40</v>
      </c>
    </row>
    <row r="355" spans="1:37" x14ac:dyDescent="0.3">
      <c r="A355">
        <v>2019</v>
      </c>
      <c r="B355">
        <v>3</v>
      </c>
      <c r="C355" t="str">
        <f t="shared" si="10"/>
        <v>3/01/2019</v>
      </c>
      <c r="D355" s="1" t="str">
        <f t="shared" si="11"/>
        <v>3/01/2019</v>
      </c>
      <c r="E355" t="s">
        <v>55</v>
      </c>
      <c r="F355" t="s">
        <v>54</v>
      </c>
      <c r="G355" t="s">
        <v>43</v>
      </c>
      <c r="H355">
        <v>65</v>
      </c>
      <c r="I355">
        <v>36</v>
      </c>
      <c r="J355">
        <v>0</v>
      </c>
      <c r="M355">
        <v>0</v>
      </c>
      <c r="O355">
        <v>0</v>
      </c>
      <c r="P355">
        <v>0</v>
      </c>
      <c r="S355">
        <v>12</v>
      </c>
      <c r="T355">
        <v>0</v>
      </c>
      <c r="U355">
        <v>0</v>
      </c>
      <c r="V355">
        <v>0</v>
      </c>
      <c r="W355" s="1">
        <v>44160</v>
      </c>
      <c r="AB355" t="s">
        <v>40</v>
      </c>
      <c r="AC355" t="s">
        <v>40</v>
      </c>
      <c r="AE355" t="s">
        <v>40</v>
      </c>
      <c r="AH355" t="s">
        <v>40</v>
      </c>
      <c r="AI355" t="s">
        <v>40</v>
      </c>
    </row>
    <row r="356" spans="1:37" x14ac:dyDescent="0.3">
      <c r="A356">
        <v>2019</v>
      </c>
      <c r="B356">
        <v>3</v>
      </c>
      <c r="C356" t="str">
        <f t="shared" si="10"/>
        <v>3/01/2019</v>
      </c>
      <c r="D356" s="1" t="str">
        <f t="shared" si="11"/>
        <v>3/01/2019</v>
      </c>
      <c r="E356" t="s">
        <v>55</v>
      </c>
      <c r="F356" t="s">
        <v>54</v>
      </c>
      <c r="G356" t="s">
        <v>44</v>
      </c>
      <c r="H356">
        <v>140</v>
      </c>
      <c r="I356">
        <v>95</v>
      </c>
      <c r="K356">
        <v>12</v>
      </c>
      <c r="M356">
        <v>0</v>
      </c>
      <c r="P356">
        <v>0</v>
      </c>
      <c r="S356">
        <v>28</v>
      </c>
      <c r="U356">
        <v>0</v>
      </c>
      <c r="V356">
        <v>0</v>
      </c>
      <c r="W356" s="1">
        <v>44160</v>
      </c>
      <c r="AA356" t="s">
        <v>40</v>
      </c>
      <c r="AC356" t="s">
        <v>40</v>
      </c>
      <c r="AE356" t="s">
        <v>40</v>
      </c>
      <c r="AF356" t="s">
        <v>40</v>
      </c>
      <c r="AH356" t="s">
        <v>40</v>
      </c>
      <c r="AI356" t="s">
        <v>40</v>
      </c>
      <c r="AK356" t="s">
        <v>40</v>
      </c>
    </row>
    <row r="357" spans="1:37" x14ac:dyDescent="0.3">
      <c r="A357">
        <v>2019</v>
      </c>
      <c r="B357">
        <v>3</v>
      </c>
      <c r="C357" t="str">
        <f t="shared" si="10"/>
        <v>3/01/2019</v>
      </c>
      <c r="D357" s="1" t="str">
        <f t="shared" si="11"/>
        <v>3/01/2019</v>
      </c>
      <c r="E357" t="s">
        <v>55</v>
      </c>
      <c r="F357" t="s">
        <v>54</v>
      </c>
      <c r="G357" t="s">
        <v>45</v>
      </c>
      <c r="J357">
        <v>0</v>
      </c>
      <c r="K357">
        <v>0</v>
      </c>
      <c r="L357">
        <v>0</v>
      </c>
      <c r="M357">
        <v>0</v>
      </c>
      <c r="O357">
        <v>0</v>
      </c>
      <c r="P357">
        <v>0</v>
      </c>
      <c r="Q357">
        <v>0</v>
      </c>
      <c r="R357">
        <v>0</v>
      </c>
      <c r="T357">
        <v>0</v>
      </c>
      <c r="U357">
        <v>0</v>
      </c>
      <c r="V357">
        <v>0</v>
      </c>
      <c r="W357" s="1">
        <v>44160</v>
      </c>
      <c r="Y357" t="s">
        <v>40</v>
      </c>
      <c r="Z357" t="s">
        <v>40</v>
      </c>
      <c r="AE357" t="s">
        <v>40</v>
      </c>
      <c r="AJ357" t="s">
        <v>40</v>
      </c>
    </row>
    <row r="358" spans="1:37" x14ac:dyDescent="0.3">
      <c r="A358">
        <v>2019</v>
      </c>
      <c r="B358">
        <v>3</v>
      </c>
      <c r="C358" t="str">
        <f t="shared" si="10"/>
        <v>3/01/2019</v>
      </c>
      <c r="D358" s="1" t="str">
        <f t="shared" si="11"/>
        <v>3/01/2019</v>
      </c>
      <c r="E358" t="s">
        <v>55</v>
      </c>
      <c r="F358" t="s">
        <v>54</v>
      </c>
      <c r="G358" t="s">
        <v>46</v>
      </c>
      <c r="H358">
        <v>227</v>
      </c>
      <c r="I358">
        <v>189</v>
      </c>
      <c r="K358">
        <v>36</v>
      </c>
      <c r="L358">
        <v>10</v>
      </c>
      <c r="M358">
        <v>0</v>
      </c>
      <c r="S358">
        <v>66</v>
      </c>
      <c r="T358">
        <v>10</v>
      </c>
      <c r="U358">
        <v>0</v>
      </c>
      <c r="V358">
        <v>0</v>
      </c>
      <c r="W358" s="1">
        <v>44160</v>
      </c>
      <c r="AA358" t="s">
        <v>40</v>
      </c>
      <c r="AE358" t="s">
        <v>40</v>
      </c>
      <c r="AF358" t="s">
        <v>40</v>
      </c>
      <c r="AG358" t="s">
        <v>40</v>
      </c>
      <c r="AH358" t="s">
        <v>40</v>
      </c>
      <c r="AI358" t="s">
        <v>40</v>
      </c>
    </row>
    <row r="359" spans="1:37" x14ac:dyDescent="0.3">
      <c r="A359">
        <v>2019</v>
      </c>
      <c r="B359">
        <v>3</v>
      </c>
      <c r="C359" t="str">
        <f t="shared" si="10"/>
        <v>3/01/2019</v>
      </c>
      <c r="D359" s="1" t="str">
        <f t="shared" si="11"/>
        <v>3/01/2019</v>
      </c>
      <c r="E359" t="s">
        <v>55</v>
      </c>
      <c r="F359" t="s">
        <v>54</v>
      </c>
      <c r="G359" t="s">
        <v>47</v>
      </c>
      <c r="H359">
        <v>268</v>
      </c>
      <c r="I359">
        <v>250</v>
      </c>
      <c r="K359">
        <v>60</v>
      </c>
      <c r="L359">
        <v>17</v>
      </c>
      <c r="O359">
        <v>12</v>
      </c>
      <c r="S359">
        <v>79</v>
      </c>
      <c r="T359">
        <v>13</v>
      </c>
      <c r="U359">
        <v>0</v>
      </c>
      <c r="V359">
        <v>0</v>
      </c>
      <c r="W359" s="1">
        <v>44160</v>
      </c>
      <c r="AA359" t="s">
        <v>40</v>
      </c>
      <c r="AD359" t="s">
        <v>40</v>
      </c>
      <c r="AE359" t="s">
        <v>40</v>
      </c>
      <c r="AG359" t="s">
        <v>40</v>
      </c>
      <c r="AH359" t="s">
        <v>40</v>
      </c>
      <c r="AI359" t="s">
        <v>40</v>
      </c>
    </row>
    <row r="360" spans="1:37" x14ac:dyDescent="0.3">
      <c r="A360">
        <v>2019</v>
      </c>
      <c r="B360">
        <v>3</v>
      </c>
      <c r="C360" t="str">
        <f t="shared" si="10"/>
        <v>3/01/2019</v>
      </c>
      <c r="D360" s="1" t="str">
        <f t="shared" si="11"/>
        <v>3/01/2019</v>
      </c>
      <c r="E360" t="s">
        <v>55</v>
      </c>
      <c r="F360" t="s">
        <v>54</v>
      </c>
      <c r="G360" t="s">
        <v>48</v>
      </c>
      <c r="H360">
        <v>195</v>
      </c>
      <c r="I360">
        <v>190</v>
      </c>
      <c r="K360">
        <v>35</v>
      </c>
      <c r="S360">
        <v>58</v>
      </c>
      <c r="U360">
        <v>0</v>
      </c>
      <c r="V360">
        <v>0</v>
      </c>
      <c r="W360" s="1">
        <v>44160</v>
      </c>
      <c r="AA360" t="s">
        <v>40</v>
      </c>
      <c r="AC360" t="s">
        <v>40</v>
      </c>
      <c r="AD360" t="s">
        <v>40</v>
      </c>
      <c r="AE360" t="s">
        <v>40</v>
      </c>
      <c r="AF360" t="s">
        <v>40</v>
      </c>
      <c r="AG360" t="s">
        <v>40</v>
      </c>
      <c r="AH360" t="s">
        <v>40</v>
      </c>
      <c r="AI360" t="s">
        <v>40</v>
      </c>
      <c r="AK360" t="s">
        <v>40</v>
      </c>
    </row>
    <row r="361" spans="1:37" x14ac:dyDescent="0.3">
      <c r="A361">
        <v>2019</v>
      </c>
      <c r="B361">
        <v>3</v>
      </c>
      <c r="C361" t="str">
        <f t="shared" si="10"/>
        <v>3/01/2019</v>
      </c>
      <c r="D361" s="1" t="str">
        <f t="shared" si="11"/>
        <v>3/01/2019</v>
      </c>
      <c r="E361" t="s">
        <v>55</v>
      </c>
      <c r="F361" t="s">
        <v>54</v>
      </c>
      <c r="G361" t="s">
        <v>49</v>
      </c>
      <c r="H361">
        <v>126</v>
      </c>
      <c r="I361">
        <v>122</v>
      </c>
      <c r="K361">
        <v>20</v>
      </c>
      <c r="S361">
        <v>35</v>
      </c>
      <c r="U361">
        <v>0</v>
      </c>
      <c r="V361">
        <v>0</v>
      </c>
      <c r="W361" s="1">
        <v>44160</v>
      </c>
      <c r="AA361" t="s">
        <v>40</v>
      </c>
      <c r="AC361" t="s">
        <v>40</v>
      </c>
      <c r="AD361" t="s">
        <v>40</v>
      </c>
      <c r="AE361" t="s">
        <v>40</v>
      </c>
      <c r="AF361" t="s">
        <v>40</v>
      </c>
      <c r="AG361" t="s">
        <v>40</v>
      </c>
      <c r="AH361" t="s">
        <v>40</v>
      </c>
      <c r="AI361" t="s">
        <v>40</v>
      </c>
      <c r="AK361" t="s">
        <v>40</v>
      </c>
    </row>
    <row r="362" spans="1:37" x14ac:dyDescent="0.3">
      <c r="A362">
        <v>2019</v>
      </c>
      <c r="B362">
        <v>4</v>
      </c>
      <c r="C362" t="str">
        <f t="shared" si="10"/>
        <v>4/01/2019</v>
      </c>
      <c r="D362" s="1" t="str">
        <f t="shared" si="11"/>
        <v>4/01/2019</v>
      </c>
      <c r="E362" t="s">
        <v>37</v>
      </c>
      <c r="F362" t="s">
        <v>38</v>
      </c>
      <c r="G362" t="s">
        <v>39</v>
      </c>
      <c r="H362">
        <v>217</v>
      </c>
      <c r="I362">
        <v>198</v>
      </c>
      <c r="L362">
        <v>0</v>
      </c>
      <c r="M362">
        <v>0</v>
      </c>
      <c r="O362">
        <v>0</v>
      </c>
      <c r="R362">
        <v>18</v>
      </c>
      <c r="U362">
        <v>0</v>
      </c>
      <c r="V362">
        <v>0</v>
      </c>
      <c r="W362" s="1">
        <v>44160</v>
      </c>
      <c r="AA362" t="s">
        <v>40</v>
      </c>
      <c r="AB362" t="s">
        <v>40</v>
      </c>
      <c r="AE362" t="s">
        <v>40</v>
      </c>
      <c r="AG362" t="s">
        <v>40</v>
      </c>
      <c r="AH362" t="s">
        <v>40</v>
      </c>
      <c r="AJ362" t="s">
        <v>40</v>
      </c>
      <c r="AK362" t="s">
        <v>40</v>
      </c>
    </row>
    <row r="363" spans="1:37" x14ac:dyDescent="0.3">
      <c r="A363">
        <v>2019</v>
      </c>
      <c r="B363">
        <v>4</v>
      </c>
      <c r="C363" t="str">
        <f t="shared" si="10"/>
        <v>4/01/2019</v>
      </c>
      <c r="D363" s="1" t="str">
        <f t="shared" si="11"/>
        <v>4/01/2019</v>
      </c>
      <c r="E363" t="s">
        <v>37</v>
      </c>
      <c r="F363" t="s">
        <v>38</v>
      </c>
      <c r="G363" t="s">
        <v>41</v>
      </c>
      <c r="H363">
        <v>124</v>
      </c>
      <c r="I363">
        <v>57</v>
      </c>
      <c r="M363">
        <v>0</v>
      </c>
      <c r="P363">
        <v>0</v>
      </c>
      <c r="U363">
        <v>0</v>
      </c>
      <c r="V363">
        <v>0</v>
      </c>
      <c r="W363" s="1">
        <v>44160</v>
      </c>
      <c r="AA363" t="s">
        <v>40</v>
      </c>
      <c r="AB363" t="s">
        <v>40</v>
      </c>
      <c r="AC363" t="s">
        <v>40</v>
      </c>
      <c r="AE363" t="s">
        <v>40</v>
      </c>
      <c r="AF363" t="s">
        <v>40</v>
      </c>
      <c r="AH363" t="s">
        <v>40</v>
      </c>
      <c r="AI363" t="s">
        <v>40</v>
      </c>
      <c r="AJ363" t="s">
        <v>40</v>
      </c>
      <c r="AK363" t="s">
        <v>40</v>
      </c>
    </row>
    <row r="364" spans="1:37" x14ac:dyDescent="0.3">
      <c r="A364">
        <v>2019</v>
      </c>
      <c r="B364">
        <v>4</v>
      </c>
      <c r="C364" t="str">
        <f t="shared" si="10"/>
        <v>4/01/2019</v>
      </c>
      <c r="D364" s="1" t="str">
        <f t="shared" si="11"/>
        <v>4/01/2019</v>
      </c>
      <c r="E364" t="s">
        <v>37</v>
      </c>
      <c r="F364" t="s">
        <v>38</v>
      </c>
      <c r="G364" t="s">
        <v>42</v>
      </c>
      <c r="H364">
        <v>180</v>
      </c>
      <c r="I364">
        <v>94</v>
      </c>
      <c r="J364">
        <v>0</v>
      </c>
      <c r="K364">
        <v>31</v>
      </c>
      <c r="M364">
        <v>0</v>
      </c>
      <c r="Q364">
        <v>0</v>
      </c>
      <c r="U364">
        <v>0</v>
      </c>
      <c r="V364">
        <v>0</v>
      </c>
      <c r="W364" s="1">
        <v>44160</v>
      </c>
      <c r="AC364" t="s">
        <v>40</v>
      </c>
      <c r="AE364" t="s">
        <v>40</v>
      </c>
      <c r="AF364" t="s">
        <v>40</v>
      </c>
      <c r="AG364" t="s">
        <v>40</v>
      </c>
      <c r="AI364" t="s">
        <v>40</v>
      </c>
      <c r="AJ364" t="s">
        <v>40</v>
      </c>
      <c r="AK364" t="s">
        <v>40</v>
      </c>
    </row>
    <row r="365" spans="1:37" x14ac:dyDescent="0.3">
      <c r="A365">
        <v>2019</v>
      </c>
      <c r="B365">
        <v>4</v>
      </c>
      <c r="C365" t="str">
        <f t="shared" si="10"/>
        <v>4/01/2019</v>
      </c>
      <c r="D365" s="1" t="str">
        <f t="shared" si="11"/>
        <v>4/01/2019</v>
      </c>
      <c r="E365" t="s">
        <v>37</v>
      </c>
      <c r="F365" t="s">
        <v>38</v>
      </c>
      <c r="G365" t="s">
        <v>43</v>
      </c>
      <c r="H365">
        <v>292</v>
      </c>
      <c r="I365">
        <v>228</v>
      </c>
      <c r="K365">
        <v>107</v>
      </c>
      <c r="M365">
        <v>0</v>
      </c>
      <c r="R365">
        <v>11</v>
      </c>
      <c r="S365">
        <v>25</v>
      </c>
      <c r="T365">
        <v>12</v>
      </c>
      <c r="U365">
        <v>0</v>
      </c>
      <c r="V365">
        <v>0</v>
      </c>
      <c r="W365" s="1">
        <v>44160</v>
      </c>
      <c r="AA365" t="s">
        <v>40</v>
      </c>
      <c r="AC365" t="s">
        <v>40</v>
      </c>
      <c r="AE365" t="s">
        <v>40</v>
      </c>
      <c r="AF365" t="s">
        <v>40</v>
      </c>
      <c r="AG365" t="s">
        <v>40</v>
      </c>
      <c r="AH365" t="s">
        <v>40</v>
      </c>
    </row>
    <row r="366" spans="1:37" x14ac:dyDescent="0.3">
      <c r="A366">
        <v>2019</v>
      </c>
      <c r="B366">
        <v>4</v>
      </c>
      <c r="C366" t="str">
        <f t="shared" si="10"/>
        <v>4/01/2019</v>
      </c>
      <c r="D366" s="1" t="str">
        <f t="shared" si="11"/>
        <v>4/01/2019</v>
      </c>
      <c r="E366" t="s">
        <v>37</v>
      </c>
      <c r="F366" t="s">
        <v>38</v>
      </c>
      <c r="G366" t="s">
        <v>44</v>
      </c>
      <c r="H366">
        <v>479</v>
      </c>
      <c r="I366">
        <v>410</v>
      </c>
      <c r="K366">
        <v>175</v>
      </c>
      <c r="L366">
        <v>33</v>
      </c>
      <c r="M366">
        <v>0</v>
      </c>
      <c r="Q366">
        <v>12</v>
      </c>
      <c r="S366">
        <v>52</v>
      </c>
      <c r="T366">
        <v>15</v>
      </c>
      <c r="U366">
        <v>0</v>
      </c>
      <c r="V366">
        <v>0</v>
      </c>
      <c r="W366" s="1">
        <v>44160</v>
      </c>
      <c r="AA366" t="s">
        <v>40</v>
      </c>
      <c r="AE366" t="s">
        <v>40</v>
      </c>
      <c r="AF366" t="s">
        <v>40</v>
      </c>
      <c r="AG366" t="s">
        <v>40</v>
      </c>
      <c r="AI366" t="s">
        <v>40</v>
      </c>
    </row>
    <row r="367" spans="1:37" x14ac:dyDescent="0.3">
      <c r="A367">
        <v>2019</v>
      </c>
      <c r="B367">
        <v>4</v>
      </c>
      <c r="C367" t="str">
        <f t="shared" si="10"/>
        <v>4/01/2019</v>
      </c>
      <c r="D367" s="1" t="str">
        <f t="shared" si="11"/>
        <v>4/01/2019</v>
      </c>
      <c r="E367" t="s">
        <v>37</v>
      </c>
      <c r="F367" t="s">
        <v>38</v>
      </c>
      <c r="G367" t="s">
        <v>45</v>
      </c>
      <c r="H367">
        <v>40</v>
      </c>
      <c r="I367">
        <v>29</v>
      </c>
      <c r="M367">
        <v>0</v>
      </c>
      <c r="N367">
        <v>0</v>
      </c>
      <c r="P367">
        <v>0</v>
      </c>
      <c r="Q367">
        <v>0</v>
      </c>
      <c r="U367">
        <v>0</v>
      </c>
      <c r="V367">
        <v>0</v>
      </c>
      <c r="W367" s="1">
        <v>44160</v>
      </c>
      <c r="AA367" t="s">
        <v>40</v>
      </c>
      <c r="AB367" t="s">
        <v>40</v>
      </c>
      <c r="AC367" t="s">
        <v>40</v>
      </c>
      <c r="AF367" t="s">
        <v>40</v>
      </c>
      <c r="AI367" t="s">
        <v>40</v>
      </c>
      <c r="AJ367" t="s">
        <v>40</v>
      </c>
      <c r="AK367" t="s">
        <v>40</v>
      </c>
    </row>
    <row r="368" spans="1:37" x14ac:dyDescent="0.3">
      <c r="A368">
        <v>2019</v>
      </c>
      <c r="B368">
        <v>4</v>
      </c>
      <c r="C368" t="str">
        <f t="shared" si="10"/>
        <v>4/01/2019</v>
      </c>
      <c r="D368" s="1" t="str">
        <f t="shared" si="11"/>
        <v>4/01/2019</v>
      </c>
      <c r="E368" t="s">
        <v>37</v>
      </c>
      <c r="F368" t="s">
        <v>38</v>
      </c>
      <c r="G368" t="s">
        <v>46</v>
      </c>
      <c r="H368">
        <v>943</v>
      </c>
      <c r="I368">
        <v>883</v>
      </c>
      <c r="J368">
        <v>12</v>
      </c>
      <c r="K368">
        <v>335</v>
      </c>
      <c r="L368">
        <v>62</v>
      </c>
      <c r="N368">
        <v>19</v>
      </c>
      <c r="O368">
        <v>26</v>
      </c>
      <c r="P368">
        <v>18</v>
      </c>
      <c r="Q368">
        <v>19</v>
      </c>
      <c r="S368">
        <v>140</v>
      </c>
      <c r="T368">
        <v>29</v>
      </c>
      <c r="U368">
        <v>0</v>
      </c>
      <c r="V368">
        <v>0</v>
      </c>
      <c r="W368" s="1">
        <v>44160</v>
      </c>
      <c r="AD368" t="s">
        <v>40</v>
      </c>
      <c r="AI368" t="s">
        <v>40</v>
      </c>
    </row>
    <row r="369" spans="1:37" x14ac:dyDescent="0.3">
      <c r="A369">
        <v>2019</v>
      </c>
      <c r="B369">
        <v>4</v>
      </c>
      <c r="C369" t="str">
        <f t="shared" si="10"/>
        <v>4/01/2019</v>
      </c>
      <c r="D369" s="1" t="str">
        <f t="shared" si="11"/>
        <v>4/01/2019</v>
      </c>
      <c r="E369" t="s">
        <v>37</v>
      </c>
      <c r="F369" t="s">
        <v>38</v>
      </c>
      <c r="G369" t="s">
        <v>47</v>
      </c>
      <c r="H369" s="2">
        <v>1304</v>
      </c>
      <c r="I369" s="2">
        <v>1264</v>
      </c>
      <c r="J369">
        <v>22</v>
      </c>
      <c r="K369">
        <v>397</v>
      </c>
      <c r="L369">
        <v>83</v>
      </c>
      <c r="M369">
        <v>21</v>
      </c>
      <c r="N369">
        <v>28</v>
      </c>
      <c r="O369">
        <v>44</v>
      </c>
      <c r="P369">
        <v>33</v>
      </c>
      <c r="Q369">
        <v>38</v>
      </c>
      <c r="S369">
        <v>243</v>
      </c>
      <c r="T369">
        <v>83</v>
      </c>
      <c r="U369">
        <v>0</v>
      </c>
      <c r="V369">
        <v>0</v>
      </c>
      <c r="W369" s="1">
        <v>44160</v>
      </c>
      <c r="AI369" t="s">
        <v>40</v>
      </c>
    </row>
    <row r="370" spans="1:37" x14ac:dyDescent="0.3">
      <c r="A370">
        <v>2019</v>
      </c>
      <c r="B370">
        <v>4</v>
      </c>
      <c r="C370" t="str">
        <f t="shared" si="10"/>
        <v>4/01/2019</v>
      </c>
      <c r="D370" s="1" t="str">
        <f t="shared" si="11"/>
        <v>4/01/2019</v>
      </c>
      <c r="E370" t="s">
        <v>37</v>
      </c>
      <c r="F370" t="s">
        <v>38</v>
      </c>
      <c r="G370" t="s">
        <v>48</v>
      </c>
      <c r="H370" s="2">
        <v>1719</v>
      </c>
      <c r="I370" s="2">
        <v>1672</v>
      </c>
      <c r="J370">
        <v>18</v>
      </c>
      <c r="K370">
        <v>363</v>
      </c>
      <c r="L370">
        <v>110</v>
      </c>
      <c r="M370">
        <v>124</v>
      </c>
      <c r="N370">
        <v>33</v>
      </c>
      <c r="O370">
        <v>62</v>
      </c>
      <c r="P370">
        <v>40</v>
      </c>
      <c r="Q370">
        <v>45</v>
      </c>
      <c r="S370">
        <v>375</v>
      </c>
      <c r="T370">
        <v>131</v>
      </c>
      <c r="U370">
        <v>0</v>
      </c>
      <c r="V370">
        <v>0</v>
      </c>
      <c r="W370" s="1">
        <v>44160</v>
      </c>
      <c r="AI370" t="s">
        <v>40</v>
      </c>
    </row>
    <row r="371" spans="1:37" x14ac:dyDescent="0.3">
      <c r="A371">
        <v>2019</v>
      </c>
      <c r="B371">
        <v>4</v>
      </c>
      <c r="C371" t="str">
        <f t="shared" si="10"/>
        <v>4/01/2019</v>
      </c>
      <c r="D371" s="1" t="str">
        <f t="shared" si="11"/>
        <v>4/01/2019</v>
      </c>
      <c r="E371" t="s">
        <v>37</v>
      </c>
      <c r="F371" t="s">
        <v>38</v>
      </c>
      <c r="G371" t="s">
        <v>49</v>
      </c>
      <c r="H371" s="2">
        <v>2389</v>
      </c>
      <c r="I371" s="2">
        <v>2339</v>
      </c>
      <c r="J371">
        <v>31</v>
      </c>
      <c r="K371">
        <v>243</v>
      </c>
      <c r="L371">
        <v>73</v>
      </c>
      <c r="M371">
        <v>326</v>
      </c>
      <c r="N371">
        <v>53</v>
      </c>
      <c r="O371">
        <v>104</v>
      </c>
      <c r="P371">
        <v>40</v>
      </c>
      <c r="Q371">
        <v>34</v>
      </c>
      <c r="R371">
        <v>17</v>
      </c>
      <c r="S371">
        <v>671</v>
      </c>
      <c r="T371">
        <v>201</v>
      </c>
      <c r="U371">
        <v>0</v>
      </c>
      <c r="V371">
        <v>0</v>
      </c>
      <c r="W371" s="1">
        <v>44160</v>
      </c>
    </row>
    <row r="372" spans="1:37" x14ac:dyDescent="0.3">
      <c r="A372">
        <v>2019</v>
      </c>
      <c r="B372">
        <v>4</v>
      </c>
      <c r="C372" t="str">
        <f t="shared" si="10"/>
        <v>4/01/2019</v>
      </c>
      <c r="D372" s="1" t="str">
        <f t="shared" si="11"/>
        <v>4/01/2019</v>
      </c>
      <c r="E372" t="s">
        <v>37</v>
      </c>
      <c r="F372" t="s">
        <v>50</v>
      </c>
      <c r="G372" t="s">
        <v>39</v>
      </c>
      <c r="H372">
        <v>19</v>
      </c>
      <c r="I372">
        <v>16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S372">
        <v>0</v>
      </c>
      <c r="U372">
        <v>0</v>
      </c>
      <c r="V372">
        <v>0</v>
      </c>
      <c r="W372" s="1">
        <v>44160</v>
      </c>
      <c r="AA372" t="s">
        <v>40</v>
      </c>
      <c r="AB372" t="s">
        <v>40</v>
      </c>
      <c r="AI372" t="s">
        <v>40</v>
      </c>
      <c r="AK372" t="s">
        <v>40</v>
      </c>
    </row>
    <row r="373" spans="1:37" x14ac:dyDescent="0.3">
      <c r="A373">
        <v>2019</v>
      </c>
      <c r="B373">
        <v>4</v>
      </c>
      <c r="C373" t="str">
        <f t="shared" si="10"/>
        <v>4/01/2019</v>
      </c>
      <c r="D373" s="1" t="str">
        <f t="shared" si="11"/>
        <v>4/01/2019</v>
      </c>
      <c r="E373" t="s">
        <v>37</v>
      </c>
      <c r="F373" t="s">
        <v>50</v>
      </c>
      <c r="G373" t="s">
        <v>41</v>
      </c>
      <c r="H373">
        <v>18</v>
      </c>
      <c r="J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S373">
        <v>0</v>
      </c>
      <c r="T373">
        <v>0</v>
      </c>
      <c r="U373">
        <v>0</v>
      </c>
      <c r="V373">
        <v>0</v>
      </c>
      <c r="W373" s="1">
        <v>44160</v>
      </c>
      <c r="Z373" t="s">
        <v>40</v>
      </c>
      <c r="AB373" t="s">
        <v>40</v>
      </c>
      <c r="AI373" t="s">
        <v>40</v>
      </c>
    </row>
    <row r="374" spans="1:37" x14ac:dyDescent="0.3">
      <c r="A374">
        <v>2019</v>
      </c>
      <c r="B374">
        <v>4</v>
      </c>
      <c r="C374" t="str">
        <f t="shared" si="10"/>
        <v>4/01/2019</v>
      </c>
      <c r="D374" s="1" t="str">
        <f t="shared" si="11"/>
        <v>4/01/2019</v>
      </c>
      <c r="E374" t="s">
        <v>37</v>
      </c>
      <c r="F374" t="s">
        <v>50</v>
      </c>
      <c r="G374" t="s">
        <v>42</v>
      </c>
      <c r="H374">
        <v>30</v>
      </c>
      <c r="I374">
        <v>13</v>
      </c>
      <c r="J374">
        <v>0</v>
      </c>
      <c r="K374">
        <v>0</v>
      </c>
      <c r="L374">
        <v>0</v>
      </c>
      <c r="M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U374">
        <v>0</v>
      </c>
      <c r="V374">
        <v>0</v>
      </c>
      <c r="W374" s="1">
        <v>44160</v>
      </c>
      <c r="AE374" t="s">
        <v>40</v>
      </c>
      <c r="AK374" t="s">
        <v>40</v>
      </c>
    </row>
    <row r="375" spans="1:37" x14ac:dyDescent="0.3">
      <c r="A375">
        <v>2019</v>
      </c>
      <c r="B375">
        <v>4</v>
      </c>
      <c r="C375" t="str">
        <f t="shared" si="10"/>
        <v>4/01/2019</v>
      </c>
      <c r="D375" s="1" t="str">
        <f t="shared" si="11"/>
        <v>4/01/2019</v>
      </c>
      <c r="E375" t="s">
        <v>37</v>
      </c>
      <c r="F375" t="s">
        <v>50</v>
      </c>
      <c r="G375" t="s">
        <v>43</v>
      </c>
      <c r="H375">
        <v>43</v>
      </c>
      <c r="I375">
        <v>26</v>
      </c>
      <c r="J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U375">
        <v>0</v>
      </c>
      <c r="V375">
        <v>0</v>
      </c>
      <c r="W375" s="1">
        <v>44160</v>
      </c>
      <c r="AB375" t="s">
        <v>40</v>
      </c>
      <c r="AC375" t="s">
        <v>40</v>
      </c>
      <c r="AH375" t="s">
        <v>40</v>
      </c>
      <c r="AJ375" t="s">
        <v>40</v>
      </c>
      <c r="AK375" t="s">
        <v>40</v>
      </c>
    </row>
    <row r="376" spans="1:37" x14ac:dyDescent="0.3">
      <c r="A376">
        <v>2019</v>
      </c>
      <c r="B376">
        <v>4</v>
      </c>
      <c r="C376" t="str">
        <f t="shared" si="10"/>
        <v>4/01/2019</v>
      </c>
      <c r="D376" s="1" t="str">
        <f t="shared" si="11"/>
        <v>4/01/2019</v>
      </c>
      <c r="E376" t="s">
        <v>37</v>
      </c>
      <c r="F376" t="s">
        <v>50</v>
      </c>
      <c r="G376" t="s">
        <v>44</v>
      </c>
      <c r="H376">
        <v>78</v>
      </c>
      <c r="I376">
        <v>58</v>
      </c>
      <c r="J376">
        <v>0</v>
      </c>
      <c r="K376">
        <v>13</v>
      </c>
      <c r="M376">
        <v>0</v>
      </c>
      <c r="Q376">
        <v>0</v>
      </c>
      <c r="R376">
        <v>0</v>
      </c>
      <c r="U376">
        <v>0</v>
      </c>
      <c r="V376">
        <v>0</v>
      </c>
      <c r="W376" s="1">
        <v>44160</v>
      </c>
      <c r="AC376" t="s">
        <v>40</v>
      </c>
      <c r="AE376" t="s">
        <v>40</v>
      </c>
      <c r="AF376" t="s">
        <v>40</v>
      </c>
      <c r="AG376" t="s">
        <v>40</v>
      </c>
      <c r="AJ376" t="s">
        <v>40</v>
      </c>
      <c r="AK376" t="s">
        <v>40</v>
      </c>
    </row>
    <row r="377" spans="1:37" x14ac:dyDescent="0.3">
      <c r="A377">
        <v>2019</v>
      </c>
      <c r="B377">
        <v>4</v>
      </c>
      <c r="C377" t="str">
        <f t="shared" si="10"/>
        <v>4/01/2019</v>
      </c>
      <c r="D377" s="1" t="str">
        <f t="shared" si="11"/>
        <v>4/01/2019</v>
      </c>
      <c r="E377" t="s">
        <v>37</v>
      </c>
      <c r="F377" t="s">
        <v>50</v>
      </c>
      <c r="G377" t="s">
        <v>45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s="1">
        <v>44160</v>
      </c>
      <c r="Y377" t="s">
        <v>40</v>
      </c>
      <c r="Z377" t="s">
        <v>40</v>
      </c>
    </row>
    <row r="378" spans="1:37" x14ac:dyDescent="0.3">
      <c r="A378">
        <v>2019</v>
      </c>
      <c r="B378">
        <v>4</v>
      </c>
      <c r="C378" t="str">
        <f t="shared" si="10"/>
        <v>4/01/2019</v>
      </c>
      <c r="D378" s="1" t="str">
        <f t="shared" si="11"/>
        <v>4/01/2019</v>
      </c>
      <c r="E378" t="s">
        <v>37</v>
      </c>
      <c r="F378" t="s">
        <v>50</v>
      </c>
      <c r="G378" t="s">
        <v>46</v>
      </c>
      <c r="H378">
        <v>105</v>
      </c>
      <c r="I378">
        <v>95</v>
      </c>
      <c r="K378">
        <v>25</v>
      </c>
      <c r="M378">
        <v>0</v>
      </c>
      <c r="S378">
        <v>16</v>
      </c>
      <c r="U378">
        <v>0</v>
      </c>
      <c r="V378">
        <v>0</v>
      </c>
      <c r="W378" s="1">
        <v>44160</v>
      </c>
      <c r="AA378" t="s">
        <v>40</v>
      </c>
      <c r="AC378" t="s">
        <v>40</v>
      </c>
      <c r="AE378" t="s">
        <v>40</v>
      </c>
      <c r="AF378" t="s">
        <v>40</v>
      </c>
      <c r="AG378" t="s">
        <v>40</v>
      </c>
      <c r="AH378" t="s">
        <v>40</v>
      </c>
      <c r="AI378" t="s">
        <v>40</v>
      </c>
      <c r="AK378" t="s">
        <v>40</v>
      </c>
    </row>
    <row r="379" spans="1:37" x14ac:dyDescent="0.3">
      <c r="A379">
        <v>2019</v>
      </c>
      <c r="B379">
        <v>4</v>
      </c>
      <c r="C379" t="str">
        <f t="shared" si="10"/>
        <v>4/01/2019</v>
      </c>
      <c r="D379" s="1" t="str">
        <f t="shared" si="11"/>
        <v>4/01/2019</v>
      </c>
      <c r="E379" t="s">
        <v>37</v>
      </c>
      <c r="F379" t="s">
        <v>50</v>
      </c>
      <c r="G379" t="s">
        <v>47</v>
      </c>
      <c r="H379">
        <v>167</v>
      </c>
      <c r="I379">
        <v>160</v>
      </c>
      <c r="K379">
        <v>38</v>
      </c>
      <c r="L379">
        <v>10</v>
      </c>
      <c r="R379">
        <v>0</v>
      </c>
      <c r="S379">
        <v>31</v>
      </c>
      <c r="T379">
        <v>13</v>
      </c>
      <c r="U379">
        <v>0</v>
      </c>
      <c r="V379">
        <v>0</v>
      </c>
      <c r="W379" s="1">
        <v>44160</v>
      </c>
      <c r="AA379" t="s">
        <v>40</v>
      </c>
      <c r="AD379" t="s">
        <v>40</v>
      </c>
      <c r="AE379" t="s">
        <v>40</v>
      </c>
      <c r="AF379" t="s">
        <v>40</v>
      </c>
      <c r="AG379" t="s">
        <v>40</v>
      </c>
      <c r="AH379" t="s">
        <v>40</v>
      </c>
    </row>
    <row r="380" spans="1:37" x14ac:dyDescent="0.3">
      <c r="A380">
        <v>2019</v>
      </c>
      <c r="B380">
        <v>4</v>
      </c>
      <c r="C380" t="str">
        <f t="shared" si="10"/>
        <v>4/01/2019</v>
      </c>
      <c r="D380" s="1" t="str">
        <f t="shared" si="11"/>
        <v>4/01/2019</v>
      </c>
      <c r="E380" t="s">
        <v>37</v>
      </c>
      <c r="F380" t="s">
        <v>50</v>
      </c>
      <c r="G380" t="s">
        <v>48</v>
      </c>
      <c r="H380">
        <v>142</v>
      </c>
      <c r="I380">
        <v>137</v>
      </c>
      <c r="J380">
        <v>0</v>
      </c>
      <c r="K380">
        <v>36</v>
      </c>
      <c r="L380">
        <v>10</v>
      </c>
      <c r="M380">
        <v>11</v>
      </c>
      <c r="R380">
        <v>0</v>
      </c>
      <c r="S380">
        <v>21</v>
      </c>
      <c r="U380">
        <v>0</v>
      </c>
      <c r="V380">
        <v>0</v>
      </c>
      <c r="W380" s="1">
        <v>44160</v>
      </c>
      <c r="AE380" t="s">
        <v>40</v>
      </c>
      <c r="AF380" t="s">
        <v>40</v>
      </c>
      <c r="AG380" t="s">
        <v>40</v>
      </c>
      <c r="AH380" t="s">
        <v>40</v>
      </c>
      <c r="AK380" t="s">
        <v>40</v>
      </c>
    </row>
    <row r="381" spans="1:37" x14ac:dyDescent="0.3">
      <c r="A381">
        <v>2019</v>
      </c>
      <c r="B381">
        <v>4</v>
      </c>
      <c r="C381" t="str">
        <f t="shared" si="10"/>
        <v>4/01/2019</v>
      </c>
      <c r="D381" s="1" t="str">
        <f t="shared" si="11"/>
        <v>4/01/2019</v>
      </c>
      <c r="E381" t="s">
        <v>37</v>
      </c>
      <c r="F381" t="s">
        <v>50</v>
      </c>
      <c r="G381" t="s">
        <v>49</v>
      </c>
      <c r="H381">
        <v>119</v>
      </c>
      <c r="I381">
        <v>118</v>
      </c>
      <c r="K381">
        <v>13</v>
      </c>
      <c r="S381">
        <v>31</v>
      </c>
      <c r="U381">
        <v>0</v>
      </c>
      <c r="V381">
        <v>0</v>
      </c>
      <c r="W381" s="1">
        <v>44160</v>
      </c>
      <c r="AA381" t="s">
        <v>40</v>
      </c>
      <c r="AC381" t="s">
        <v>40</v>
      </c>
      <c r="AD381" t="s">
        <v>40</v>
      </c>
      <c r="AE381" t="s">
        <v>40</v>
      </c>
      <c r="AF381" t="s">
        <v>40</v>
      </c>
      <c r="AG381" t="s">
        <v>40</v>
      </c>
      <c r="AH381" t="s">
        <v>40</v>
      </c>
      <c r="AI381" t="s">
        <v>40</v>
      </c>
      <c r="AK381" t="s">
        <v>40</v>
      </c>
    </row>
    <row r="382" spans="1:37" x14ac:dyDescent="0.3">
      <c r="A382">
        <v>2019</v>
      </c>
      <c r="B382">
        <v>4</v>
      </c>
      <c r="C382" t="str">
        <f t="shared" si="10"/>
        <v>4/01/2019</v>
      </c>
      <c r="D382" s="1" t="str">
        <f t="shared" si="11"/>
        <v>4/01/2019</v>
      </c>
      <c r="E382" t="s">
        <v>37</v>
      </c>
      <c r="F382" t="s">
        <v>51</v>
      </c>
      <c r="G382" t="s">
        <v>39</v>
      </c>
      <c r="H382">
        <v>22</v>
      </c>
      <c r="I382">
        <v>19</v>
      </c>
      <c r="J382">
        <v>0</v>
      </c>
      <c r="L382">
        <v>0</v>
      </c>
      <c r="M382">
        <v>0</v>
      </c>
      <c r="N382">
        <v>0</v>
      </c>
      <c r="O382">
        <v>0</v>
      </c>
      <c r="S382">
        <v>0</v>
      </c>
      <c r="T382">
        <v>0</v>
      </c>
      <c r="U382">
        <v>0</v>
      </c>
      <c r="V382">
        <v>0</v>
      </c>
      <c r="W382" s="1">
        <v>44160</v>
      </c>
      <c r="AB382" t="s">
        <v>40</v>
      </c>
      <c r="AG382" t="s">
        <v>40</v>
      </c>
      <c r="AH382" t="s">
        <v>40</v>
      </c>
      <c r="AI382" t="s">
        <v>40</v>
      </c>
    </row>
    <row r="383" spans="1:37" x14ac:dyDescent="0.3">
      <c r="A383">
        <v>2019</v>
      </c>
      <c r="B383">
        <v>4</v>
      </c>
      <c r="C383" t="str">
        <f t="shared" si="10"/>
        <v>4/01/2019</v>
      </c>
      <c r="D383" s="1" t="str">
        <f t="shared" si="11"/>
        <v>4/01/2019</v>
      </c>
      <c r="E383" t="s">
        <v>37</v>
      </c>
      <c r="F383" t="s">
        <v>51</v>
      </c>
      <c r="G383" t="s">
        <v>41</v>
      </c>
      <c r="H383">
        <v>21</v>
      </c>
      <c r="J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U383">
        <v>0</v>
      </c>
      <c r="V383">
        <v>0</v>
      </c>
      <c r="W383" s="1">
        <v>44160</v>
      </c>
      <c r="Z383" t="s">
        <v>40</v>
      </c>
      <c r="AB383" t="s">
        <v>40</v>
      </c>
      <c r="AC383" t="s">
        <v>40</v>
      </c>
      <c r="AK383" t="s">
        <v>40</v>
      </c>
    </row>
    <row r="384" spans="1:37" x14ac:dyDescent="0.3">
      <c r="A384">
        <v>2019</v>
      </c>
      <c r="B384">
        <v>4</v>
      </c>
      <c r="C384" t="str">
        <f t="shared" si="10"/>
        <v>4/01/2019</v>
      </c>
      <c r="D384" s="1" t="str">
        <f t="shared" si="11"/>
        <v>4/01/2019</v>
      </c>
      <c r="E384" t="s">
        <v>37</v>
      </c>
      <c r="F384" t="s">
        <v>51</v>
      </c>
      <c r="G384" t="s">
        <v>42</v>
      </c>
      <c r="H384">
        <v>30</v>
      </c>
      <c r="I384">
        <v>19</v>
      </c>
      <c r="J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T384">
        <v>0</v>
      </c>
      <c r="U384">
        <v>0</v>
      </c>
      <c r="V384">
        <v>0</v>
      </c>
      <c r="W384" s="1">
        <v>44160</v>
      </c>
      <c r="AB384" t="s">
        <v>40</v>
      </c>
      <c r="AC384" t="s">
        <v>40</v>
      </c>
      <c r="AJ384" t="s">
        <v>40</v>
      </c>
    </row>
    <row r="385" spans="1:37" x14ac:dyDescent="0.3">
      <c r="A385">
        <v>2019</v>
      </c>
      <c r="B385">
        <v>4</v>
      </c>
      <c r="C385" t="str">
        <f t="shared" si="10"/>
        <v>4/01/2019</v>
      </c>
      <c r="D385" s="1" t="str">
        <f t="shared" si="11"/>
        <v>4/01/2019</v>
      </c>
      <c r="E385" t="s">
        <v>37</v>
      </c>
      <c r="F385" t="s">
        <v>51</v>
      </c>
      <c r="G385" t="s">
        <v>43</v>
      </c>
      <c r="H385">
        <v>77</v>
      </c>
      <c r="I385">
        <v>55</v>
      </c>
      <c r="K385">
        <v>26</v>
      </c>
      <c r="M385">
        <v>0</v>
      </c>
      <c r="N385">
        <v>0</v>
      </c>
      <c r="O385">
        <v>0</v>
      </c>
      <c r="Q385">
        <v>0</v>
      </c>
      <c r="R385">
        <v>0</v>
      </c>
      <c r="U385">
        <v>0</v>
      </c>
      <c r="V385">
        <v>0</v>
      </c>
      <c r="W385" s="1">
        <v>44160</v>
      </c>
      <c r="AA385" t="s">
        <v>40</v>
      </c>
      <c r="AC385" t="s">
        <v>40</v>
      </c>
      <c r="AG385" t="s">
        <v>40</v>
      </c>
      <c r="AJ385" t="s">
        <v>40</v>
      </c>
      <c r="AK385" t="s">
        <v>40</v>
      </c>
    </row>
    <row r="386" spans="1:37" x14ac:dyDescent="0.3">
      <c r="A386">
        <v>2019</v>
      </c>
      <c r="B386">
        <v>4</v>
      </c>
      <c r="C386" t="str">
        <f t="shared" si="10"/>
        <v>4/01/2019</v>
      </c>
      <c r="D386" s="1" t="str">
        <f t="shared" si="11"/>
        <v>4/01/2019</v>
      </c>
      <c r="E386" t="s">
        <v>37</v>
      </c>
      <c r="F386" t="s">
        <v>51</v>
      </c>
      <c r="G386" t="s">
        <v>44</v>
      </c>
      <c r="H386">
        <v>145</v>
      </c>
      <c r="I386">
        <v>135</v>
      </c>
      <c r="J386">
        <v>0</v>
      </c>
      <c r="K386">
        <v>92</v>
      </c>
      <c r="P386">
        <v>0</v>
      </c>
      <c r="Q386">
        <v>0</v>
      </c>
      <c r="U386">
        <v>0</v>
      </c>
      <c r="V386">
        <v>0</v>
      </c>
      <c r="W386" s="1">
        <v>44160</v>
      </c>
      <c r="AC386" t="s">
        <v>40</v>
      </c>
      <c r="AD386" t="s">
        <v>40</v>
      </c>
      <c r="AE386" t="s">
        <v>40</v>
      </c>
      <c r="AF386" t="s">
        <v>40</v>
      </c>
      <c r="AI386" t="s">
        <v>40</v>
      </c>
      <c r="AJ386" t="s">
        <v>40</v>
      </c>
      <c r="AK386" t="s">
        <v>40</v>
      </c>
    </row>
    <row r="387" spans="1:37" x14ac:dyDescent="0.3">
      <c r="A387">
        <v>2019</v>
      </c>
      <c r="B387">
        <v>4</v>
      </c>
      <c r="C387" t="str">
        <f t="shared" ref="C387:C450" si="12">CONCATENATE(B387,"/01/",A387)</f>
        <v>4/01/2019</v>
      </c>
      <c r="D387" s="1" t="str">
        <f t="shared" ref="D387:D450" si="13">C387</f>
        <v>4/01/2019</v>
      </c>
      <c r="E387" t="s">
        <v>37</v>
      </c>
      <c r="F387" t="s">
        <v>51</v>
      </c>
      <c r="G387" t="s">
        <v>45</v>
      </c>
      <c r="H387">
        <v>10</v>
      </c>
      <c r="J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 s="1">
        <v>44160</v>
      </c>
      <c r="Z387" t="s">
        <v>40</v>
      </c>
      <c r="AB387" t="s">
        <v>40</v>
      </c>
    </row>
    <row r="388" spans="1:37" x14ac:dyDescent="0.3">
      <c r="A388">
        <v>2019</v>
      </c>
      <c r="B388">
        <v>4</v>
      </c>
      <c r="C388" t="str">
        <f t="shared" si="12"/>
        <v>4/01/2019</v>
      </c>
      <c r="D388" s="1" t="str">
        <f t="shared" si="13"/>
        <v>4/01/2019</v>
      </c>
      <c r="E388" t="s">
        <v>37</v>
      </c>
      <c r="F388" t="s">
        <v>51</v>
      </c>
      <c r="G388" t="s">
        <v>46</v>
      </c>
      <c r="H388">
        <v>269</v>
      </c>
      <c r="I388">
        <v>259</v>
      </c>
      <c r="K388">
        <v>143</v>
      </c>
      <c r="L388">
        <v>14</v>
      </c>
      <c r="R388">
        <v>0</v>
      </c>
      <c r="S388">
        <v>32</v>
      </c>
      <c r="T388">
        <v>19</v>
      </c>
      <c r="U388">
        <v>0</v>
      </c>
      <c r="V388">
        <v>0</v>
      </c>
      <c r="W388" s="1">
        <v>44160</v>
      </c>
      <c r="AA388" t="s">
        <v>40</v>
      </c>
      <c r="AD388" t="s">
        <v>40</v>
      </c>
      <c r="AE388" t="s">
        <v>40</v>
      </c>
      <c r="AF388" t="s">
        <v>40</v>
      </c>
      <c r="AG388" t="s">
        <v>40</v>
      </c>
      <c r="AH388" t="s">
        <v>40</v>
      </c>
    </row>
    <row r="389" spans="1:37" x14ac:dyDescent="0.3">
      <c r="A389">
        <v>2019</v>
      </c>
      <c r="B389">
        <v>4</v>
      </c>
      <c r="C389" t="str">
        <f t="shared" si="12"/>
        <v>4/01/2019</v>
      </c>
      <c r="D389" s="1" t="str">
        <f t="shared" si="13"/>
        <v>4/01/2019</v>
      </c>
      <c r="E389" t="s">
        <v>37</v>
      </c>
      <c r="F389" t="s">
        <v>51</v>
      </c>
      <c r="G389" t="s">
        <v>47</v>
      </c>
      <c r="H389">
        <v>432</v>
      </c>
      <c r="I389">
        <v>415</v>
      </c>
      <c r="K389">
        <v>157</v>
      </c>
      <c r="L389">
        <v>28</v>
      </c>
      <c r="P389">
        <v>11</v>
      </c>
      <c r="Q389">
        <v>12</v>
      </c>
      <c r="S389">
        <v>78</v>
      </c>
      <c r="T389">
        <v>39</v>
      </c>
      <c r="U389">
        <v>0</v>
      </c>
      <c r="V389">
        <v>0</v>
      </c>
      <c r="W389" s="1">
        <v>44160</v>
      </c>
      <c r="AA389" t="s">
        <v>40</v>
      </c>
      <c r="AD389" t="s">
        <v>40</v>
      </c>
      <c r="AE389" t="s">
        <v>40</v>
      </c>
      <c r="AF389" t="s">
        <v>40</v>
      </c>
      <c r="AI389" t="s">
        <v>40</v>
      </c>
    </row>
    <row r="390" spans="1:37" x14ac:dyDescent="0.3">
      <c r="A390">
        <v>2019</v>
      </c>
      <c r="B390">
        <v>4</v>
      </c>
      <c r="C390" t="str">
        <f t="shared" si="12"/>
        <v>4/01/2019</v>
      </c>
      <c r="D390" s="1" t="str">
        <f t="shared" si="13"/>
        <v>4/01/2019</v>
      </c>
      <c r="E390" t="s">
        <v>37</v>
      </c>
      <c r="F390" t="s">
        <v>51</v>
      </c>
      <c r="G390" t="s">
        <v>48</v>
      </c>
      <c r="H390">
        <v>702</v>
      </c>
      <c r="I390">
        <v>680</v>
      </c>
      <c r="J390">
        <v>10</v>
      </c>
      <c r="K390">
        <v>179</v>
      </c>
      <c r="L390">
        <v>39</v>
      </c>
      <c r="M390">
        <v>29</v>
      </c>
      <c r="N390">
        <v>18</v>
      </c>
      <c r="O390">
        <v>29</v>
      </c>
      <c r="P390">
        <v>16</v>
      </c>
      <c r="Q390">
        <v>16</v>
      </c>
      <c r="S390">
        <v>130</v>
      </c>
      <c r="T390">
        <v>67</v>
      </c>
      <c r="U390">
        <v>0</v>
      </c>
      <c r="V390">
        <v>0</v>
      </c>
      <c r="W390" s="1">
        <v>44160</v>
      </c>
      <c r="AI390" t="s">
        <v>40</v>
      </c>
    </row>
    <row r="391" spans="1:37" x14ac:dyDescent="0.3">
      <c r="A391">
        <v>2019</v>
      </c>
      <c r="B391">
        <v>4</v>
      </c>
      <c r="C391" t="str">
        <f t="shared" si="12"/>
        <v>4/01/2019</v>
      </c>
      <c r="D391" s="1" t="str">
        <f t="shared" si="13"/>
        <v>4/01/2019</v>
      </c>
      <c r="E391" t="s">
        <v>37</v>
      </c>
      <c r="F391" t="s">
        <v>51</v>
      </c>
      <c r="G391" t="s">
        <v>49</v>
      </c>
      <c r="H391" s="2">
        <v>1173</v>
      </c>
      <c r="I391" s="2">
        <v>1142</v>
      </c>
      <c r="J391">
        <v>12</v>
      </c>
      <c r="K391">
        <v>136</v>
      </c>
      <c r="L391">
        <v>37</v>
      </c>
      <c r="M391">
        <v>133</v>
      </c>
      <c r="N391">
        <v>52</v>
      </c>
      <c r="O391">
        <v>39</v>
      </c>
      <c r="P391">
        <v>13</v>
      </c>
      <c r="Q391">
        <v>30</v>
      </c>
      <c r="R391">
        <v>15</v>
      </c>
      <c r="S391">
        <v>284</v>
      </c>
      <c r="T391">
        <v>115</v>
      </c>
      <c r="U391">
        <v>0</v>
      </c>
      <c r="V391">
        <v>0</v>
      </c>
      <c r="W391" s="1">
        <v>44160</v>
      </c>
    </row>
    <row r="392" spans="1:37" x14ac:dyDescent="0.3">
      <c r="A392">
        <v>2019</v>
      </c>
      <c r="B392">
        <v>4</v>
      </c>
      <c r="C392" t="str">
        <f t="shared" si="12"/>
        <v>4/01/2019</v>
      </c>
      <c r="D392" s="1" t="str">
        <f t="shared" si="13"/>
        <v>4/01/2019</v>
      </c>
      <c r="E392" t="s">
        <v>37</v>
      </c>
      <c r="F392" t="s">
        <v>52</v>
      </c>
      <c r="G392" t="s">
        <v>39</v>
      </c>
      <c r="H392">
        <v>269</v>
      </c>
      <c r="I392">
        <v>245</v>
      </c>
      <c r="K392">
        <v>0</v>
      </c>
      <c r="L392">
        <v>0</v>
      </c>
      <c r="M392">
        <v>0</v>
      </c>
      <c r="R392">
        <v>29</v>
      </c>
      <c r="U392">
        <v>0</v>
      </c>
      <c r="V392">
        <v>0</v>
      </c>
      <c r="W392" s="1">
        <v>44160</v>
      </c>
      <c r="AA392" t="s">
        <v>40</v>
      </c>
      <c r="AE392" t="s">
        <v>40</v>
      </c>
      <c r="AF392" t="s">
        <v>40</v>
      </c>
      <c r="AG392" t="s">
        <v>40</v>
      </c>
      <c r="AH392" t="s">
        <v>40</v>
      </c>
      <c r="AJ392" t="s">
        <v>40</v>
      </c>
      <c r="AK392" t="s">
        <v>40</v>
      </c>
    </row>
    <row r="393" spans="1:37" x14ac:dyDescent="0.3">
      <c r="A393">
        <v>2019</v>
      </c>
      <c r="B393">
        <v>4</v>
      </c>
      <c r="C393" t="str">
        <f t="shared" si="12"/>
        <v>4/01/2019</v>
      </c>
      <c r="D393" s="1" t="str">
        <f t="shared" si="13"/>
        <v>4/01/2019</v>
      </c>
      <c r="E393" t="s">
        <v>37</v>
      </c>
      <c r="F393" t="s">
        <v>52</v>
      </c>
      <c r="G393" t="s">
        <v>41</v>
      </c>
      <c r="H393">
        <v>139</v>
      </c>
      <c r="I393">
        <v>46</v>
      </c>
      <c r="J393">
        <v>0</v>
      </c>
      <c r="K393">
        <v>10</v>
      </c>
      <c r="M393">
        <v>0</v>
      </c>
      <c r="N393">
        <v>0</v>
      </c>
      <c r="O393">
        <v>0</v>
      </c>
      <c r="U393">
        <v>0</v>
      </c>
      <c r="V393">
        <v>0</v>
      </c>
      <c r="W393" s="1">
        <v>44160</v>
      </c>
      <c r="AC393" t="s">
        <v>40</v>
      </c>
      <c r="AG393" t="s">
        <v>40</v>
      </c>
      <c r="AH393" t="s">
        <v>40</v>
      </c>
      <c r="AI393" t="s">
        <v>40</v>
      </c>
      <c r="AJ393" t="s">
        <v>40</v>
      </c>
      <c r="AK393" t="s">
        <v>40</v>
      </c>
    </row>
    <row r="394" spans="1:37" x14ac:dyDescent="0.3">
      <c r="A394">
        <v>2019</v>
      </c>
      <c r="B394">
        <v>4</v>
      </c>
      <c r="C394" t="str">
        <f t="shared" si="12"/>
        <v>4/01/2019</v>
      </c>
      <c r="D394" s="1" t="str">
        <f t="shared" si="13"/>
        <v>4/01/2019</v>
      </c>
      <c r="E394" t="s">
        <v>37</v>
      </c>
      <c r="F394" t="s">
        <v>52</v>
      </c>
      <c r="G394" t="s">
        <v>42</v>
      </c>
      <c r="H394">
        <v>276</v>
      </c>
      <c r="I394">
        <v>177</v>
      </c>
      <c r="K394">
        <v>27</v>
      </c>
      <c r="M394">
        <v>0</v>
      </c>
      <c r="O394">
        <v>10</v>
      </c>
      <c r="Q394">
        <v>0</v>
      </c>
      <c r="S394">
        <v>29</v>
      </c>
      <c r="U394">
        <v>0</v>
      </c>
      <c r="V394">
        <v>0</v>
      </c>
      <c r="W394" s="1">
        <v>44160</v>
      </c>
      <c r="AA394" t="s">
        <v>40</v>
      </c>
      <c r="AC394" t="s">
        <v>40</v>
      </c>
      <c r="AE394" t="s">
        <v>40</v>
      </c>
      <c r="AG394" t="s">
        <v>40</v>
      </c>
      <c r="AI394" t="s">
        <v>40</v>
      </c>
      <c r="AK394" t="s">
        <v>40</v>
      </c>
    </row>
    <row r="395" spans="1:37" x14ac:dyDescent="0.3">
      <c r="A395">
        <v>2019</v>
      </c>
      <c r="B395">
        <v>4</v>
      </c>
      <c r="C395" t="str">
        <f t="shared" si="12"/>
        <v>4/01/2019</v>
      </c>
      <c r="D395" s="1" t="str">
        <f t="shared" si="13"/>
        <v>4/01/2019</v>
      </c>
      <c r="E395" t="s">
        <v>37</v>
      </c>
      <c r="F395" t="s">
        <v>52</v>
      </c>
      <c r="G395" t="s">
        <v>43</v>
      </c>
      <c r="H395">
        <v>520</v>
      </c>
      <c r="I395">
        <v>402</v>
      </c>
      <c r="J395">
        <v>13</v>
      </c>
      <c r="K395">
        <v>88</v>
      </c>
      <c r="L395">
        <v>25</v>
      </c>
      <c r="M395">
        <v>0</v>
      </c>
      <c r="Q395">
        <v>13</v>
      </c>
      <c r="S395">
        <v>90</v>
      </c>
      <c r="T395">
        <v>17</v>
      </c>
      <c r="U395">
        <v>0</v>
      </c>
      <c r="V395">
        <v>0</v>
      </c>
      <c r="W395" s="1">
        <v>44160</v>
      </c>
      <c r="AE395" t="s">
        <v>40</v>
      </c>
      <c r="AF395" t="s">
        <v>40</v>
      </c>
      <c r="AG395" t="s">
        <v>40</v>
      </c>
      <c r="AI395" t="s">
        <v>40</v>
      </c>
    </row>
    <row r="396" spans="1:37" x14ac:dyDescent="0.3">
      <c r="A396">
        <v>2019</v>
      </c>
      <c r="B396">
        <v>4</v>
      </c>
      <c r="C396" t="str">
        <f t="shared" si="12"/>
        <v>4/01/2019</v>
      </c>
      <c r="D396" s="1" t="str">
        <f t="shared" si="13"/>
        <v>4/01/2019</v>
      </c>
      <c r="E396" t="s">
        <v>37</v>
      </c>
      <c r="F396" t="s">
        <v>52</v>
      </c>
      <c r="G396" t="s">
        <v>44</v>
      </c>
      <c r="H396" s="2">
        <v>1045</v>
      </c>
      <c r="I396">
        <v>954</v>
      </c>
      <c r="J396">
        <v>34</v>
      </c>
      <c r="K396">
        <v>273</v>
      </c>
      <c r="L396">
        <v>56</v>
      </c>
      <c r="M396">
        <v>0</v>
      </c>
      <c r="N396">
        <v>17</v>
      </c>
      <c r="O396">
        <v>21</v>
      </c>
      <c r="P396">
        <v>15</v>
      </c>
      <c r="Q396">
        <v>25</v>
      </c>
      <c r="R396">
        <v>11</v>
      </c>
      <c r="S396">
        <v>233</v>
      </c>
      <c r="T396">
        <v>43</v>
      </c>
      <c r="U396">
        <v>0</v>
      </c>
      <c r="V396">
        <v>0</v>
      </c>
      <c r="W396" s="1">
        <v>44160</v>
      </c>
    </row>
    <row r="397" spans="1:37" x14ac:dyDescent="0.3">
      <c r="A397">
        <v>2019</v>
      </c>
      <c r="B397">
        <v>4</v>
      </c>
      <c r="C397" t="str">
        <f t="shared" si="12"/>
        <v>4/01/2019</v>
      </c>
      <c r="D397" s="1" t="str">
        <f t="shared" si="13"/>
        <v>4/01/2019</v>
      </c>
      <c r="E397" t="s">
        <v>37</v>
      </c>
      <c r="F397" t="s">
        <v>52</v>
      </c>
      <c r="G397" t="s">
        <v>45</v>
      </c>
      <c r="H397">
        <v>44</v>
      </c>
      <c r="I397">
        <v>20</v>
      </c>
      <c r="J397">
        <v>0</v>
      </c>
      <c r="L397">
        <v>0</v>
      </c>
      <c r="M397">
        <v>0</v>
      </c>
      <c r="P397">
        <v>0</v>
      </c>
      <c r="Q397">
        <v>0</v>
      </c>
      <c r="R397">
        <v>0</v>
      </c>
      <c r="T397">
        <v>0</v>
      </c>
      <c r="U397">
        <v>0</v>
      </c>
      <c r="V397">
        <v>0</v>
      </c>
      <c r="W397" s="1">
        <v>44160</v>
      </c>
      <c r="AB397" t="s">
        <v>40</v>
      </c>
      <c r="AE397" t="s">
        <v>40</v>
      </c>
      <c r="AF397" t="s">
        <v>40</v>
      </c>
      <c r="AJ397" t="s">
        <v>40</v>
      </c>
    </row>
    <row r="398" spans="1:37" x14ac:dyDescent="0.3">
      <c r="A398">
        <v>2019</v>
      </c>
      <c r="B398">
        <v>4</v>
      </c>
      <c r="C398" t="str">
        <f t="shared" si="12"/>
        <v>4/01/2019</v>
      </c>
      <c r="D398" s="1" t="str">
        <f t="shared" si="13"/>
        <v>4/01/2019</v>
      </c>
      <c r="E398" t="s">
        <v>37</v>
      </c>
      <c r="F398" t="s">
        <v>52</v>
      </c>
      <c r="G398" t="s">
        <v>46</v>
      </c>
      <c r="H398" s="2">
        <v>2161</v>
      </c>
      <c r="I398" s="2">
        <v>2045</v>
      </c>
      <c r="J398">
        <v>70</v>
      </c>
      <c r="K398">
        <v>627</v>
      </c>
      <c r="L398">
        <v>134</v>
      </c>
      <c r="N398">
        <v>52</v>
      </c>
      <c r="O398">
        <v>84</v>
      </c>
      <c r="P398">
        <v>32</v>
      </c>
      <c r="Q398">
        <v>53</v>
      </c>
      <c r="R398">
        <v>16</v>
      </c>
      <c r="S398">
        <v>472</v>
      </c>
      <c r="T398">
        <v>118</v>
      </c>
      <c r="U398">
        <v>0</v>
      </c>
      <c r="V398">
        <v>0</v>
      </c>
      <c r="W398" s="1">
        <v>44160</v>
      </c>
      <c r="AD398" t="s">
        <v>40</v>
      </c>
    </row>
    <row r="399" spans="1:37" x14ac:dyDescent="0.3">
      <c r="A399">
        <v>2019</v>
      </c>
      <c r="B399">
        <v>4</v>
      </c>
      <c r="C399" t="str">
        <f t="shared" si="12"/>
        <v>4/01/2019</v>
      </c>
      <c r="D399" s="1" t="str">
        <f t="shared" si="13"/>
        <v>4/01/2019</v>
      </c>
      <c r="E399" t="s">
        <v>37</v>
      </c>
      <c r="F399" t="s">
        <v>52</v>
      </c>
      <c r="G399" t="s">
        <v>47</v>
      </c>
      <c r="H399" s="2">
        <v>2797</v>
      </c>
      <c r="I399" s="2">
        <v>2742</v>
      </c>
      <c r="J399">
        <v>72</v>
      </c>
      <c r="K399">
        <v>764</v>
      </c>
      <c r="L399">
        <v>156</v>
      </c>
      <c r="M399">
        <v>38</v>
      </c>
      <c r="N399">
        <v>49</v>
      </c>
      <c r="O399">
        <v>151</v>
      </c>
      <c r="P399">
        <v>50</v>
      </c>
      <c r="Q399">
        <v>116</v>
      </c>
      <c r="R399">
        <v>27</v>
      </c>
      <c r="S399">
        <v>657</v>
      </c>
      <c r="T399">
        <v>159</v>
      </c>
      <c r="U399">
        <v>0</v>
      </c>
      <c r="V399">
        <v>0</v>
      </c>
      <c r="W399" s="1">
        <v>44160</v>
      </c>
    </row>
    <row r="400" spans="1:37" x14ac:dyDescent="0.3">
      <c r="A400">
        <v>2019</v>
      </c>
      <c r="B400">
        <v>4</v>
      </c>
      <c r="C400" t="str">
        <f t="shared" si="12"/>
        <v>4/01/2019</v>
      </c>
      <c r="D400" s="1" t="str">
        <f t="shared" si="13"/>
        <v>4/01/2019</v>
      </c>
      <c r="E400" t="s">
        <v>37</v>
      </c>
      <c r="F400" t="s">
        <v>52</v>
      </c>
      <c r="G400" t="s">
        <v>48</v>
      </c>
      <c r="H400" s="2">
        <v>2886</v>
      </c>
      <c r="I400" s="2">
        <v>2852</v>
      </c>
      <c r="J400">
        <v>55</v>
      </c>
      <c r="K400">
        <v>627</v>
      </c>
      <c r="L400">
        <v>136</v>
      </c>
      <c r="M400">
        <v>153</v>
      </c>
      <c r="N400">
        <v>49</v>
      </c>
      <c r="O400">
        <v>121</v>
      </c>
      <c r="P400">
        <v>42</v>
      </c>
      <c r="Q400">
        <v>88</v>
      </c>
      <c r="R400">
        <v>24</v>
      </c>
      <c r="S400">
        <v>720</v>
      </c>
      <c r="T400">
        <v>213</v>
      </c>
      <c r="U400">
        <v>0</v>
      </c>
      <c r="V400">
        <v>0</v>
      </c>
      <c r="W400" s="1">
        <v>44160</v>
      </c>
    </row>
    <row r="401" spans="1:37" x14ac:dyDescent="0.3">
      <c r="A401">
        <v>2019</v>
      </c>
      <c r="B401">
        <v>4</v>
      </c>
      <c r="C401" t="str">
        <f t="shared" si="12"/>
        <v>4/01/2019</v>
      </c>
      <c r="D401" s="1" t="str">
        <f t="shared" si="13"/>
        <v>4/01/2019</v>
      </c>
      <c r="E401" t="s">
        <v>37</v>
      </c>
      <c r="F401" t="s">
        <v>52</v>
      </c>
      <c r="G401" t="s">
        <v>49</v>
      </c>
      <c r="H401" s="2">
        <v>3286</v>
      </c>
      <c r="I401" s="2">
        <v>3253</v>
      </c>
      <c r="J401">
        <v>55</v>
      </c>
      <c r="K401">
        <v>324</v>
      </c>
      <c r="L401">
        <v>119</v>
      </c>
      <c r="M401">
        <v>305</v>
      </c>
      <c r="N401">
        <v>82</v>
      </c>
      <c r="O401">
        <v>93</v>
      </c>
      <c r="P401">
        <v>32</v>
      </c>
      <c r="Q401">
        <v>94</v>
      </c>
      <c r="R401">
        <v>42</v>
      </c>
      <c r="S401">
        <v>914</v>
      </c>
      <c r="T401">
        <v>289</v>
      </c>
      <c r="U401">
        <v>0</v>
      </c>
      <c r="V401">
        <v>0</v>
      </c>
      <c r="W401" s="1">
        <v>44160</v>
      </c>
    </row>
    <row r="402" spans="1:37" x14ac:dyDescent="0.3">
      <c r="A402">
        <v>2019</v>
      </c>
      <c r="B402">
        <v>4</v>
      </c>
      <c r="C402" t="str">
        <f t="shared" si="12"/>
        <v>4/01/2019</v>
      </c>
      <c r="D402" s="1" t="str">
        <f t="shared" si="13"/>
        <v>4/01/2019</v>
      </c>
      <c r="E402" t="s">
        <v>37</v>
      </c>
      <c r="F402" t="s">
        <v>53</v>
      </c>
      <c r="G402" t="s">
        <v>39</v>
      </c>
      <c r="H402">
        <v>383</v>
      </c>
      <c r="I402">
        <v>334</v>
      </c>
      <c r="L402">
        <v>0</v>
      </c>
      <c r="M402">
        <v>0</v>
      </c>
      <c r="R402">
        <v>38</v>
      </c>
      <c r="U402">
        <v>0</v>
      </c>
      <c r="V402">
        <v>0</v>
      </c>
      <c r="W402" s="1">
        <v>44160</v>
      </c>
      <c r="AA402" t="s">
        <v>40</v>
      </c>
      <c r="AB402" t="s">
        <v>40</v>
      </c>
      <c r="AE402" t="s">
        <v>40</v>
      </c>
      <c r="AF402" t="s">
        <v>40</v>
      </c>
      <c r="AG402" t="s">
        <v>40</v>
      </c>
      <c r="AH402" t="s">
        <v>40</v>
      </c>
      <c r="AJ402" t="s">
        <v>40</v>
      </c>
      <c r="AK402" t="s">
        <v>40</v>
      </c>
    </row>
    <row r="403" spans="1:37" x14ac:dyDescent="0.3">
      <c r="A403">
        <v>2019</v>
      </c>
      <c r="B403">
        <v>4</v>
      </c>
      <c r="C403" t="str">
        <f t="shared" si="12"/>
        <v>4/01/2019</v>
      </c>
      <c r="D403" s="1" t="str">
        <f t="shared" si="13"/>
        <v>4/01/2019</v>
      </c>
      <c r="E403" t="s">
        <v>37</v>
      </c>
      <c r="F403" t="s">
        <v>53</v>
      </c>
      <c r="G403" t="s">
        <v>41</v>
      </c>
      <c r="H403">
        <v>367</v>
      </c>
      <c r="I403">
        <v>117</v>
      </c>
      <c r="K403">
        <v>21</v>
      </c>
      <c r="M403">
        <v>0</v>
      </c>
      <c r="O403">
        <v>0</v>
      </c>
      <c r="S403">
        <v>14</v>
      </c>
      <c r="U403">
        <v>0</v>
      </c>
      <c r="V403">
        <v>0</v>
      </c>
      <c r="W403" s="1">
        <v>44160</v>
      </c>
      <c r="AA403" t="s">
        <v>40</v>
      </c>
      <c r="AC403" t="s">
        <v>40</v>
      </c>
      <c r="AE403" t="s">
        <v>40</v>
      </c>
      <c r="AG403" t="s">
        <v>40</v>
      </c>
      <c r="AH403" t="s">
        <v>40</v>
      </c>
      <c r="AI403" t="s">
        <v>40</v>
      </c>
      <c r="AK403" t="s">
        <v>40</v>
      </c>
    </row>
    <row r="404" spans="1:37" x14ac:dyDescent="0.3">
      <c r="A404">
        <v>2019</v>
      </c>
      <c r="B404">
        <v>4</v>
      </c>
      <c r="C404" t="str">
        <f t="shared" si="12"/>
        <v>4/01/2019</v>
      </c>
      <c r="D404" s="1" t="str">
        <f t="shared" si="13"/>
        <v>4/01/2019</v>
      </c>
      <c r="E404" t="s">
        <v>37</v>
      </c>
      <c r="F404" t="s">
        <v>53</v>
      </c>
      <c r="G404" t="s">
        <v>42</v>
      </c>
      <c r="H404">
        <v>877</v>
      </c>
      <c r="I404">
        <v>377</v>
      </c>
      <c r="J404">
        <v>11</v>
      </c>
      <c r="K404">
        <v>92</v>
      </c>
      <c r="L404">
        <v>15</v>
      </c>
      <c r="N404">
        <v>12</v>
      </c>
      <c r="O404">
        <v>10</v>
      </c>
      <c r="R404">
        <v>14</v>
      </c>
      <c r="S404">
        <v>52</v>
      </c>
      <c r="T404">
        <v>12</v>
      </c>
      <c r="U404">
        <v>0</v>
      </c>
      <c r="V404">
        <v>0</v>
      </c>
      <c r="W404" s="1">
        <v>44160</v>
      </c>
      <c r="AD404" t="s">
        <v>40</v>
      </c>
      <c r="AG404" t="s">
        <v>40</v>
      </c>
      <c r="AH404" t="s">
        <v>40</v>
      </c>
    </row>
    <row r="405" spans="1:37" x14ac:dyDescent="0.3">
      <c r="A405">
        <v>2019</v>
      </c>
      <c r="B405">
        <v>4</v>
      </c>
      <c r="C405" t="str">
        <f t="shared" si="12"/>
        <v>4/01/2019</v>
      </c>
      <c r="D405" s="1" t="str">
        <f t="shared" si="13"/>
        <v>4/01/2019</v>
      </c>
      <c r="E405" t="s">
        <v>37</v>
      </c>
      <c r="F405" t="s">
        <v>53</v>
      </c>
      <c r="G405" t="s">
        <v>43</v>
      </c>
      <c r="H405" s="2">
        <v>1463</v>
      </c>
      <c r="I405">
        <v>920</v>
      </c>
      <c r="J405">
        <v>10</v>
      </c>
      <c r="K405">
        <v>282</v>
      </c>
      <c r="L405">
        <v>40</v>
      </c>
      <c r="M405">
        <v>0</v>
      </c>
      <c r="N405">
        <v>30</v>
      </c>
      <c r="O405">
        <v>27</v>
      </c>
      <c r="P405">
        <v>15</v>
      </c>
      <c r="Q405">
        <v>12</v>
      </c>
      <c r="R405">
        <v>24</v>
      </c>
      <c r="S405">
        <v>133</v>
      </c>
      <c r="T405">
        <v>35</v>
      </c>
      <c r="U405">
        <v>0</v>
      </c>
      <c r="V405">
        <v>0</v>
      </c>
      <c r="W405" s="1">
        <v>44160</v>
      </c>
    </row>
    <row r="406" spans="1:37" x14ac:dyDescent="0.3">
      <c r="A406">
        <v>2019</v>
      </c>
      <c r="B406">
        <v>4</v>
      </c>
      <c r="C406" t="str">
        <f t="shared" si="12"/>
        <v>4/01/2019</v>
      </c>
      <c r="D406" s="1" t="str">
        <f t="shared" si="13"/>
        <v>4/01/2019</v>
      </c>
      <c r="E406" t="s">
        <v>37</v>
      </c>
      <c r="F406" t="s">
        <v>53</v>
      </c>
      <c r="G406" t="s">
        <v>44</v>
      </c>
      <c r="H406" s="2">
        <v>3300</v>
      </c>
      <c r="I406" s="2">
        <v>2720</v>
      </c>
      <c r="J406">
        <v>46</v>
      </c>
      <c r="K406">
        <v>994</v>
      </c>
      <c r="L406">
        <v>90</v>
      </c>
      <c r="N406">
        <v>49</v>
      </c>
      <c r="O406">
        <v>130</v>
      </c>
      <c r="P406">
        <v>28</v>
      </c>
      <c r="Q406">
        <v>39</v>
      </c>
      <c r="R406">
        <v>38</v>
      </c>
      <c r="S406">
        <v>437</v>
      </c>
      <c r="T406">
        <v>96</v>
      </c>
      <c r="U406">
        <v>0</v>
      </c>
      <c r="V406">
        <v>0</v>
      </c>
      <c r="W406" s="1">
        <v>44160</v>
      </c>
      <c r="AD406" t="s">
        <v>40</v>
      </c>
    </row>
    <row r="407" spans="1:37" x14ac:dyDescent="0.3">
      <c r="A407">
        <v>2019</v>
      </c>
      <c r="B407">
        <v>4</v>
      </c>
      <c r="C407" t="str">
        <f t="shared" si="12"/>
        <v>4/01/2019</v>
      </c>
      <c r="D407" s="1" t="str">
        <f t="shared" si="13"/>
        <v>4/01/2019</v>
      </c>
      <c r="E407" t="s">
        <v>37</v>
      </c>
      <c r="F407" t="s">
        <v>53</v>
      </c>
      <c r="G407" t="s">
        <v>45</v>
      </c>
      <c r="H407">
        <v>86</v>
      </c>
      <c r="I407">
        <v>48</v>
      </c>
      <c r="K407">
        <v>10</v>
      </c>
      <c r="L407">
        <v>0</v>
      </c>
      <c r="M407">
        <v>0</v>
      </c>
      <c r="Q407">
        <v>0</v>
      </c>
      <c r="T407">
        <v>0</v>
      </c>
      <c r="U407">
        <v>0</v>
      </c>
      <c r="V407">
        <v>0</v>
      </c>
      <c r="W407" s="1">
        <v>44160</v>
      </c>
      <c r="AA407" t="s">
        <v>40</v>
      </c>
      <c r="AE407" t="s">
        <v>40</v>
      </c>
      <c r="AF407" t="s">
        <v>40</v>
      </c>
      <c r="AG407" t="s">
        <v>40</v>
      </c>
      <c r="AI407" t="s">
        <v>40</v>
      </c>
      <c r="AJ407" t="s">
        <v>40</v>
      </c>
    </row>
    <row r="408" spans="1:37" x14ac:dyDescent="0.3">
      <c r="A408">
        <v>2019</v>
      </c>
      <c r="B408">
        <v>4</v>
      </c>
      <c r="C408" t="str">
        <f t="shared" si="12"/>
        <v>4/01/2019</v>
      </c>
      <c r="D408" s="1" t="str">
        <f t="shared" si="13"/>
        <v>4/01/2019</v>
      </c>
      <c r="E408" t="s">
        <v>37</v>
      </c>
      <c r="F408" t="s">
        <v>53</v>
      </c>
      <c r="G408" t="s">
        <v>46</v>
      </c>
      <c r="H408" s="2">
        <v>8600</v>
      </c>
      <c r="I408" s="2">
        <v>7971</v>
      </c>
      <c r="J408">
        <v>133</v>
      </c>
      <c r="K408" s="2">
        <v>2957</v>
      </c>
      <c r="L408">
        <v>297</v>
      </c>
      <c r="M408">
        <v>52</v>
      </c>
      <c r="N408">
        <v>164</v>
      </c>
      <c r="O408">
        <v>717</v>
      </c>
      <c r="P408">
        <v>129</v>
      </c>
      <c r="Q408">
        <v>105</v>
      </c>
      <c r="R408">
        <v>64</v>
      </c>
      <c r="S408" s="2">
        <v>1391</v>
      </c>
      <c r="T408">
        <v>268</v>
      </c>
      <c r="U408">
        <v>0</v>
      </c>
      <c r="V408">
        <v>0</v>
      </c>
      <c r="W408" s="1">
        <v>44160</v>
      </c>
    </row>
    <row r="409" spans="1:37" x14ac:dyDescent="0.3">
      <c r="A409">
        <v>2019</v>
      </c>
      <c r="B409">
        <v>4</v>
      </c>
      <c r="C409" t="str">
        <f t="shared" si="12"/>
        <v>4/01/2019</v>
      </c>
      <c r="D409" s="1" t="str">
        <f t="shared" si="13"/>
        <v>4/01/2019</v>
      </c>
      <c r="E409" t="s">
        <v>37</v>
      </c>
      <c r="F409" t="s">
        <v>53</v>
      </c>
      <c r="G409" t="s">
        <v>47</v>
      </c>
      <c r="H409" s="2">
        <v>14702</v>
      </c>
      <c r="I409" s="2">
        <v>14228</v>
      </c>
      <c r="J409">
        <v>234</v>
      </c>
      <c r="K409" s="2">
        <v>4713</v>
      </c>
      <c r="L409">
        <v>481</v>
      </c>
      <c r="M409">
        <v>300</v>
      </c>
      <c r="N409">
        <v>279</v>
      </c>
      <c r="O409" s="2">
        <v>1488</v>
      </c>
      <c r="P409">
        <v>291</v>
      </c>
      <c r="Q409">
        <v>248</v>
      </c>
      <c r="R409">
        <v>104</v>
      </c>
      <c r="S409" s="2">
        <v>2622</v>
      </c>
      <c r="T409">
        <v>669</v>
      </c>
      <c r="U409">
        <v>0</v>
      </c>
      <c r="V409">
        <v>0</v>
      </c>
      <c r="W409" s="1">
        <v>44160</v>
      </c>
    </row>
    <row r="410" spans="1:37" x14ac:dyDescent="0.3">
      <c r="A410">
        <v>2019</v>
      </c>
      <c r="B410">
        <v>4</v>
      </c>
      <c r="C410" t="str">
        <f t="shared" si="12"/>
        <v>4/01/2019</v>
      </c>
      <c r="D410" s="1" t="str">
        <f t="shared" si="13"/>
        <v>4/01/2019</v>
      </c>
      <c r="E410" t="s">
        <v>37</v>
      </c>
      <c r="F410" t="s">
        <v>53</v>
      </c>
      <c r="G410" t="s">
        <v>48</v>
      </c>
      <c r="H410" s="2">
        <v>22056</v>
      </c>
      <c r="I410" s="2">
        <v>21372</v>
      </c>
      <c r="J410">
        <v>342</v>
      </c>
      <c r="K410" s="2">
        <v>4878</v>
      </c>
      <c r="L410">
        <v>565</v>
      </c>
      <c r="M410" s="2">
        <v>1438</v>
      </c>
      <c r="N410">
        <v>423</v>
      </c>
      <c r="O410" s="2">
        <v>2116</v>
      </c>
      <c r="P410">
        <v>434</v>
      </c>
      <c r="Q410">
        <v>399</v>
      </c>
      <c r="R410">
        <v>184</v>
      </c>
      <c r="S410" s="2">
        <v>4511</v>
      </c>
      <c r="T410" s="2">
        <v>1388</v>
      </c>
      <c r="U410">
        <v>0</v>
      </c>
      <c r="V410">
        <v>0</v>
      </c>
      <c r="W410" s="1">
        <v>44160</v>
      </c>
    </row>
    <row r="411" spans="1:37" x14ac:dyDescent="0.3">
      <c r="A411">
        <v>2019</v>
      </c>
      <c r="B411">
        <v>4</v>
      </c>
      <c r="C411" t="str">
        <f t="shared" si="12"/>
        <v>4/01/2019</v>
      </c>
      <c r="D411" s="1" t="str">
        <f t="shared" si="13"/>
        <v>4/01/2019</v>
      </c>
      <c r="E411" t="s">
        <v>37</v>
      </c>
      <c r="F411" t="s">
        <v>53</v>
      </c>
      <c r="G411" t="s">
        <v>49</v>
      </c>
      <c r="H411" s="2">
        <v>37219</v>
      </c>
      <c r="I411" s="2">
        <v>36170</v>
      </c>
      <c r="J411">
        <v>416</v>
      </c>
      <c r="K411" s="2">
        <v>3563</v>
      </c>
      <c r="L411">
        <v>524</v>
      </c>
      <c r="M411" s="2">
        <v>3823</v>
      </c>
      <c r="N411">
        <v>884</v>
      </c>
      <c r="O411" s="2">
        <v>2004</v>
      </c>
      <c r="P411">
        <v>521</v>
      </c>
      <c r="Q411">
        <v>576</v>
      </c>
      <c r="R411">
        <v>570</v>
      </c>
      <c r="S411" s="2">
        <v>10671</v>
      </c>
      <c r="T411" s="2">
        <v>2862</v>
      </c>
      <c r="U411">
        <v>0</v>
      </c>
      <c r="V411">
        <v>0</v>
      </c>
      <c r="W411" s="1">
        <v>44160</v>
      </c>
    </row>
    <row r="412" spans="1:37" x14ac:dyDescent="0.3">
      <c r="A412">
        <v>2019</v>
      </c>
      <c r="B412">
        <v>4</v>
      </c>
      <c r="C412" t="str">
        <f t="shared" si="12"/>
        <v>4/01/2019</v>
      </c>
      <c r="D412" s="1" t="str">
        <f t="shared" si="13"/>
        <v>4/01/2019</v>
      </c>
      <c r="E412" t="s">
        <v>37</v>
      </c>
      <c r="F412" t="s">
        <v>54</v>
      </c>
      <c r="G412" t="s">
        <v>39</v>
      </c>
      <c r="H412">
        <v>59</v>
      </c>
      <c r="I412">
        <v>54</v>
      </c>
      <c r="J412">
        <v>0</v>
      </c>
      <c r="L412">
        <v>0</v>
      </c>
      <c r="M412">
        <v>0</v>
      </c>
      <c r="O412">
        <v>0</v>
      </c>
      <c r="S412">
        <v>0</v>
      </c>
      <c r="T412">
        <v>0</v>
      </c>
      <c r="U412">
        <v>0</v>
      </c>
      <c r="V412">
        <v>0</v>
      </c>
      <c r="W412" s="1">
        <v>44160</v>
      </c>
      <c r="AB412" t="s">
        <v>40</v>
      </c>
      <c r="AE412" t="s">
        <v>40</v>
      </c>
      <c r="AG412" t="s">
        <v>40</v>
      </c>
      <c r="AH412" t="s">
        <v>40</v>
      </c>
      <c r="AI412" t="s">
        <v>40</v>
      </c>
    </row>
    <row r="413" spans="1:37" x14ac:dyDescent="0.3">
      <c r="A413">
        <v>2019</v>
      </c>
      <c r="B413">
        <v>4</v>
      </c>
      <c r="C413" t="str">
        <f t="shared" si="12"/>
        <v>4/01/2019</v>
      </c>
      <c r="D413" s="1" t="str">
        <f t="shared" si="13"/>
        <v>4/01/2019</v>
      </c>
      <c r="E413" t="s">
        <v>37</v>
      </c>
      <c r="F413" t="s">
        <v>54</v>
      </c>
      <c r="G413" t="s">
        <v>41</v>
      </c>
      <c r="H413">
        <v>16</v>
      </c>
      <c r="I413">
        <v>10</v>
      </c>
      <c r="J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U413">
        <v>0</v>
      </c>
      <c r="V413">
        <v>0</v>
      </c>
      <c r="W413" s="1">
        <v>44160</v>
      </c>
      <c r="AB413" t="s">
        <v>40</v>
      </c>
      <c r="AI413" t="s">
        <v>40</v>
      </c>
      <c r="AJ413" t="s">
        <v>40</v>
      </c>
      <c r="AK413" t="s">
        <v>40</v>
      </c>
    </row>
    <row r="414" spans="1:37" x14ac:dyDescent="0.3">
      <c r="A414">
        <v>2019</v>
      </c>
      <c r="B414">
        <v>4</v>
      </c>
      <c r="C414" t="str">
        <f t="shared" si="12"/>
        <v>4/01/2019</v>
      </c>
      <c r="D414" s="1" t="str">
        <f t="shared" si="13"/>
        <v>4/01/2019</v>
      </c>
      <c r="E414" t="s">
        <v>37</v>
      </c>
      <c r="F414" t="s">
        <v>54</v>
      </c>
      <c r="G414" t="s">
        <v>42</v>
      </c>
      <c r="H414">
        <v>23</v>
      </c>
      <c r="I414">
        <v>13</v>
      </c>
      <c r="J414">
        <v>0</v>
      </c>
      <c r="L414">
        <v>0</v>
      </c>
      <c r="M414">
        <v>0</v>
      </c>
      <c r="N414">
        <v>0</v>
      </c>
      <c r="P414">
        <v>0</v>
      </c>
      <c r="R414">
        <v>0</v>
      </c>
      <c r="T414">
        <v>0</v>
      </c>
      <c r="U414">
        <v>0</v>
      </c>
      <c r="V414">
        <v>0</v>
      </c>
      <c r="W414" s="1">
        <v>44160</v>
      </c>
      <c r="AB414" t="s">
        <v>40</v>
      </c>
      <c r="AF414" t="s">
        <v>40</v>
      </c>
      <c r="AH414" t="s">
        <v>40</v>
      </c>
      <c r="AJ414" t="s">
        <v>40</v>
      </c>
    </row>
    <row r="415" spans="1:37" x14ac:dyDescent="0.3">
      <c r="A415">
        <v>2019</v>
      </c>
      <c r="B415">
        <v>4</v>
      </c>
      <c r="C415" t="str">
        <f t="shared" si="12"/>
        <v>4/01/2019</v>
      </c>
      <c r="D415" s="1" t="str">
        <f t="shared" si="13"/>
        <v>4/01/2019</v>
      </c>
      <c r="E415" t="s">
        <v>37</v>
      </c>
      <c r="F415" t="s">
        <v>54</v>
      </c>
      <c r="G415" t="s">
        <v>43</v>
      </c>
      <c r="H415">
        <v>51</v>
      </c>
      <c r="I415">
        <v>33</v>
      </c>
      <c r="J415">
        <v>0</v>
      </c>
      <c r="K415">
        <v>12</v>
      </c>
      <c r="M415">
        <v>0</v>
      </c>
      <c r="P415">
        <v>0</v>
      </c>
      <c r="Q415">
        <v>0</v>
      </c>
      <c r="U415">
        <v>0</v>
      </c>
      <c r="V415">
        <v>0</v>
      </c>
      <c r="W415" s="1">
        <v>44160</v>
      </c>
      <c r="AC415" t="s">
        <v>40</v>
      </c>
      <c r="AE415" t="s">
        <v>40</v>
      </c>
      <c r="AF415" t="s">
        <v>40</v>
      </c>
      <c r="AI415" t="s">
        <v>40</v>
      </c>
      <c r="AJ415" t="s">
        <v>40</v>
      </c>
      <c r="AK415" t="s">
        <v>40</v>
      </c>
    </row>
    <row r="416" spans="1:37" x14ac:dyDescent="0.3">
      <c r="A416">
        <v>2019</v>
      </c>
      <c r="B416">
        <v>4</v>
      </c>
      <c r="C416" t="str">
        <f t="shared" si="12"/>
        <v>4/01/2019</v>
      </c>
      <c r="D416" s="1" t="str">
        <f t="shared" si="13"/>
        <v>4/01/2019</v>
      </c>
      <c r="E416" t="s">
        <v>37</v>
      </c>
      <c r="F416" t="s">
        <v>54</v>
      </c>
      <c r="G416" t="s">
        <v>44</v>
      </c>
      <c r="H416">
        <v>67</v>
      </c>
      <c r="I416">
        <v>56</v>
      </c>
      <c r="K416">
        <v>25</v>
      </c>
      <c r="M416">
        <v>0</v>
      </c>
      <c r="R416">
        <v>0</v>
      </c>
      <c r="S416">
        <v>10</v>
      </c>
      <c r="U416">
        <v>0</v>
      </c>
      <c r="V416">
        <v>0</v>
      </c>
      <c r="W416" s="1">
        <v>44160</v>
      </c>
      <c r="AA416" t="s">
        <v>40</v>
      </c>
      <c r="AC416" t="s">
        <v>40</v>
      </c>
      <c r="AE416" t="s">
        <v>40</v>
      </c>
      <c r="AF416" t="s">
        <v>40</v>
      </c>
      <c r="AG416" t="s">
        <v>40</v>
      </c>
      <c r="AH416" t="s">
        <v>40</v>
      </c>
      <c r="AK416" t="s">
        <v>40</v>
      </c>
    </row>
    <row r="417" spans="1:37" x14ac:dyDescent="0.3">
      <c r="A417">
        <v>2019</v>
      </c>
      <c r="B417">
        <v>4</v>
      </c>
      <c r="C417" t="str">
        <f t="shared" si="12"/>
        <v>4/01/2019</v>
      </c>
      <c r="D417" s="1" t="str">
        <f t="shared" si="13"/>
        <v>4/01/2019</v>
      </c>
      <c r="E417" t="s">
        <v>37</v>
      </c>
      <c r="F417" t="s">
        <v>54</v>
      </c>
      <c r="G417" t="s">
        <v>45</v>
      </c>
      <c r="J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 s="1">
        <v>44160</v>
      </c>
      <c r="Y417" t="s">
        <v>40</v>
      </c>
      <c r="Z417" t="s">
        <v>40</v>
      </c>
      <c r="AB417" t="s">
        <v>40</v>
      </c>
    </row>
    <row r="418" spans="1:37" x14ac:dyDescent="0.3">
      <c r="A418">
        <v>2019</v>
      </c>
      <c r="B418">
        <v>4</v>
      </c>
      <c r="C418" t="str">
        <f t="shared" si="12"/>
        <v>4/01/2019</v>
      </c>
      <c r="D418" s="1" t="str">
        <f t="shared" si="13"/>
        <v>4/01/2019</v>
      </c>
      <c r="E418" t="s">
        <v>37</v>
      </c>
      <c r="F418" t="s">
        <v>54</v>
      </c>
      <c r="G418" t="s">
        <v>46</v>
      </c>
      <c r="H418">
        <v>137</v>
      </c>
      <c r="I418">
        <v>125</v>
      </c>
      <c r="J418">
        <v>0</v>
      </c>
      <c r="K418">
        <v>28</v>
      </c>
      <c r="L418">
        <v>12</v>
      </c>
      <c r="P418">
        <v>0</v>
      </c>
      <c r="S418">
        <v>35</v>
      </c>
      <c r="U418">
        <v>0</v>
      </c>
      <c r="V418">
        <v>0</v>
      </c>
      <c r="W418" s="1">
        <v>44160</v>
      </c>
      <c r="AD418" t="s">
        <v>40</v>
      </c>
      <c r="AE418" t="s">
        <v>40</v>
      </c>
      <c r="AF418" t="s">
        <v>40</v>
      </c>
      <c r="AH418" t="s">
        <v>40</v>
      </c>
      <c r="AI418" t="s">
        <v>40</v>
      </c>
      <c r="AK418" t="s">
        <v>40</v>
      </c>
    </row>
    <row r="419" spans="1:37" x14ac:dyDescent="0.3">
      <c r="A419">
        <v>2019</v>
      </c>
      <c r="B419">
        <v>4</v>
      </c>
      <c r="C419" t="str">
        <f t="shared" si="12"/>
        <v>4/01/2019</v>
      </c>
      <c r="D419" s="1" t="str">
        <f t="shared" si="13"/>
        <v>4/01/2019</v>
      </c>
      <c r="E419" t="s">
        <v>37</v>
      </c>
      <c r="F419" t="s">
        <v>54</v>
      </c>
      <c r="G419" t="s">
        <v>47</v>
      </c>
      <c r="H419">
        <v>159</v>
      </c>
      <c r="I419">
        <v>156</v>
      </c>
      <c r="K419">
        <v>45</v>
      </c>
      <c r="O419">
        <v>14</v>
      </c>
      <c r="S419">
        <v>40</v>
      </c>
      <c r="U419">
        <v>0</v>
      </c>
      <c r="V419">
        <v>0</v>
      </c>
      <c r="W419" s="1">
        <v>44160</v>
      </c>
      <c r="AA419" t="s">
        <v>40</v>
      </c>
      <c r="AC419" t="s">
        <v>40</v>
      </c>
      <c r="AD419" t="s">
        <v>40</v>
      </c>
      <c r="AE419" t="s">
        <v>40</v>
      </c>
      <c r="AG419" t="s">
        <v>40</v>
      </c>
      <c r="AH419" t="s">
        <v>40</v>
      </c>
      <c r="AI419" t="s">
        <v>40</v>
      </c>
      <c r="AK419" t="s">
        <v>40</v>
      </c>
    </row>
    <row r="420" spans="1:37" x14ac:dyDescent="0.3">
      <c r="A420">
        <v>2019</v>
      </c>
      <c r="B420">
        <v>4</v>
      </c>
      <c r="C420" t="str">
        <f t="shared" si="12"/>
        <v>4/01/2019</v>
      </c>
      <c r="D420" s="1" t="str">
        <f t="shared" si="13"/>
        <v>4/01/2019</v>
      </c>
      <c r="E420" t="s">
        <v>37</v>
      </c>
      <c r="F420" t="s">
        <v>54</v>
      </c>
      <c r="G420" t="s">
        <v>48</v>
      </c>
      <c r="H420">
        <v>147</v>
      </c>
      <c r="I420">
        <v>144</v>
      </c>
      <c r="K420">
        <v>26</v>
      </c>
      <c r="O420">
        <v>16</v>
      </c>
      <c r="P420">
        <v>0</v>
      </c>
      <c r="S420">
        <v>29</v>
      </c>
      <c r="U420">
        <v>0</v>
      </c>
      <c r="V420">
        <v>0</v>
      </c>
      <c r="W420" s="1">
        <v>44160</v>
      </c>
      <c r="AA420" t="s">
        <v>40</v>
      </c>
      <c r="AC420" t="s">
        <v>40</v>
      </c>
      <c r="AD420" t="s">
        <v>40</v>
      </c>
      <c r="AE420" t="s">
        <v>40</v>
      </c>
      <c r="AH420" t="s">
        <v>40</v>
      </c>
      <c r="AI420" t="s">
        <v>40</v>
      </c>
      <c r="AK420" t="s">
        <v>40</v>
      </c>
    </row>
    <row r="421" spans="1:37" x14ac:dyDescent="0.3">
      <c r="A421">
        <v>2019</v>
      </c>
      <c r="B421">
        <v>4</v>
      </c>
      <c r="C421" t="str">
        <f t="shared" si="12"/>
        <v>4/01/2019</v>
      </c>
      <c r="D421" s="1" t="str">
        <f t="shared" si="13"/>
        <v>4/01/2019</v>
      </c>
      <c r="E421" t="s">
        <v>37</v>
      </c>
      <c r="F421" t="s">
        <v>54</v>
      </c>
      <c r="G421" t="s">
        <v>49</v>
      </c>
      <c r="H421">
        <v>166</v>
      </c>
      <c r="I421">
        <v>162</v>
      </c>
      <c r="K421">
        <v>13</v>
      </c>
      <c r="M421">
        <v>24</v>
      </c>
      <c r="S421">
        <v>40</v>
      </c>
      <c r="T421">
        <v>10</v>
      </c>
      <c r="U421">
        <v>0</v>
      </c>
      <c r="V421">
        <v>0</v>
      </c>
      <c r="W421" s="1">
        <v>44160</v>
      </c>
      <c r="AA421" t="s">
        <v>40</v>
      </c>
      <c r="AC421" t="s">
        <v>40</v>
      </c>
      <c r="AE421" t="s">
        <v>40</v>
      </c>
      <c r="AF421" t="s">
        <v>40</v>
      </c>
      <c r="AG421" t="s">
        <v>40</v>
      </c>
      <c r="AH421" t="s">
        <v>40</v>
      </c>
      <c r="AI421" t="s">
        <v>40</v>
      </c>
    </row>
    <row r="422" spans="1:37" x14ac:dyDescent="0.3">
      <c r="A422">
        <v>2019</v>
      </c>
      <c r="B422">
        <v>4</v>
      </c>
      <c r="C422" t="str">
        <f t="shared" si="12"/>
        <v>4/01/2019</v>
      </c>
      <c r="D422" s="1" t="str">
        <f t="shared" si="13"/>
        <v>4/01/2019</v>
      </c>
      <c r="E422" t="s">
        <v>55</v>
      </c>
      <c r="F422" t="s">
        <v>38</v>
      </c>
      <c r="G422" t="s">
        <v>39</v>
      </c>
      <c r="H422">
        <v>231</v>
      </c>
      <c r="I422">
        <v>195</v>
      </c>
      <c r="L422">
        <v>0</v>
      </c>
      <c r="M422">
        <v>0</v>
      </c>
      <c r="O422">
        <v>0</v>
      </c>
      <c r="R422">
        <v>32</v>
      </c>
      <c r="U422">
        <v>0</v>
      </c>
      <c r="V422">
        <v>0</v>
      </c>
      <c r="W422" s="1">
        <v>44160</v>
      </c>
      <c r="AA422" t="s">
        <v>40</v>
      </c>
      <c r="AB422" t="s">
        <v>40</v>
      </c>
      <c r="AE422" t="s">
        <v>40</v>
      </c>
      <c r="AG422" t="s">
        <v>40</v>
      </c>
      <c r="AH422" t="s">
        <v>40</v>
      </c>
      <c r="AJ422" t="s">
        <v>40</v>
      </c>
      <c r="AK422" t="s">
        <v>40</v>
      </c>
    </row>
    <row r="423" spans="1:37" x14ac:dyDescent="0.3">
      <c r="A423">
        <v>2019</v>
      </c>
      <c r="B423">
        <v>4</v>
      </c>
      <c r="C423" t="str">
        <f t="shared" si="12"/>
        <v>4/01/2019</v>
      </c>
      <c r="D423" s="1" t="str">
        <f t="shared" si="13"/>
        <v>4/01/2019</v>
      </c>
      <c r="E423" t="s">
        <v>55</v>
      </c>
      <c r="F423" t="s">
        <v>38</v>
      </c>
      <c r="G423" t="s">
        <v>41</v>
      </c>
      <c r="H423">
        <v>385</v>
      </c>
      <c r="I423">
        <v>78</v>
      </c>
      <c r="K423">
        <v>23</v>
      </c>
      <c r="M423">
        <v>0</v>
      </c>
      <c r="O423">
        <v>0</v>
      </c>
      <c r="U423">
        <v>0</v>
      </c>
      <c r="V423">
        <v>0</v>
      </c>
      <c r="W423" s="1">
        <v>44160</v>
      </c>
      <c r="AA423" t="s">
        <v>40</v>
      </c>
      <c r="AC423" t="s">
        <v>40</v>
      </c>
      <c r="AE423" t="s">
        <v>40</v>
      </c>
      <c r="AG423" t="s">
        <v>40</v>
      </c>
      <c r="AH423" t="s">
        <v>40</v>
      </c>
      <c r="AI423" t="s">
        <v>40</v>
      </c>
      <c r="AJ423" t="s">
        <v>40</v>
      </c>
      <c r="AK423" t="s">
        <v>40</v>
      </c>
    </row>
    <row r="424" spans="1:37" x14ac:dyDescent="0.3">
      <c r="A424">
        <v>2019</v>
      </c>
      <c r="B424">
        <v>4</v>
      </c>
      <c r="C424" t="str">
        <f t="shared" si="12"/>
        <v>4/01/2019</v>
      </c>
      <c r="D424" s="1" t="str">
        <f t="shared" si="13"/>
        <v>4/01/2019</v>
      </c>
      <c r="E424" t="s">
        <v>55</v>
      </c>
      <c r="F424" t="s">
        <v>38</v>
      </c>
      <c r="G424" t="s">
        <v>42</v>
      </c>
      <c r="H424">
        <v>582</v>
      </c>
      <c r="I424">
        <v>178</v>
      </c>
      <c r="K424">
        <v>33</v>
      </c>
      <c r="M424">
        <v>0</v>
      </c>
      <c r="S424">
        <v>32</v>
      </c>
      <c r="U424">
        <v>0</v>
      </c>
      <c r="V424">
        <v>0</v>
      </c>
      <c r="W424" s="1">
        <v>44160</v>
      </c>
      <c r="AA424" t="s">
        <v>40</v>
      </c>
      <c r="AC424" t="s">
        <v>40</v>
      </c>
      <c r="AE424" t="s">
        <v>40</v>
      </c>
      <c r="AF424" t="s">
        <v>40</v>
      </c>
      <c r="AG424" t="s">
        <v>40</v>
      </c>
      <c r="AH424" t="s">
        <v>40</v>
      </c>
      <c r="AI424" t="s">
        <v>40</v>
      </c>
      <c r="AK424" t="s">
        <v>40</v>
      </c>
    </row>
    <row r="425" spans="1:37" x14ac:dyDescent="0.3">
      <c r="A425">
        <v>2019</v>
      </c>
      <c r="B425">
        <v>4</v>
      </c>
      <c r="C425" t="str">
        <f t="shared" si="12"/>
        <v>4/01/2019</v>
      </c>
      <c r="D425" s="1" t="str">
        <f t="shared" si="13"/>
        <v>4/01/2019</v>
      </c>
      <c r="E425" t="s">
        <v>55</v>
      </c>
      <c r="F425" t="s">
        <v>38</v>
      </c>
      <c r="G425" t="s">
        <v>43</v>
      </c>
      <c r="H425">
        <v>653</v>
      </c>
      <c r="I425">
        <v>362</v>
      </c>
      <c r="K425">
        <v>61</v>
      </c>
      <c r="L425">
        <v>16</v>
      </c>
      <c r="R425">
        <v>12</v>
      </c>
      <c r="S425">
        <v>87</v>
      </c>
      <c r="T425">
        <v>25</v>
      </c>
      <c r="U425">
        <v>0</v>
      </c>
      <c r="V425">
        <v>0</v>
      </c>
      <c r="W425" s="1">
        <v>44160</v>
      </c>
      <c r="AA425" t="s">
        <v>40</v>
      </c>
      <c r="AD425" t="s">
        <v>40</v>
      </c>
      <c r="AE425" t="s">
        <v>40</v>
      </c>
      <c r="AF425" t="s">
        <v>40</v>
      </c>
      <c r="AG425" t="s">
        <v>40</v>
      </c>
      <c r="AH425" t="s">
        <v>40</v>
      </c>
    </row>
    <row r="426" spans="1:37" x14ac:dyDescent="0.3">
      <c r="A426">
        <v>2019</v>
      </c>
      <c r="B426">
        <v>4</v>
      </c>
      <c r="C426" t="str">
        <f t="shared" si="12"/>
        <v>4/01/2019</v>
      </c>
      <c r="D426" s="1" t="str">
        <f t="shared" si="13"/>
        <v>4/01/2019</v>
      </c>
      <c r="E426" t="s">
        <v>55</v>
      </c>
      <c r="F426" t="s">
        <v>38</v>
      </c>
      <c r="G426" t="s">
        <v>44</v>
      </c>
      <c r="H426" s="2">
        <v>1029</v>
      </c>
      <c r="I426">
        <v>797</v>
      </c>
      <c r="J426">
        <v>14</v>
      </c>
      <c r="K426">
        <v>160</v>
      </c>
      <c r="L426">
        <v>71</v>
      </c>
      <c r="M426">
        <v>0</v>
      </c>
      <c r="N426">
        <v>18</v>
      </c>
      <c r="P426">
        <v>11</v>
      </c>
      <c r="Q426">
        <v>17</v>
      </c>
      <c r="R426">
        <v>10</v>
      </c>
      <c r="S426">
        <v>192</v>
      </c>
      <c r="T426">
        <v>48</v>
      </c>
      <c r="U426">
        <v>0</v>
      </c>
      <c r="V426">
        <v>0</v>
      </c>
      <c r="W426" s="1">
        <v>44160</v>
      </c>
      <c r="AF426" t="s">
        <v>40</v>
      </c>
    </row>
    <row r="427" spans="1:37" x14ac:dyDescent="0.3">
      <c r="A427">
        <v>2019</v>
      </c>
      <c r="B427">
        <v>4</v>
      </c>
      <c r="C427" t="str">
        <f t="shared" si="12"/>
        <v>4/01/2019</v>
      </c>
      <c r="D427" s="1" t="str">
        <f t="shared" si="13"/>
        <v>4/01/2019</v>
      </c>
      <c r="E427" t="s">
        <v>55</v>
      </c>
      <c r="F427" t="s">
        <v>38</v>
      </c>
      <c r="G427" t="s">
        <v>45</v>
      </c>
      <c r="H427">
        <v>58</v>
      </c>
      <c r="I427">
        <v>30</v>
      </c>
      <c r="J427">
        <v>0</v>
      </c>
      <c r="K427">
        <v>13</v>
      </c>
      <c r="L427">
        <v>0</v>
      </c>
      <c r="M427">
        <v>0</v>
      </c>
      <c r="O427">
        <v>0</v>
      </c>
      <c r="P427">
        <v>0</v>
      </c>
      <c r="Q427">
        <v>0</v>
      </c>
      <c r="T427">
        <v>0</v>
      </c>
      <c r="U427">
        <v>0</v>
      </c>
      <c r="V427">
        <v>0</v>
      </c>
      <c r="W427" s="1">
        <v>44160</v>
      </c>
      <c r="AE427" t="s">
        <v>40</v>
      </c>
      <c r="AI427" t="s">
        <v>40</v>
      </c>
      <c r="AJ427" t="s">
        <v>40</v>
      </c>
    </row>
    <row r="428" spans="1:37" x14ac:dyDescent="0.3">
      <c r="A428">
        <v>2019</v>
      </c>
      <c r="B428">
        <v>4</v>
      </c>
      <c r="C428" t="str">
        <f t="shared" si="12"/>
        <v>4/01/2019</v>
      </c>
      <c r="D428" s="1" t="str">
        <f t="shared" si="13"/>
        <v>4/01/2019</v>
      </c>
      <c r="E428" t="s">
        <v>55</v>
      </c>
      <c r="F428" t="s">
        <v>38</v>
      </c>
      <c r="G428" t="s">
        <v>46</v>
      </c>
      <c r="H428" s="2">
        <v>1587</v>
      </c>
      <c r="I428" s="2">
        <v>1391</v>
      </c>
      <c r="J428">
        <v>26</v>
      </c>
      <c r="K428">
        <v>378</v>
      </c>
      <c r="L428">
        <v>117</v>
      </c>
      <c r="N428">
        <v>16</v>
      </c>
      <c r="O428">
        <v>25</v>
      </c>
      <c r="P428">
        <v>25</v>
      </c>
      <c r="Q428">
        <v>31</v>
      </c>
      <c r="S428">
        <v>332</v>
      </c>
      <c r="T428">
        <v>73</v>
      </c>
      <c r="U428">
        <v>0</v>
      </c>
      <c r="V428">
        <v>0</v>
      </c>
      <c r="W428" s="1">
        <v>44160</v>
      </c>
      <c r="AD428" t="s">
        <v>40</v>
      </c>
      <c r="AI428" t="s">
        <v>40</v>
      </c>
    </row>
    <row r="429" spans="1:37" x14ac:dyDescent="0.3">
      <c r="A429">
        <v>2019</v>
      </c>
      <c r="B429">
        <v>4</v>
      </c>
      <c r="C429" t="str">
        <f t="shared" si="12"/>
        <v>4/01/2019</v>
      </c>
      <c r="D429" s="1" t="str">
        <f t="shared" si="13"/>
        <v>4/01/2019</v>
      </c>
      <c r="E429" t="s">
        <v>55</v>
      </c>
      <c r="F429" t="s">
        <v>38</v>
      </c>
      <c r="G429" t="s">
        <v>47</v>
      </c>
      <c r="H429" s="2">
        <v>1774</v>
      </c>
      <c r="I429" s="2">
        <v>1683</v>
      </c>
      <c r="J429">
        <v>25</v>
      </c>
      <c r="K429">
        <v>491</v>
      </c>
      <c r="L429">
        <v>137</v>
      </c>
      <c r="M429">
        <v>13</v>
      </c>
      <c r="N429">
        <v>29</v>
      </c>
      <c r="O429">
        <v>57</v>
      </c>
      <c r="P429">
        <v>39</v>
      </c>
      <c r="Q429">
        <v>44</v>
      </c>
      <c r="S429">
        <v>415</v>
      </c>
      <c r="T429">
        <v>115</v>
      </c>
      <c r="U429">
        <v>0</v>
      </c>
      <c r="V429">
        <v>0</v>
      </c>
      <c r="W429" s="1">
        <v>44160</v>
      </c>
      <c r="AI429" t="s">
        <v>40</v>
      </c>
    </row>
    <row r="430" spans="1:37" x14ac:dyDescent="0.3">
      <c r="A430">
        <v>2019</v>
      </c>
      <c r="B430">
        <v>4</v>
      </c>
      <c r="C430" t="str">
        <f t="shared" si="12"/>
        <v>4/01/2019</v>
      </c>
      <c r="D430" s="1" t="str">
        <f t="shared" si="13"/>
        <v>4/01/2019</v>
      </c>
      <c r="E430" t="s">
        <v>55</v>
      </c>
      <c r="F430" t="s">
        <v>38</v>
      </c>
      <c r="G430" t="s">
        <v>48</v>
      </c>
      <c r="H430" s="2">
        <v>1894</v>
      </c>
      <c r="I430" s="2">
        <v>1827</v>
      </c>
      <c r="J430">
        <v>29</v>
      </c>
      <c r="K430">
        <v>416</v>
      </c>
      <c r="L430">
        <v>107</v>
      </c>
      <c r="M430">
        <v>67</v>
      </c>
      <c r="N430">
        <v>47</v>
      </c>
      <c r="O430">
        <v>100</v>
      </c>
      <c r="P430">
        <v>44</v>
      </c>
      <c r="Q430">
        <v>46</v>
      </c>
      <c r="R430">
        <v>10</v>
      </c>
      <c r="S430">
        <v>473</v>
      </c>
      <c r="T430">
        <v>119</v>
      </c>
      <c r="U430">
        <v>0</v>
      </c>
      <c r="V430">
        <v>0</v>
      </c>
      <c r="W430" s="1">
        <v>44160</v>
      </c>
    </row>
    <row r="431" spans="1:37" x14ac:dyDescent="0.3">
      <c r="A431">
        <v>2019</v>
      </c>
      <c r="B431">
        <v>4</v>
      </c>
      <c r="C431" t="str">
        <f t="shared" si="12"/>
        <v>4/01/2019</v>
      </c>
      <c r="D431" s="1" t="str">
        <f t="shared" si="13"/>
        <v>4/01/2019</v>
      </c>
      <c r="E431" t="s">
        <v>55</v>
      </c>
      <c r="F431" t="s">
        <v>38</v>
      </c>
      <c r="G431" t="s">
        <v>49</v>
      </c>
      <c r="H431" s="2">
        <v>1548</v>
      </c>
      <c r="I431" s="2">
        <v>1514</v>
      </c>
      <c r="J431">
        <v>23</v>
      </c>
      <c r="K431">
        <v>222</v>
      </c>
      <c r="L431">
        <v>42</v>
      </c>
      <c r="M431">
        <v>128</v>
      </c>
      <c r="N431">
        <v>40</v>
      </c>
      <c r="O431">
        <v>79</v>
      </c>
      <c r="P431">
        <v>27</v>
      </c>
      <c r="Q431">
        <v>31</v>
      </c>
      <c r="S431">
        <v>441</v>
      </c>
      <c r="T431">
        <v>138</v>
      </c>
      <c r="U431">
        <v>0</v>
      </c>
      <c r="V431">
        <v>0</v>
      </c>
      <c r="W431" s="1">
        <v>44160</v>
      </c>
      <c r="AI431" t="s">
        <v>40</v>
      </c>
    </row>
    <row r="432" spans="1:37" x14ac:dyDescent="0.3">
      <c r="A432">
        <v>2019</v>
      </c>
      <c r="B432">
        <v>4</v>
      </c>
      <c r="C432" t="str">
        <f t="shared" si="12"/>
        <v>4/01/2019</v>
      </c>
      <c r="D432" s="1" t="str">
        <f t="shared" si="13"/>
        <v>4/01/2019</v>
      </c>
      <c r="E432" t="s">
        <v>55</v>
      </c>
      <c r="F432" t="s">
        <v>50</v>
      </c>
      <c r="G432" t="s">
        <v>39</v>
      </c>
      <c r="H432">
        <v>12</v>
      </c>
      <c r="I432">
        <v>10</v>
      </c>
      <c r="J432">
        <v>0</v>
      </c>
      <c r="K432">
        <v>0</v>
      </c>
      <c r="L432">
        <v>0</v>
      </c>
      <c r="M432">
        <v>0</v>
      </c>
      <c r="O432">
        <v>0</v>
      </c>
      <c r="P432">
        <v>0</v>
      </c>
      <c r="Q432">
        <v>0</v>
      </c>
      <c r="S432">
        <v>0</v>
      </c>
      <c r="T432">
        <v>0</v>
      </c>
      <c r="U432">
        <v>0</v>
      </c>
      <c r="V432">
        <v>0</v>
      </c>
      <c r="W432" s="1">
        <v>44160</v>
      </c>
      <c r="AE432" t="s">
        <v>40</v>
      </c>
      <c r="AI432" t="s">
        <v>40</v>
      </c>
    </row>
    <row r="433" spans="1:37" x14ac:dyDescent="0.3">
      <c r="A433">
        <v>2019</v>
      </c>
      <c r="B433">
        <v>4</v>
      </c>
      <c r="C433" t="str">
        <f t="shared" si="12"/>
        <v>4/01/2019</v>
      </c>
      <c r="D433" s="1" t="str">
        <f t="shared" si="13"/>
        <v>4/01/2019</v>
      </c>
      <c r="E433" t="s">
        <v>55</v>
      </c>
      <c r="F433" t="s">
        <v>50</v>
      </c>
      <c r="G433" t="s">
        <v>41</v>
      </c>
      <c r="H433">
        <v>25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S433">
        <v>0</v>
      </c>
      <c r="T433">
        <v>0</v>
      </c>
      <c r="U433">
        <v>0</v>
      </c>
      <c r="V433">
        <v>0</v>
      </c>
      <c r="W433" s="1">
        <v>44160</v>
      </c>
      <c r="Z433" t="s">
        <v>40</v>
      </c>
      <c r="AI433" t="s">
        <v>40</v>
      </c>
    </row>
    <row r="434" spans="1:37" x14ac:dyDescent="0.3">
      <c r="A434">
        <v>2019</v>
      </c>
      <c r="B434">
        <v>4</v>
      </c>
      <c r="C434" t="str">
        <f t="shared" si="12"/>
        <v>4/01/2019</v>
      </c>
      <c r="D434" s="1" t="str">
        <f t="shared" si="13"/>
        <v>4/01/2019</v>
      </c>
      <c r="E434" t="s">
        <v>55</v>
      </c>
      <c r="F434" t="s">
        <v>50</v>
      </c>
      <c r="G434" t="s">
        <v>42</v>
      </c>
      <c r="H434">
        <v>57</v>
      </c>
      <c r="I434">
        <v>21</v>
      </c>
      <c r="J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T434">
        <v>0</v>
      </c>
      <c r="U434">
        <v>0</v>
      </c>
      <c r="V434">
        <v>0</v>
      </c>
      <c r="W434" s="1">
        <v>44160</v>
      </c>
      <c r="AB434" t="s">
        <v>40</v>
      </c>
      <c r="AC434" t="s">
        <v>40</v>
      </c>
      <c r="AI434" t="s">
        <v>40</v>
      </c>
      <c r="AJ434" t="s">
        <v>40</v>
      </c>
    </row>
    <row r="435" spans="1:37" x14ac:dyDescent="0.3">
      <c r="A435">
        <v>2019</v>
      </c>
      <c r="B435">
        <v>4</v>
      </c>
      <c r="C435" t="str">
        <f t="shared" si="12"/>
        <v>4/01/2019</v>
      </c>
      <c r="D435" s="1" t="str">
        <f t="shared" si="13"/>
        <v>4/01/2019</v>
      </c>
      <c r="E435" t="s">
        <v>55</v>
      </c>
      <c r="F435" t="s">
        <v>50</v>
      </c>
      <c r="G435" t="s">
        <v>43</v>
      </c>
      <c r="H435">
        <v>78</v>
      </c>
      <c r="I435">
        <v>45</v>
      </c>
      <c r="M435">
        <v>0</v>
      </c>
      <c r="O435">
        <v>0</v>
      </c>
      <c r="P435">
        <v>0</v>
      </c>
      <c r="Q435">
        <v>0</v>
      </c>
      <c r="S435">
        <v>12</v>
      </c>
      <c r="U435">
        <v>0</v>
      </c>
      <c r="V435">
        <v>0</v>
      </c>
      <c r="W435" s="1">
        <v>44160</v>
      </c>
      <c r="AA435" t="s">
        <v>40</v>
      </c>
      <c r="AB435" t="s">
        <v>40</v>
      </c>
      <c r="AC435" t="s">
        <v>40</v>
      </c>
      <c r="AE435" t="s">
        <v>40</v>
      </c>
      <c r="AI435" t="s">
        <v>40</v>
      </c>
      <c r="AK435" t="s">
        <v>40</v>
      </c>
    </row>
    <row r="436" spans="1:37" x14ac:dyDescent="0.3">
      <c r="A436">
        <v>2019</v>
      </c>
      <c r="B436">
        <v>4</v>
      </c>
      <c r="C436" t="str">
        <f t="shared" si="12"/>
        <v>4/01/2019</v>
      </c>
      <c r="D436" s="1" t="str">
        <f t="shared" si="13"/>
        <v>4/01/2019</v>
      </c>
      <c r="E436" t="s">
        <v>55</v>
      </c>
      <c r="F436" t="s">
        <v>50</v>
      </c>
      <c r="G436" t="s">
        <v>44</v>
      </c>
      <c r="H436">
        <v>79</v>
      </c>
      <c r="I436">
        <v>60</v>
      </c>
      <c r="M436">
        <v>0</v>
      </c>
      <c r="O436">
        <v>0</v>
      </c>
      <c r="S436">
        <v>14</v>
      </c>
      <c r="U436">
        <v>0</v>
      </c>
      <c r="V436">
        <v>0</v>
      </c>
      <c r="W436" s="1">
        <v>44160</v>
      </c>
      <c r="AA436" t="s">
        <v>40</v>
      </c>
      <c r="AB436" t="s">
        <v>40</v>
      </c>
      <c r="AC436" t="s">
        <v>40</v>
      </c>
      <c r="AE436" t="s">
        <v>40</v>
      </c>
      <c r="AG436" t="s">
        <v>40</v>
      </c>
      <c r="AH436" t="s">
        <v>40</v>
      </c>
      <c r="AI436" t="s">
        <v>40</v>
      </c>
      <c r="AK436" t="s">
        <v>40</v>
      </c>
    </row>
    <row r="437" spans="1:37" x14ac:dyDescent="0.3">
      <c r="A437">
        <v>2019</v>
      </c>
      <c r="B437">
        <v>4</v>
      </c>
      <c r="C437" t="str">
        <f t="shared" si="12"/>
        <v>4/01/2019</v>
      </c>
      <c r="D437" s="1" t="str">
        <f t="shared" si="13"/>
        <v>4/01/2019</v>
      </c>
      <c r="E437" t="s">
        <v>55</v>
      </c>
      <c r="F437" t="s">
        <v>50</v>
      </c>
      <c r="G437" t="s">
        <v>45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T437">
        <v>0</v>
      </c>
      <c r="U437">
        <v>0</v>
      </c>
      <c r="V437">
        <v>0</v>
      </c>
      <c r="W437" s="1">
        <v>44160</v>
      </c>
      <c r="Y437" t="s">
        <v>40</v>
      </c>
      <c r="Z437" t="s">
        <v>40</v>
      </c>
      <c r="AJ437" t="s">
        <v>40</v>
      </c>
    </row>
    <row r="438" spans="1:37" x14ac:dyDescent="0.3">
      <c r="A438">
        <v>2019</v>
      </c>
      <c r="B438">
        <v>4</v>
      </c>
      <c r="C438" t="str">
        <f t="shared" si="12"/>
        <v>4/01/2019</v>
      </c>
      <c r="D438" s="1" t="str">
        <f t="shared" si="13"/>
        <v>4/01/2019</v>
      </c>
      <c r="E438" t="s">
        <v>55</v>
      </c>
      <c r="F438" t="s">
        <v>50</v>
      </c>
      <c r="G438" t="s">
        <v>46</v>
      </c>
      <c r="H438">
        <v>156</v>
      </c>
      <c r="I438">
        <v>145</v>
      </c>
      <c r="K438">
        <v>36</v>
      </c>
      <c r="L438">
        <v>15</v>
      </c>
      <c r="M438">
        <v>0</v>
      </c>
      <c r="S438">
        <v>29</v>
      </c>
      <c r="U438">
        <v>0</v>
      </c>
      <c r="V438">
        <v>0</v>
      </c>
      <c r="W438" s="1">
        <v>44160</v>
      </c>
      <c r="AA438" t="s">
        <v>40</v>
      </c>
      <c r="AE438" t="s">
        <v>40</v>
      </c>
      <c r="AF438" t="s">
        <v>40</v>
      </c>
      <c r="AG438" t="s">
        <v>40</v>
      </c>
      <c r="AH438" t="s">
        <v>40</v>
      </c>
      <c r="AI438" t="s">
        <v>40</v>
      </c>
      <c r="AK438" t="s">
        <v>40</v>
      </c>
    </row>
    <row r="439" spans="1:37" x14ac:dyDescent="0.3">
      <c r="A439">
        <v>2019</v>
      </c>
      <c r="B439">
        <v>4</v>
      </c>
      <c r="C439" t="str">
        <f t="shared" si="12"/>
        <v>4/01/2019</v>
      </c>
      <c r="D439" s="1" t="str">
        <f t="shared" si="13"/>
        <v>4/01/2019</v>
      </c>
      <c r="E439" t="s">
        <v>55</v>
      </c>
      <c r="F439" t="s">
        <v>50</v>
      </c>
      <c r="G439" t="s">
        <v>47</v>
      </c>
      <c r="H439">
        <v>185</v>
      </c>
      <c r="I439">
        <v>182</v>
      </c>
      <c r="K439">
        <v>51</v>
      </c>
      <c r="L439">
        <v>12</v>
      </c>
      <c r="O439">
        <v>14</v>
      </c>
      <c r="S439">
        <v>39</v>
      </c>
      <c r="U439">
        <v>0</v>
      </c>
      <c r="V439">
        <v>0</v>
      </c>
      <c r="W439" s="1">
        <v>44160</v>
      </c>
      <c r="AA439" t="s">
        <v>40</v>
      </c>
      <c r="AD439" t="s">
        <v>40</v>
      </c>
      <c r="AE439" t="s">
        <v>40</v>
      </c>
      <c r="AG439" t="s">
        <v>40</v>
      </c>
      <c r="AH439" t="s">
        <v>40</v>
      </c>
      <c r="AI439" t="s">
        <v>40</v>
      </c>
      <c r="AK439" t="s">
        <v>40</v>
      </c>
    </row>
    <row r="440" spans="1:37" x14ac:dyDescent="0.3">
      <c r="A440">
        <v>2019</v>
      </c>
      <c r="B440">
        <v>4</v>
      </c>
      <c r="C440" t="str">
        <f t="shared" si="12"/>
        <v>4/01/2019</v>
      </c>
      <c r="D440" s="1" t="str">
        <f t="shared" si="13"/>
        <v>4/01/2019</v>
      </c>
      <c r="E440" t="s">
        <v>55</v>
      </c>
      <c r="F440" t="s">
        <v>50</v>
      </c>
      <c r="G440" t="s">
        <v>48</v>
      </c>
      <c r="H440">
        <v>128</v>
      </c>
      <c r="I440">
        <v>117</v>
      </c>
      <c r="K440">
        <v>20</v>
      </c>
      <c r="L440">
        <v>10</v>
      </c>
      <c r="O440">
        <v>13</v>
      </c>
      <c r="S440">
        <v>33</v>
      </c>
      <c r="U440">
        <v>0</v>
      </c>
      <c r="V440">
        <v>0</v>
      </c>
      <c r="W440" s="1">
        <v>44160</v>
      </c>
      <c r="AA440" t="s">
        <v>40</v>
      </c>
      <c r="AD440" t="s">
        <v>40</v>
      </c>
      <c r="AE440" t="s">
        <v>40</v>
      </c>
      <c r="AG440" t="s">
        <v>40</v>
      </c>
      <c r="AH440" t="s">
        <v>40</v>
      </c>
      <c r="AI440" t="s">
        <v>40</v>
      </c>
      <c r="AK440" t="s">
        <v>40</v>
      </c>
    </row>
    <row r="441" spans="1:37" x14ac:dyDescent="0.3">
      <c r="A441">
        <v>2019</v>
      </c>
      <c r="B441">
        <v>4</v>
      </c>
      <c r="C441" t="str">
        <f t="shared" si="12"/>
        <v>4/01/2019</v>
      </c>
      <c r="D441" s="1" t="str">
        <f t="shared" si="13"/>
        <v>4/01/2019</v>
      </c>
      <c r="E441" t="s">
        <v>55</v>
      </c>
      <c r="F441" t="s">
        <v>50</v>
      </c>
      <c r="G441" t="s">
        <v>49</v>
      </c>
      <c r="H441">
        <v>70</v>
      </c>
      <c r="I441">
        <v>69</v>
      </c>
      <c r="R441">
        <v>0</v>
      </c>
      <c r="S441">
        <v>26</v>
      </c>
      <c r="U441">
        <v>0</v>
      </c>
      <c r="V441">
        <v>0</v>
      </c>
      <c r="W441" s="1">
        <v>44160</v>
      </c>
      <c r="AA441" t="s">
        <v>40</v>
      </c>
      <c r="AB441" t="s">
        <v>40</v>
      </c>
      <c r="AC441" t="s">
        <v>40</v>
      </c>
      <c r="AD441" t="s">
        <v>40</v>
      </c>
      <c r="AE441" t="s">
        <v>40</v>
      </c>
      <c r="AF441" t="s">
        <v>40</v>
      </c>
      <c r="AG441" t="s">
        <v>40</v>
      </c>
      <c r="AH441" t="s">
        <v>40</v>
      </c>
      <c r="AK441" t="s">
        <v>40</v>
      </c>
    </row>
    <row r="442" spans="1:37" x14ac:dyDescent="0.3">
      <c r="A442">
        <v>2019</v>
      </c>
      <c r="B442">
        <v>4</v>
      </c>
      <c r="C442" t="str">
        <f t="shared" si="12"/>
        <v>4/01/2019</v>
      </c>
      <c r="D442" s="1" t="str">
        <f t="shared" si="13"/>
        <v>4/01/2019</v>
      </c>
      <c r="E442" t="s">
        <v>55</v>
      </c>
      <c r="F442" t="s">
        <v>51</v>
      </c>
      <c r="G442" t="s">
        <v>39</v>
      </c>
      <c r="H442">
        <v>33</v>
      </c>
      <c r="I442">
        <v>29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Q442">
        <v>0</v>
      </c>
      <c r="S442">
        <v>0</v>
      </c>
      <c r="T442">
        <v>0</v>
      </c>
      <c r="U442">
        <v>0</v>
      </c>
      <c r="V442">
        <v>0</v>
      </c>
      <c r="W442" s="1">
        <v>44160</v>
      </c>
      <c r="AG442" t="s">
        <v>40</v>
      </c>
      <c r="AI442" t="s">
        <v>40</v>
      </c>
    </row>
    <row r="443" spans="1:37" x14ac:dyDescent="0.3">
      <c r="A443">
        <v>2019</v>
      </c>
      <c r="B443">
        <v>4</v>
      </c>
      <c r="C443" t="str">
        <f t="shared" si="12"/>
        <v>4/01/2019</v>
      </c>
      <c r="D443" s="1" t="str">
        <f t="shared" si="13"/>
        <v>4/01/2019</v>
      </c>
      <c r="E443" t="s">
        <v>55</v>
      </c>
      <c r="F443" t="s">
        <v>51</v>
      </c>
      <c r="G443" t="s">
        <v>41</v>
      </c>
      <c r="H443">
        <v>34</v>
      </c>
      <c r="J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T443">
        <v>0</v>
      </c>
      <c r="U443">
        <v>0</v>
      </c>
      <c r="V443">
        <v>0</v>
      </c>
      <c r="W443" s="1">
        <v>44160</v>
      </c>
      <c r="Z443" t="s">
        <v>40</v>
      </c>
      <c r="AB443" t="s">
        <v>40</v>
      </c>
      <c r="AC443" t="s">
        <v>40</v>
      </c>
      <c r="AI443" t="s">
        <v>40</v>
      </c>
      <c r="AJ443" t="s">
        <v>40</v>
      </c>
    </row>
    <row r="444" spans="1:37" x14ac:dyDescent="0.3">
      <c r="A444">
        <v>2019</v>
      </c>
      <c r="B444">
        <v>4</v>
      </c>
      <c r="C444" t="str">
        <f t="shared" si="12"/>
        <v>4/01/2019</v>
      </c>
      <c r="D444" s="1" t="str">
        <f t="shared" si="13"/>
        <v>4/01/2019</v>
      </c>
      <c r="E444" t="s">
        <v>55</v>
      </c>
      <c r="F444" t="s">
        <v>51</v>
      </c>
      <c r="G444" t="s">
        <v>42</v>
      </c>
      <c r="H444">
        <v>77</v>
      </c>
      <c r="I444">
        <v>31</v>
      </c>
      <c r="J444">
        <v>0</v>
      </c>
      <c r="K444">
        <v>10</v>
      </c>
      <c r="M444">
        <v>0</v>
      </c>
      <c r="O444">
        <v>0</v>
      </c>
      <c r="P444">
        <v>0</v>
      </c>
      <c r="U444">
        <v>0</v>
      </c>
      <c r="V444">
        <v>0</v>
      </c>
      <c r="W444" s="1">
        <v>44160</v>
      </c>
      <c r="AC444" t="s">
        <v>40</v>
      </c>
      <c r="AE444" t="s">
        <v>40</v>
      </c>
      <c r="AH444" t="s">
        <v>40</v>
      </c>
      <c r="AI444" t="s">
        <v>40</v>
      </c>
      <c r="AJ444" t="s">
        <v>40</v>
      </c>
      <c r="AK444" t="s">
        <v>40</v>
      </c>
    </row>
    <row r="445" spans="1:37" x14ac:dyDescent="0.3">
      <c r="A445">
        <v>2019</v>
      </c>
      <c r="B445">
        <v>4</v>
      </c>
      <c r="C445" t="str">
        <f t="shared" si="12"/>
        <v>4/01/2019</v>
      </c>
      <c r="D445" s="1" t="str">
        <f t="shared" si="13"/>
        <v>4/01/2019</v>
      </c>
      <c r="E445" t="s">
        <v>55</v>
      </c>
      <c r="F445" t="s">
        <v>51</v>
      </c>
      <c r="G445" t="s">
        <v>43</v>
      </c>
      <c r="H445">
        <v>106</v>
      </c>
      <c r="I445">
        <v>72</v>
      </c>
      <c r="K445">
        <v>17</v>
      </c>
      <c r="M445">
        <v>0</v>
      </c>
      <c r="O445">
        <v>0</v>
      </c>
      <c r="S445">
        <v>19</v>
      </c>
      <c r="U445">
        <v>0</v>
      </c>
      <c r="V445">
        <v>0</v>
      </c>
      <c r="W445" s="1">
        <v>44160</v>
      </c>
      <c r="AA445" t="s">
        <v>40</v>
      </c>
      <c r="AC445" t="s">
        <v>40</v>
      </c>
      <c r="AE445" t="s">
        <v>40</v>
      </c>
      <c r="AG445" t="s">
        <v>40</v>
      </c>
      <c r="AH445" t="s">
        <v>40</v>
      </c>
      <c r="AI445" t="s">
        <v>40</v>
      </c>
      <c r="AK445" t="s">
        <v>40</v>
      </c>
    </row>
    <row r="446" spans="1:37" x14ac:dyDescent="0.3">
      <c r="A446">
        <v>2019</v>
      </c>
      <c r="B446">
        <v>4</v>
      </c>
      <c r="C446" t="str">
        <f t="shared" si="12"/>
        <v>4/01/2019</v>
      </c>
      <c r="D446" s="1" t="str">
        <f t="shared" si="13"/>
        <v>4/01/2019</v>
      </c>
      <c r="E446" t="s">
        <v>55</v>
      </c>
      <c r="F446" t="s">
        <v>51</v>
      </c>
      <c r="G446" t="s">
        <v>44</v>
      </c>
      <c r="H446">
        <v>196</v>
      </c>
      <c r="I446">
        <v>167</v>
      </c>
      <c r="K446">
        <v>48</v>
      </c>
      <c r="L446">
        <v>13</v>
      </c>
      <c r="M446">
        <v>0</v>
      </c>
      <c r="O446">
        <v>0</v>
      </c>
      <c r="S446">
        <v>54</v>
      </c>
      <c r="U446">
        <v>0</v>
      </c>
      <c r="V446">
        <v>0</v>
      </c>
      <c r="W446" s="1">
        <v>44160</v>
      </c>
      <c r="AA446" t="s">
        <v>40</v>
      </c>
      <c r="AE446" t="s">
        <v>40</v>
      </c>
      <c r="AG446" t="s">
        <v>40</v>
      </c>
      <c r="AH446" t="s">
        <v>40</v>
      </c>
      <c r="AI446" t="s">
        <v>40</v>
      </c>
      <c r="AK446" t="s">
        <v>40</v>
      </c>
    </row>
    <row r="447" spans="1:37" x14ac:dyDescent="0.3">
      <c r="A447">
        <v>2019</v>
      </c>
      <c r="B447">
        <v>4</v>
      </c>
      <c r="C447" t="str">
        <f t="shared" si="12"/>
        <v>4/01/2019</v>
      </c>
      <c r="D447" s="1" t="str">
        <f t="shared" si="13"/>
        <v>4/01/2019</v>
      </c>
      <c r="E447" t="s">
        <v>55</v>
      </c>
      <c r="F447" t="s">
        <v>51</v>
      </c>
      <c r="G447" t="s">
        <v>45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T447">
        <v>0</v>
      </c>
      <c r="U447">
        <v>0</v>
      </c>
      <c r="V447">
        <v>0</v>
      </c>
      <c r="W447" s="1">
        <v>44160</v>
      </c>
      <c r="Y447" t="s">
        <v>40</v>
      </c>
      <c r="Z447" t="s">
        <v>40</v>
      </c>
      <c r="AJ447" t="s">
        <v>40</v>
      </c>
    </row>
    <row r="448" spans="1:37" x14ac:dyDescent="0.3">
      <c r="A448">
        <v>2019</v>
      </c>
      <c r="B448">
        <v>4</v>
      </c>
      <c r="C448" t="str">
        <f t="shared" si="12"/>
        <v>4/01/2019</v>
      </c>
      <c r="D448" s="1" t="str">
        <f t="shared" si="13"/>
        <v>4/01/2019</v>
      </c>
      <c r="E448" t="s">
        <v>55</v>
      </c>
      <c r="F448" t="s">
        <v>51</v>
      </c>
      <c r="G448" t="s">
        <v>46</v>
      </c>
      <c r="H448">
        <v>412</v>
      </c>
      <c r="I448">
        <v>371</v>
      </c>
      <c r="K448">
        <v>148</v>
      </c>
      <c r="L448">
        <v>19</v>
      </c>
      <c r="S448">
        <v>84</v>
      </c>
      <c r="T448">
        <v>28</v>
      </c>
      <c r="U448">
        <v>0</v>
      </c>
      <c r="V448">
        <v>0</v>
      </c>
      <c r="W448" s="1">
        <v>44160</v>
      </c>
      <c r="AA448" t="s">
        <v>40</v>
      </c>
      <c r="AD448" t="s">
        <v>40</v>
      </c>
      <c r="AE448" t="s">
        <v>40</v>
      </c>
      <c r="AF448" t="s">
        <v>40</v>
      </c>
      <c r="AG448" t="s">
        <v>40</v>
      </c>
      <c r="AH448" t="s">
        <v>40</v>
      </c>
      <c r="AI448" t="s">
        <v>40</v>
      </c>
    </row>
    <row r="449" spans="1:37" x14ac:dyDescent="0.3">
      <c r="A449">
        <v>2019</v>
      </c>
      <c r="B449">
        <v>4</v>
      </c>
      <c r="C449" t="str">
        <f t="shared" si="12"/>
        <v>4/01/2019</v>
      </c>
      <c r="D449" s="1" t="str">
        <f t="shared" si="13"/>
        <v>4/01/2019</v>
      </c>
      <c r="E449" t="s">
        <v>55</v>
      </c>
      <c r="F449" t="s">
        <v>51</v>
      </c>
      <c r="G449" t="s">
        <v>47</v>
      </c>
      <c r="H449">
        <v>595</v>
      </c>
      <c r="I449">
        <v>570</v>
      </c>
      <c r="K449">
        <v>186</v>
      </c>
      <c r="L449">
        <v>46</v>
      </c>
      <c r="N449">
        <v>13</v>
      </c>
      <c r="O449">
        <v>15</v>
      </c>
      <c r="P449">
        <v>11</v>
      </c>
      <c r="Q449">
        <v>23</v>
      </c>
      <c r="S449">
        <v>131</v>
      </c>
      <c r="T449">
        <v>33</v>
      </c>
      <c r="U449">
        <v>0</v>
      </c>
      <c r="V449">
        <v>0</v>
      </c>
      <c r="W449" s="1">
        <v>44160</v>
      </c>
      <c r="AA449" t="s">
        <v>40</v>
      </c>
      <c r="AD449" t="s">
        <v>40</v>
      </c>
      <c r="AI449" t="s">
        <v>40</v>
      </c>
    </row>
    <row r="450" spans="1:37" x14ac:dyDescent="0.3">
      <c r="A450">
        <v>2019</v>
      </c>
      <c r="B450">
        <v>4</v>
      </c>
      <c r="C450" t="str">
        <f t="shared" si="12"/>
        <v>4/01/2019</v>
      </c>
      <c r="D450" s="1" t="str">
        <f t="shared" si="13"/>
        <v>4/01/2019</v>
      </c>
      <c r="E450" t="s">
        <v>55</v>
      </c>
      <c r="F450" t="s">
        <v>51</v>
      </c>
      <c r="G450" t="s">
        <v>48</v>
      </c>
      <c r="H450">
        <v>720</v>
      </c>
      <c r="I450">
        <v>695</v>
      </c>
      <c r="J450">
        <v>13</v>
      </c>
      <c r="K450">
        <v>167</v>
      </c>
      <c r="L450">
        <v>42</v>
      </c>
      <c r="M450">
        <v>18</v>
      </c>
      <c r="N450">
        <v>24</v>
      </c>
      <c r="O450">
        <v>28</v>
      </c>
      <c r="P450">
        <v>18</v>
      </c>
      <c r="Q450">
        <v>18</v>
      </c>
      <c r="S450">
        <v>176</v>
      </c>
      <c r="T450">
        <v>64</v>
      </c>
      <c r="U450">
        <v>0</v>
      </c>
      <c r="V450">
        <v>0</v>
      </c>
      <c r="W450" s="1">
        <v>44160</v>
      </c>
      <c r="AI450" t="s">
        <v>40</v>
      </c>
    </row>
    <row r="451" spans="1:37" x14ac:dyDescent="0.3">
      <c r="A451">
        <v>2019</v>
      </c>
      <c r="B451">
        <v>4</v>
      </c>
      <c r="C451" t="str">
        <f t="shared" ref="C451:C514" si="14">CONCATENATE(B451,"/01/",A451)</f>
        <v>4/01/2019</v>
      </c>
      <c r="D451" s="1" t="str">
        <f t="shared" ref="D451:D514" si="15">C451</f>
        <v>4/01/2019</v>
      </c>
      <c r="E451" t="s">
        <v>55</v>
      </c>
      <c r="F451" t="s">
        <v>51</v>
      </c>
      <c r="G451" t="s">
        <v>49</v>
      </c>
      <c r="H451">
        <v>782</v>
      </c>
      <c r="I451">
        <v>756</v>
      </c>
      <c r="K451">
        <v>129</v>
      </c>
      <c r="L451">
        <v>29</v>
      </c>
      <c r="M451">
        <v>50</v>
      </c>
      <c r="N451">
        <v>32</v>
      </c>
      <c r="O451">
        <v>31</v>
      </c>
      <c r="Q451">
        <v>14</v>
      </c>
      <c r="S451">
        <v>198</v>
      </c>
      <c r="T451">
        <v>62</v>
      </c>
      <c r="U451">
        <v>0</v>
      </c>
      <c r="V451">
        <v>0</v>
      </c>
      <c r="W451" s="1">
        <v>44160</v>
      </c>
      <c r="AA451" t="s">
        <v>40</v>
      </c>
      <c r="AG451" t="s">
        <v>40</v>
      </c>
      <c r="AI451" t="s">
        <v>40</v>
      </c>
    </row>
    <row r="452" spans="1:37" x14ac:dyDescent="0.3">
      <c r="A452">
        <v>2019</v>
      </c>
      <c r="B452">
        <v>4</v>
      </c>
      <c r="C452" t="str">
        <f t="shared" si="14"/>
        <v>4/01/2019</v>
      </c>
      <c r="D452" s="1" t="str">
        <f t="shared" si="15"/>
        <v>4/01/2019</v>
      </c>
      <c r="E452" t="s">
        <v>55</v>
      </c>
      <c r="F452" t="s">
        <v>52</v>
      </c>
      <c r="G452" t="s">
        <v>39</v>
      </c>
      <c r="H452">
        <v>316</v>
      </c>
      <c r="I452">
        <v>275</v>
      </c>
      <c r="L452">
        <v>0</v>
      </c>
      <c r="M452">
        <v>0</v>
      </c>
      <c r="R452">
        <v>35</v>
      </c>
      <c r="U452">
        <v>0</v>
      </c>
      <c r="V452">
        <v>0</v>
      </c>
      <c r="W452" s="1">
        <v>44160</v>
      </c>
      <c r="AA452" t="s">
        <v>40</v>
      </c>
      <c r="AB452" t="s">
        <v>40</v>
      </c>
      <c r="AE452" t="s">
        <v>40</v>
      </c>
      <c r="AF452" t="s">
        <v>40</v>
      </c>
      <c r="AG452" t="s">
        <v>40</v>
      </c>
      <c r="AH452" t="s">
        <v>40</v>
      </c>
      <c r="AJ452" t="s">
        <v>40</v>
      </c>
      <c r="AK452" t="s">
        <v>40</v>
      </c>
    </row>
    <row r="453" spans="1:37" x14ac:dyDescent="0.3">
      <c r="A453">
        <v>2019</v>
      </c>
      <c r="B453">
        <v>4</v>
      </c>
      <c r="C453" t="str">
        <f t="shared" si="14"/>
        <v>4/01/2019</v>
      </c>
      <c r="D453" s="1" t="str">
        <f t="shared" si="15"/>
        <v>4/01/2019</v>
      </c>
      <c r="E453" t="s">
        <v>55</v>
      </c>
      <c r="F453" t="s">
        <v>52</v>
      </c>
      <c r="G453" t="s">
        <v>41</v>
      </c>
      <c r="H453">
        <v>405</v>
      </c>
      <c r="I453">
        <v>69</v>
      </c>
      <c r="K453">
        <v>10</v>
      </c>
      <c r="M453">
        <v>0</v>
      </c>
      <c r="Q453">
        <v>0</v>
      </c>
      <c r="S453">
        <v>13</v>
      </c>
      <c r="U453">
        <v>0</v>
      </c>
      <c r="V453">
        <v>0</v>
      </c>
      <c r="W453" s="1">
        <v>44160</v>
      </c>
      <c r="AA453" t="s">
        <v>40</v>
      </c>
      <c r="AC453" t="s">
        <v>40</v>
      </c>
      <c r="AE453" t="s">
        <v>40</v>
      </c>
      <c r="AF453" t="s">
        <v>40</v>
      </c>
      <c r="AG453" t="s">
        <v>40</v>
      </c>
      <c r="AI453" t="s">
        <v>40</v>
      </c>
      <c r="AK453" t="s">
        <v>40</v>
      </c>
    </row>
    <row r="454" spans="1:37" x14ac:dyDescent="0.3">
      <c r="A454">
        <v>2019</v>
      </c>
      <c r="B454">
        <v>4</v>
      </c>
      <c r="C454" t="str">
        <f t="shared" si="14"/>
        <v>4/01/2019</v>
      </c>
      <c r="D454" s="1" t="str">
        <f t="shared" si="15"/>
        <v>4/01/2019</v>
      </c>
      <c r="E454" t="s">
        <v>55</v>
      </c>
      <c r="F454" t="s">
        <v>52</v>
      </c>
      <c r="G454" t="s">
        <v>42</v>
      </c>
      <c r="H454">
        <v>721</v>
      </c>
      <c r="I454">
        <v>251</v>
      </c>
      <c r="K454">
        <v>30</v>
      </c>
      <c r="L454">
        <v>17</v>
      </c>
      <c r="M454">
        <v>0</v>
      </c>
      <c r="R454">
        <v>11</v>
      </c>
      <c r="S454">
        <v>72</v>
      </c>
      <c r="T454">
        <v>13</v>
      </c>
      <c r="U454">
        <v>0</v>
      </c>
      <c r="V454">
        <v>0</v>
      </c>
      <c r="W454" s="1">
        <v>44160</v>
      </c>
      <c r="AA454" t="s">
        <v>40</v>
      </c>
      <c r="AE454" t="s">
        <v>40</v>
      </c>
      <c r="AF454" t="s">
        <v>40</v>
      </c>
      <c r="AG454" t="s">
        <v>40</v>
      </c>
      <c r="AH454" t="s">
        <v>40</v>
      </c>
    </row>
    <row r="455" spans="1:37" x14ac:dyDescent="0.3">
      <c r="A455">
        <v>2019</v>
      </c>
      <c r="B455">
        <v>4</v>
      </c>
      <c r="C455" t="str">
        <f t="shared" si="14"/>
        <v>4/01/2019</v>
      </c>
      <c r="D455" s="1" t="str">
        <f t="shared" si="15"/>
        <v>4/01/2019</v>
      </c>
      <c r="E455" t="s">
        <v>55</v>
      </c>
      <c r="F455" t="s">
        <v>52</v>
      </c>
      <c r="G455" t="s">
        <v>43</v>
      </c>
      <c r="H455">
        <v>836</v>
      </c>
      <c r="I455">
        <v>498</v>
      </c>
      <c r="K455">
        <v>54</v>
      </c>
      <c r="L455">
        <v>38</v>
      </c>
      <c r="M455">
        <v>0</v>
      </c>
      <c r="P455">
        <v>12</v>
      </c>
      <c r="Q455">
        <v>18</v>
      </c>
      <c r="R455">
        <v>15</v>
      </c>
      <c r="S455">
        <v>169</v>
      </c>
      <c r="T455">
        <v>21</v>
      </c>
      <c r="U455">
        <v>0</v>
      </c>
      <c r="V455">
        <v>0</v>
      </c>
      <c r="W455" s="1">
        <v>44160</v>
      </c>
      <c r="AA455" t="s">
        <v>40</v>
      </c>
      <c r="AE455" t="s">
        <v>40</v>
      </c>
      <c r="AF455" t="s">
        <v>40</v>
      </c>
    </row>
    <row r="456" spans="1:37" x14ac:dyDescent="0.3">
      <c r="A456">
        <v>2019</v>
      </c>
      <c r="B456">
        <v>4</v>
      </c>
      <c r="C456" t="str">
        <f t="shared" si="14"/>
        <v>4/01/2019</v>
      </c>
      <c r="D456" s="1" t="str">
        <f t="shared" si="15"/>
        <v>4/01/2019</v>
      </c>
      <c r="E456" t="s">
        <v>55</v>
      </c>
      <c r="F456" t="s">
        <v>52</v>
      </c>
      <c r="G456" t="s">
        <v>44</v>
      </c>
      <c r="H456" s="2">
        <v>1405</v>
      </c>
      <c r="I456" s="2">
        <v>1089</v>
      </c>
      <c r="J456">
        <v>20</v>
      </c>
      <c r="K456">
        <v>185</v>
      </c>
      <c r="L456">
        <v>75</v>
      </c>
      <c r="M456">
        <v>0</v>
      </c>
      <c r="N456">
        <v>18</v>
      </c>
      <c r="O456">
        <v>16</v>
      </c>
      <c r="P456">
        <v>11</v>
      </c>
      <c r="Q456">
        <v>37</v>
      </c>
      <c r="R456">
        <v>12</v>
      </c>
      <c r="S456">
        <v>389</v>
      </c>
      <c r="T456">
        <v>63</v>
      </c>
      <c r="U456">
        <v>0</v>
      </c>
      <c r="V456">
        <v>0</v>
      </c>
      <c r="W456" s="1">
        <v>44160</v>
      </c>
    </row>
    <row r="457" spans="1:37" x14ac:dyDescent="0.3">
      <c r="A457">
        <v>2019</v>
      </c>
      <c r="B457">
        <v>4</v>
      </c>
      <c r="C457" t="str">
        <f t="shared" si="14"/>
        <v>4/01/2019</v>
      </c>
      <c r="D457" s="1" t="str">
        <f t="shared" si="15"/>
        <v>4/01/2019</v>
      </c>
      <c r="E457" t="s">
        <v>55</v>
      </c>
      <c r="F457" t="s">
        <v>52</v>
      </c>
      <c r="G457" t="s">
        <v>45</v>
      </c>
      <c r="H457">
        <v>64</v>
      </c>
      <c r="I457">
        <v>26</v>
      </c>
      <c r="J457">
        <v>0</v>
      </c>
      <c r="L457">
        <v>0</v>
      </c>
      <c r="M457">
        <v>0</v>
      </c>
      <c r="Q457">
        <v>0</v>
      </c>
      <c r="U457">
        <v>0</v>
      </c>
      <c r="V457">
        <v>0</v>
      </c>
      <c r="W457" s="1">
        <v>44160</v>
      </c>
      <c r="AB457" t="s">
        <v>40</v>
      </c>
      <c r="AE457" t="s">
        <v>40</v>
      </c>
      <c r="AF457" t="s">
        <v>40</v>
      </c>
      <c r="AG457" t="s">
        <v>40</v>
      </c>
      <c r="AI457" t="s">
        <v>40</v>
      </c>
      <c r="AJ457" t="s">
        <v>40</v>
      </c>
      <c r="AK457" t="s">
        <v>40</v>
      </c>
    </row>
    <row r="458" spans="1:37" x14ac:dyDescent="0.3">
      <c r="A458">
        <v>2019</v>
      </c>
      <c r="B458">
        <v>4</v>
      </c>
      <c r="C458" t="str">
        <f t="shared" si="14"/>
        <v>4/01/2019</v>
      </c>
      <c r="D458" s="1" t="str">
        <f t="shared" si="15"/>
        <v>4/01/2019</v>
      </c>
      <c r="E458" t="s">
        <v>55</v>
      </c>
      <c r="F458" t="s">
        <v>52</v>
      </c>
      <c r="G458" t="s">
        <v>46</v>
      </c>
      <c r="H458" s="2">
        <v>3159</v>
      </c>
      <c r="I458" s="2">
        <v>2833</v>
      </c>
      <c r="J458">
        <v>48</v>
      </c>
      <c r="K458">
        <v>741</v>
      </c>
      <c r="L458">
        <v>161</v>
      </c>
      <c r="N458">
        <v>53</v>
      </c>
      <c r="O458">
        <v>92</v>
      </c>
      <c r="P458">
        <v>43</v>
      </c>
      <c r="Q458">
        <v>90</v>
      </c>
      <c r="R458">
        <v>36</v>
      </c>
      <c r="S458">
        <v>856</v>
      </c>
      <c r="T458">
        <v>155</v>
      </c>
      <c r="U458">
        <v>0</v>
      </c>
      <c r="V458">
        <v>0</v>
      </c>
      <c r="W458" s="1">
        <v>44160</v>
      </c>
      <c r="AD458" t="s">
        <v>40</v>
      </c>
    </row>
    <row r="459" spans="1:37" x14ac:dyDescent="0.3">
      <c r="A459">
        <v>2019</v>
      </c>
      <c r="B459">
        <v>4</v>
      </c>
      <c r="C459" t="str">
        <f t="shared" si="14"/>
        <v>4/01/2019</v>
      </c>
      <c r="D459" s="1" t="str">
        <f t="shared" si="15"/>
        <v>4/01/2019</v>
      </c>
      <c r="E459" t="s">
        <v>55</v>
      </c>
      <c r="F459" t="s">
        <v>52</v>
      </c>
      <c r="G459" t="s">
        <v>47</v>
      </c>
      <c r="H459" s="2">
        <v>3518</v>
      </c>
      <c r="I459" s="2">
        <v>3332</v>
      </c>
      <c r="J459">
        <v>75</v>
      </c>
      <c r="K459">
        <v>916</v>
      </c>
      <c r="L459">
        <v>181</v>
      </c>
      <c r="M459">
        <v>24</v>
      </c>
      <c r="N459">
        <v>64</v>
      </c>
      <c r="O459">
        <v>173</v>
      </c>
      <c r="P459">
        <v>44</v>
      </c>
      <c r="Q459">
        <v>126</v>
      </c>
      <c r="R459">
        <v>28</v>
      </c>
      <c r="S459">
        <v>896</v>
      </c>
      <c r="T459">
        <v>209</v>
      </c>
      <c r="U459">
        <v>0</v>
      </c>
      <c r="V459">
        <v>0</v>
      </c>
      <c r="W459" s="1">
        <v>44160</v>
      </c>
    </row>
    <row r="460" spans="1:37" x14ac:dyDescent="0.3">
      <c r="A460">
        <v>2019</v>
      </c>
      <c r="B460">
        <v>4</v>
      </c>
      <c r="C460" t="str">
        <f t="shared" si="14"/>
        <v>4/01/2019</v>
      </c>
      <c r="D460" s="1" t="str">
        <f t="shared" si="15"/>
        <v>4/01/2019</v>
      </c>
      <c r="E460" t="s">
        <v>55</v>
      </c>
      <c r="F460" t="s">
        <v>52</v>
      </c>
      <c r="G460" t="s">
        <v>48</v>
      </c>
      <c r="H460" s="2">
        <v>2730</v>
      </c>
      <c r="I460" s="2">
        <v>2658</v>
      </c>
      <c r="J460">
        <v>58</v>
      </c>
      <c r="K460">
        <v>631</v>
      </c>
      <c r="L460">
        <v>126</v>
      </c>
      <c r="M460">
        <v>90</v>
      </c>
      <c r="N460">
        <v>41</v>
      </c>
      <c r="O460">
        <v>135</v>
      </c>
      <c r="P460">
        <v>37</v>
      </c>
      <c r="Q460">
        <v>79</v>
      </c>
      <c r="R460">
        <v>19</v>
      </c>
      <c r="S460">
        <v>733</v>
      </c>
      <c r="T460">
        <v>201</v>
      </c>
      <c r="U460">
        <v>0</v>
      </c>
      <c r="V460">
        <v>0</v>
      </c>
      <c r="W460" s="1">
        <v>44160</v>
      </c>
    </row>
    <row r="461" spans="1:37" x14ac:dyDescent="0.3">
      <c r="A461">
        <v>2019</v>
      </c>
      <c r="B461">
        <v>4</v>
      </c>
      <c r="C461" t="str">
        <f t="shared" si="14"/>
        <v>4/01/2019</v>
      </c>
      <c r="D461" s="1" t="str">
        <f t="shared" si="15"/>
        <v>4/01/2019</v>
      </c>
      <c r="E461" t="s">
        <v>55</v>
      </c>
      <c r="F461" t="s">
        <v>52</v>
      </c>
      <c r="G461" t="s">
        <v>49</v>
      </c>
      <c r="H461" s="2">
        <v>1587</v>
      </c>
      <c r="I461" s="2">
        <v>1556</v>
      </c>
      <c r="J461">
        <v>31</v>
      </c>
      <c r="K461">
        <v>258</v>
      </c>
      <c r="L461">
        <v>42</v>
      </c>
      <c r="M461">
        <v>110</v>
      </c>
      <c r="N461">
        <v>31</v>
      </c>
      <c r="O461">
        <v>62</v>
      </c>
      <c r="P461">
        <v>21</v>
      </c>
      <c r="Q461">
        <v>50</v>
      </c>
      <c r="R461">
        <v>19</v>
      </c>
      <c r="S461">
        <v>422</v>
      </c>
      <c r="T461">
        <v>120</v>
      </c>
      <c r="U461">
        <v>0</v>
      </c>
      <c r="V461">
        <v>0</v>
      </c>
      <c r="W461" s="1">
        <v>44160</v>
      </c>
    </row>
    <row r="462" spans="1:37" x14ac:dyDescent="0.3">
      <c r="A462">
        <v>2019</v>
      </c>
      <c r="B462">
        <v>4</v>
      </c>
      <c r="C462" t="str">
        <f t="shared" si="14"/>
        <v>4/01/2019</v>
      </c>
      <c r="D462" s="1" t="str">
        <f t="shared" si="15"/>
        <v>4/01/2019</v>
      </c>
      <c r="E462" t="s">
        <v>55</v>
      </c>
      <c r="F462" t="s">
        <v>53</v>
      </c>
      <c r="G462" t="s">
        <v>39</v>
      </c>
      <c r="H462">
        <v>452</v>
      </c>
      <c r="I462">
        <v>373</v>
      </c>
      <c r="L462">
        <v>0</v>
      </c>
      <c r="M462">
        <v>0</v>
      </c>
      <c r="R462">
        <v>46</v>
      </c>
      <c r="U462">
        <v>0</v>
      </c>
      <c r="V462">
        <v>0</v>
      </c>
      <c r="W462" s="1">
        <v>44160</v>
      </c>
      <c r="AA462" t="s">
        <v>40</v>
      </c>
      <c r="AB462" t="s">
        <v>40</v>
      </c>
      <c r="AE462" t="s">
        <v>40</v>
      </c>
      <c r="AF462" t="s">
        <v>40</v>
      </c>
      <c r="AG462" t="s">
        <v>40</v>
      </c>
      <c r="AH462" t="s">
        <v>40</v>
      </c>
      <c r="AJ462" t="s">
        <v>40</v>
      </c>
      <c r="AK462" t="s">
        <v>40</v>
      </c>
    </row>
    <row r="463" spans="1:37" x14ac:dyDescent="0.3">
      <c r="A463">
        <v>2019</v>
      </c>
      <c r="B463">
        <v>4</v>
      </c>
      <c r="C463" t="str">
        <f t="shared" si="14"/>
        <v>4/01/2019</v>
      </c>
      <c r="D463" s="1" t="str">
        <f t="shared" si="15"/>
        <v>4/01/2019</v>
      </c>
      <c r="E463" t="s">
        <v>55</v>
      </c>
      <c r="F463" t="s">
        <v>53</v>
      </c>
      <c r="G463" t="s">
        <v>41</v>
      </c>
      <c r="H463">
        <v>779</v>
      </c>
      <c r="I463">
        <v>161</v>
      </c>
      <c r="K463">
        <v>31</v>
      </c>
      <c r="L463">
        <v>11</v>
      </c>
      <c r="M463">
        <v>0</v>
      </c>
      <c r="S463">
        <v>14</v>
      </c>
      <c r="U463">
        <v>0</v>
      </c>
      <c r="V463">
        <v>0</v>
      </c>
      <c r="W463" s="1">
        <v>44160</v>
      </c>
      <c r="AA463" t="s">
        <v>40</v>
      </c>
      <c r="AE463" t="s">
        <v>40</v>
      </c>
      <c r="AF463" t="s">
        <v>40</v>
      </c>
      <c r="AG463" t="s">
        <v>40</v>
      </c>
      <c r="AH463" t="s">
        <v>40</v>
      </c>
      <c r="AI463" t="s">
        <v>40</v>
      </c>
      <c r="AK463" t="s">
        <v>40</v>
      </c>
    </row>
    <row r="464" spans="1:37" x14ac:dyDescent="0.3">
      <c r="A464">
        <v>2019</v>
      </c>
      <c r="B464">
        <v>4</v>
      </c>
      <c r="C464" t="str">
        <f t="shared" si="14"/>
        <v>4/01/2019</v>
      </c>
      <c r="D464" s="1" t="str">
        <f t="shared" si="15"/>
        <v>4/01/2019</v>
      </c>
      <c r="E464" t="s">
        <v>55</v>
      </c>
      <c r="F464" t="s">
        <v>53</v>
      </c>
      <c r="G464" t="s">
        <v>42</v>
      </c>
      <c r="H464" s="2">
        <v>1852</v>
      </c>
      <c r="I464">
        <v>482</v>
      </c>
      <c r="J464">
        <v>12</v>
      </c>
      <c r="K464">
        <v>80</v>
      </c>
      <c r="L464">
        <v>27</v>
      </c>
      <c r="M464">
        <v>0</v>
      </c>
      <c r="N464">
        <v>12</v>
      </c>
      <c r="R464">
        <v>26</v>
      </c>
      <c r="S464">
        <v>102</v>
      </c>
      <c r="T464">
        <v>14</v>
      </c>
      <c r="U464">
        <v>0</v>
      </c>
      <c r="V464">
        <v>0</v>
      </c>
      <c r="W464" s="1">
        <v>44160</v>
      </c>
      <c r="AF464" t="s">
        <v>40</v>
      </c>
      <c r="AG464" t="s">
        <v>40</v>
      </c>
      <c r="AH464" t="s">
        <v>40</v>
      </c>
    </row>
    <row r="465" spans="1:37" x14ac:dyDescent="0.3">
      <c r="A465">
        <v>2019</v>
      </c>
      <c r="B465">
        <v>4</v>
      </c>
      <c r="C465" t="str">
        <f t="shared" si="14"/>
        <v>4/01/2019</v>
      </c>
      <c r="D465" s="1" t="str">
        <f t="shared" si="15"/>
        <v>4/01/2019</v>
      </c>
      <c r="E465" t="s">
        <v>55</v>
      </c>
      <c r="F465" t="s">
        <v>53</v>
      </c>
      <c r="G465" t="s">
        <v>43</v>
      </c>
      <c r="H465" s="2">
        <v>2623</v>
      </c>
      <c r="I465" s="2">
        <v>1196</v>
      </c>
      <c r="J465">
        <v>24</v>
      </c>
      <c r="K465">
        <v>209</v>
      </c>
      <c r="L465">
        <v>55</v>
      </c>
      <c r="M465">
        <v>0</v>
      </c>
      <c r="N465">
        <v>17</v>
      </c>
      <c r="O465">
        <v>16</v>
      </c>
      <c r="P465">
        <v>18</v>
      </c>
      <c r="Q465">
        <v>14</v>
      </c>
      <c r="R465">
        <v>31</v>
      </c>
      <c r="S465">
        <v>334</v>
      </c>
      <c r="T465">
        <v>39</v>
      </c>
      <c r="U465">
        <v>0</v>
      </c>
      <c r="V465">
        <v>0</v>
      </c>
      <c r="W465" s="1">
        <v>44160</v>
      </c>
    </row>
    <row r="466" spans="1:37" x14ac:dyDescent="0.3">
      <c r="A466">
        <v>2019</v>
      </c>
      <c r="B466">
        <v>4</v>
      </c>
      <c r="C466" t="str">
        <f t="shared" si="14"/>
        <v>4/01/2019</v>
      </c>
      <c r="D466" s="1" t="str">
        <f t="shared" si="15"/>
        <v>4/01/2019</v>
      </c>
      <c r="E466" t="s">
        <v>55</v>
      </c>
      <c r="F466" t="s">
        <v>53</v>
      </c>
      <c r="G466" t="s">
        <v>44</v>
      </c>
      <c r="H466" s="2">
        <v>5243</v>
      </c>
      <c r="I466" s="2">
        <v>3878</v>
      </c>
      <c r="J466">
        <v>42</v>
      </c>
      <c r="K466">
        <v>972</v>
      </c>
      <c r="L466">
        <v>190</v>
      </c>
      <c r="N466">
        <v>64</v>
      </c>
      <c r="O466">
        <v>102</v>
      </c>
      <c r="P466">
        <v>47</v>
      </c>
      <c r="Q466">
        <v>56</v>
      </c>
      <c r="R466">
        <v>57</v>
      </c>
      <c r="S466" s="2">
        <v>1182</v>
      </c>
      <c r="T466">
        <v>121</v>
      </c>
      <c r="U466">
        <v>0</v>
      </c>
      <c r="V466">
        <v>0</v>
      </c>
      <c r="W466" s="1">
        <v>44160</v>
      </c>
      <c r="AD466" t="s">
        <v>40</v>
      </c>
    </row>
    <row r="467" spans="1:37" x14ac:dyDescent="0.3">
      <c r="A467">
        <v>2019</v>
      </c>
      <c r="B467">
        <v>4</v>
      </c>
      <c r="C467" t="str">
        <f t="shared" si="14"/>
        <v>4/01/2019</v>
      </c>
      <c r="D467" s="1" t="str">
        <f t="shared" si="15"/>
        <v>4/01/2019</v>
      </c>
      <c r="E467" t="s">
        <v>55</v>
      </c>
      <c r="F467" t="s">
        <v>53</v>
      </c>
      <c r="G467" t="s">
        <v>45</v>
      </c>
      <c r="H467">
        <v>120</v>
      </c>
      <c r="I467">
        <v>60</v>
      </c>
      <c r="K467">
        <v>17</v>
      </c>
      <c r="L467">
        <v>0</v>
      </c>
      <c r="M467">
        <v>0</v>
      </c>
      <c r="Q467">
        <v>0</v>
      </c>
      <c r="U467">
        <v>0</v>
      </c>
      <c r="V467">
        <v>0</v>
      </c>
      <c r="W467" s="1">
        <v>44160</v>
      </c>
      <c r="AA467" t="s">
        <v>40</v>
      </c>
      <c r="AE467" t="s">
        <v>40</v>
      </c>
      <c r="AF467" t="s">
        <v>40</v>
      </c>
      <c r="AG467" t="s">
        <v>40</v>
      </c>
      <c r="AI467" t="s">
        <v>40</v>
      </c>
      <c r="AJ467" t="s">
        <v>40</v>
      </c>
      <c r="AK467" t="s">
        <v>40</v>
      </c>
    </row>
    <row r="468" spans="1:37" x14ac:dyDescent="0.3">
      <c r="A468">
        <v>2019</v>
      </c>
      <c r="B468">
        <v>4</v>
      </c>
      <c r="C468" t="str">
        <f t="shared" si="14"/>
        <v>4/01/2019</v>
      </c>
      <c r="D468" s="1" t="str">
        <f t="shared" si="15"/>
        <v>4/01/2019</v>
      </c>
      <c r="E468" t="s">
        <v>55</v>
      </c>
      <c r="F468" t="s">
        <v>53</v>
      </c>
      <c r="G468" t="s">
        <v>46</v>
      </c>
      <c r="H468" s="2">
        <v>13161</v>
      </c>
      <c r="I468" s="2">
        <v>11675</v>
      </c>
      <c r="J468">
        <v>164</v>
      </c>
      <c r="K468" s="2">
        <v>3622</v>
      </c>
      <c r="L468">
        <v>527</v>
      </c>
      <c r="M468">
        <v>35</v>
      </c>
      <c r="N468">
        <v>187</v>
      </c>
      <c r="O468">
        <v>664</v>
      </c>
      <c r="P468">
        <v>140</v>
      </c>
      <c r="Q468">
        <v>161</v>
      </c>
      <c r="R468">
        <v>115</v>
      </c>
      <c r="S468" s="2">
        <v>3206</v>
      </c>
      <c r="T468">
        <v>362</v>
      </c>
      <c r="U468">
        <v>0</v>
      </c>
      <c r="V468">
        <v>0</v>
      </c>
      <c r="W468" s="1">
        <v>44160</v>
      </c>
    </row>
    <row r="469" spans="1:37" x14ac:dyDescent="0.3">
      <c r="A469">
        <v>2019</v>
      </c>
      <c r="B469">
        <v>4</v>
      </c>
      <c r="C469" t="str">
        <f t="shared" si="14"/>
        <v>4/01/2019</v>
      </c>
      <c r="D469" s="1" t="str">
        <f t="shared" si="15"/>
        <v>4/01/2019</v>
      </c>
      <c r="E469" t="s">
        <v>55</v>
      </c>
      <c r="F469" t="s">
        <v>53</v>
      </c>
      <c r="G469" t="s">
        <v>47</v>
      </c>
      <c r="H469" s="2">
        <v>19905</v>
      </c>
      <c r="I469" s="2">
        <v>18878</v>
      </c>
      <c r="J469">
        <v>300</v>
      </c>
      <c r="K469" s="2">
        <v>5865</v>
      </c>
      <c r="L469">
        <v>769</v>
      </c>
      <c r="M469">
        <v>176</v>
      </c>
      <c r="N469">
        <v>313</v>
      </c>
      <c r="O469" s="2">
        <v>1516</v>
      </c>
      <c r="P469">
        <v>359</v>
      </c>
      <c r="Q469">
        <v>341</v>
      </c>
      <c r="R469">
        <v>149</v>
      </c>
      <c r="S469" s="2">
        <v>4893</v>
      </c>
      <c r="T469">
        <v>726</v>
      </c>
      <c r="U469">
        <v>0</v>
      </c>
      <c r="V469">
        <v>0</v>
      </c>
      <c r="W469" s="1">
        <v>44160</v>
      </c>
    </row>
    <row r="470" spans="1:37" x14ac:dyDescent="0.3">
      <c r="A470">
        <v>2019</v>
      </c>
      <c r="B470">
        <v>4</v>
      </c>
      <c r="C470" t="str">
        <f t="shared" si="14"/>
        <v>4/01/2019</v>
      </c>
      <c r="D470" s="1" t="str">
        <f t="shared" si="15"/>
        <v>4/01/2019</v>
      </c>
      <c r="E470" t="s">
        <v>55</v>
      </c>
      <c r="F470" t="s">
        <v>53</v>
      </c>
      <c r="G470" t="s">
        <v>48</v>
      </c>
      <c r="H470" s="2">
        <v>23938</v>
      </c>
      <c r="I470" s="2">
        <v>22931</v>
      </c>
      <c r="J470">
        <v>343</v>
      </c>
      <c r="K470" s="2">
        <v>5783</v>
      </c>
      <c r="L470">
        <v>702</v>
      </c>
      <c r="M470">
        <v>824</v>
      </c>
      <c r="N470">
        <v>511</v>
      </c>
      <c r="O470" s="2">
        <v>1854</v>
      </c>
      <c r="P470">
        <v>491</v>
      </c>
      <c r="Q470">
        <v>474</v>
      </c>
      <c r="R470">
        <v>172</v>
      </c>
      <c r="S470" s="2">
        <v>5928</v>
      </c>
      <c r="T470" s="2">
        <v>1211</v>
      </c>
      <c r="U470">
        <v>0</v>
      </c>
      <c r="V470">
        <v>0</v>
      </c>
      <c r="W470" s="1">
        <v>44160</v>
      </c>
    </row>
    <row r="471" spans="1:37" x14ac:dyDescent="0.3">
      <c r="A471">
        <v>2019</v>
      </c>
      <c r="B471">
        <v>4</v>
      </c>
      <c r="C471" t="str">
        <f t="shared" si="14"/>
        <v>4/01/2019</v>
      </c>
      <c r="D471" s="1" t="str">
        <f t="shared" si="15"/>
        <v>4/01/2019</v>
      </c>
      <c r="E471" t="s">
        <v>55</v>
      </c>
      <c r="F471" t="s">
        <v>53</v>
      </c>
      <c r="G471" t="s">
        <v>49</v>
      </c>
      <c r="H471" s="2">
        <v>23766</v>
      </c>
      <c r="I471" s="2">
        <v>22880</v>
      </c>
      <c r="J471">
        <v>288</v>
      </c>
      <c r="K471" s="2">
        <v>3365</v>
      </c>
      <c r="L471">
        <v>475</v>
      </c>
      <c r="M471" s="2">
        <v>1431</v>
      </c>
      <c r="N471">
        <v>600</v>
      </c>
      <c r="O471" s="2">
        <v>1323</v>
      </c>
      <c r="P471">
        <v>397</v>
      </c>
      <c r="Q471">
        <v>531</v>
      </c>
      <c r="R471">
        <v>268</v>
      </c>
      <c r="S471" s="2">
        <v>7446</v>
      </c>
      <c r="T471" s="2">
        <v>1406</v>
      </c>
      <c r="U471">
        <v>0</v>
      </c>
      <c r="V471">
        <v>0</v>
      </c>
      <c r="W471" s="1">
        <v>44160</v>
      </c>
    </row>
    <row r="472" spans="1:37" x14ac:dyDescent="0.3">
      <c r="A472">
        <v>2019</v>
      </c>
      <c r="B472">
        <v>4</v>
      </c>
      <c r="C472" t="str">
        <f t="shared" si="14"/>
        <v>4/01/2019</v>
      </c>
      <c r="D472" s="1" t="str">
        <f t="shared" si="15"/>
        <v>4/01/2019</v>
      </c>
      <c r="E472" t="s">
        <v>55</v>
      </c>
      <c r="F472" t="s">
        <v>54</v>
      </c>
      <c r="G472" t="s">
        <v>39</v>
      </c>
      <c r="H472">
        <v>52</v>
      </c>
      <c r="I472">
        <v>46</v>
      </c>
      <c r="J472">
        <v>0</v>
      </c>
      <c r="K472">
        <v>0</v>
      </c>
      <c r="L472">
        <v>0</v>
      </c>
      <c r="M472">
        <v>0</v>
      </c>
      <c r="O472">
        <v>0</v>
      </c>
      <c r="P472">
        <v>0</v>
      </c>
      <c r="Q472">
        <v>0</v>
      </c>
      <c r="S472">
        <v>0</v>
      </c>
      <c r="U472">
        <v>0</v>
      </c>
      <c r="V472">
        <v>0</v>
      </c>
      <c r="W472" s="1">
        <v>44160</v>
      </c>
      <c r="AE472" t="s">
        <v>40</v>
      </c>
      <c r="AI472" t="s">
        <v>40</v>
      </c>
      <c r="AK472" t="s">
        <v>40</v>
      </c>
    </row>
    <row r="473" spans="1:37" x14ac:dyDescent="0.3">
      <c r="A473">
        <v>2019</v>
      </c>
      <c r="B473">
        <v>4</v>
      </c>
      <c r="C473" t="str">
        <f t="shared" si="14"/>
        <v>4/01/2019</v>
      </c>
      <c r="D473" s="1" t="str">
        <f t="shared" si="15"/>
        <v>4/01/2019</v>
      </c>
      <c r="E473" t="s">
        <v>55</v>
      </c>
      <c r="F473" t="s">
        <v>54</v>
      </c>
      <c r="G473" t="s">
        <v>41</v>
      </c>
      <c r="H473">
        <v>40</v>
      </c>
      <c r="J473">
        <v>0</v>
      </c>
      <c r="L473">
        <v>0</v>
      </c>
      <c r="M473">
        <v>0</v>
      </c>
      <c r="O473">
        <v>0</v>
      </c>
      <c r="P473">
        <v>0</v>
      </c>
      <c r="Q473">
        <v>0</v>
      </c>
      <c r="T473">
        <v>0</v>
      </c>
      <c r="U473">
        <v>0</v>
      </c>
      <c r="V473">
        <v>0</v>
      </c>
      <c r="W473" s="1">
        <v>44160</v>
      </c>
      <c r="Z473" t="s">
        <v>40</v>
      </c>
      <c r="AB473" t="s">
        <v>40</v>
      </c>
      <c r="AE473" t="s">
        <v>40</v>
      </c>
      <c r="AI473" t="s">
        <v>40</v>
      </c>
      <c r="AJ473" t="s">
        <v>40</v>
      </c>
    </row>
    <row r="474" spans="1:37" x14ac:dyDescent="0.3">
      <c r="A474">
        <v>2019</v>
      </c>
      <c r="B474">
        <v>4</v>
      </c>
      <c r="C474" t="str">
        <f t="shared" si="14"/>
        <v>4/01/2019</v>
      </c>
      <c r="D474" s="1" t="str">
        <f t="shared" si="15"/>
        <v>4/01/2019</v>
      </c>
      <c r="E474" t="s">
        <v>55</v>
      </c>
      <c r="F474" t="s">
        <v>54</v>
      </c>
      <c r="G474" t="s">
        <v>42</v>
      </c>
      <c r="H474">
        <v>63</v>
      </c>
      <c r="I474">
        <v>15</v>
      </c>
      <c r="J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T474">
        <v>0</v>
      </c>
      <c r="U474">
        <v>0</v>
      </c>
      <c r="V474">
        <v>0</v>
      </c>
      <c r="W474" s="1">
        <v>44160</v>
      </c>
      <c r="AB474" t="s">
        <v>40</v>
      </c>
      <c r="AJ474" t="s">
        <v>40</v>
      </c>
    </row>
    <row r="475" spans="1:37" x14ac:dyDescent="0.3">
      <c r="A475">
        <v>2019</v>
      </c>
      <c r="B475">
        <v>4</v>
      </c>
      <c r="C475" t="str">
        <f t="shared" si="14"/>
        <v>4/01/2019</v>
      </c>
      <c r="D475" s="1" t="str">
        <f t="shared" si="15"/>
        <v>4/01/2019</v>
      </c>
      <c r="E475" t="s">
        <v>55</v>
      </c>
      <c r="F475" t="s">
        <v>54</v>
      </c>
      <c r="G475" t="s">
        <v>43</v>
      </c>
      <c r="H475">
        <v>73</v>
      </c>
      <c r="I475">
        <v>37</v>
      </c>
      <c r="J475">
        <v>0</v>
      </c>
      <c r="K475">
        <v>10</v>
      </c>
      <c r="M475">
        <v>0</v>
      </c>
      <c r="O475">
        <v>0</v>
      </c>
      <c r="P475">
        <v>0</v>
      </c>
      <c r="S475">
        <v>11</v>
      </c>
      <c r="T475">
        <v>0</v>
      </c>
      <c r="U475">
        <v>0</v>
      </c>
      <c r="V475">
        <v>0</v>
      </c>
      <c r="W475" s="1">
        <v>44160</v>
      </c>
      <c r="AC475" t="s">
        <v>40</v>
      </c>
      <c r="AE475" t="s">
        <v>40</v>
      </c>
      <c r="AH475" t="s">
        <v>40</v>
      </c>
      <c r="AI475" t="s">
        <v>40</v>
      </c>
    </row>
    <row r="476" spans="1:37" x14ac:dyDescent="0.3">
      <c r="A476">
        <v>2019</v>
      </c>
      <c r="B476">
        <v>4</v>
      </c>
      <c r="C476" t="str">
        <f t="shared" si="14"/>
        <v>4/01/2019</v>
      </c>
      <c r="D476" s="1" t="str">
        <f t="shared" si="15"/>
        <v>4/01/2019</v>
      </c>
      <c r="E476" t="s">
        <v>55</v>
      </c>
      <c r="F476" t="s">
        <v>54</v>
      </c>
      <c r="G476" t="s">
        <v>44</v>
      </c>
      <c r="H476">
        <v>105</v>
      </c>
      <c r="I476">
        <v>73</v>
      </c>
      <c r="K476">
        <v>14</v>
      </c>
      <c r="M476">
        <v>0</v>
      </c>
      <c r="N476">
        <v>0</v>
      </c>
      <c r="O476">
        <v>0</v>
      </c>
      <c r="P476">
        <v>0</v>
      </c>
      <c r="S476">
        <v>21</v>
      </c>
      <c r="U476">
        <v>0</v>
      </c>
      <c r="V476">
        <v>0</v>
      </c>
      <c r="W476" s="1">
        <v>44160</v>
      </c>
      <c r="AA476" t="s">
        <v>40</v>
      </c>
      <c r="AC476" t="s">
        <v>40</v>
      </c>
      <c r="AH476" t="s">
        <v>40</v>
      </c>
      <c r="AI476" t="s">
        <v>40</v>
      </c>
      <c r="AK476" t="s">
        <v>40</v>
      </c>
    </row>
    <row r="477" spans="1:37" x14ac:dyDescent="0.3">
      <c r="A477">
        <v>2019</v>
      </c>
      <c r="B477">
        <v>4</v>
      </c>
      <c r="C477" t="str">
        <f t="shared" si="14"/>
        <v>4/01/2019</v>
      </c>
      <c r="D477" s="1" t="str">
        <f t="shared" si="15"/>
        <v>4/01/2019</v>
      </c>
      <c r="E477" t="s">
        <v>55</v>
      </c>
      <c r="F477" t="s">
        <v>54</v>
      </c>
      <c r="G477" t="s">
        <v>45</v>
      </c>
      <c r="J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 s="1">
        <v>44160</v>
      </c>
      <c r="Y477" t="s">
        <v>40</v>
      </c>
      <c r="Z477" t="s">
        <v>40</v>
      </c>
      <c r="AB477" t="s">
        <v>40</v>
      </c>
    </row>
    <row r="478" spans="1:37" x14ac:dyDescent="0.3">
      <c r="A478">
        <v>2019</v>
      </c>
      <c r="B478">
        <v>4</v>
      </c>
      <c r="C478" t="str">
        <f t="shared" si="14"/>
        <v>4/01/2019</v>
      </c>
      <c r="D478" s="1" t="str">
        <f t="shared" si="15"/>
        <v>4/01/2019</v>
      </c>
      <c r="E478" t="s">
        <v>55</v>
      </c>
      <c r="F478" t="s">
        <v>54</v>
      </c>
      <c r="G478" t="s">
        <v>46</v>
      </c>
      <c r="H478">
        <v>226</v>
      </c>
      <c r="I478">
        <v>201</v>
      </c>
      <c r="K478">
        <v>52</v>
      </c>
      <c r="L478">
        <v>10</v>
      </c>
      <c r="M478">
        <v>0</v>
      </c>
      <c r="S478">
        <v>75</v>
      </c>
      <c r="U478">
        <v>0</v>
      </c>
      <c r="V478">
        <v>0</v>
      </c>
      <c r="W478" s="1">
        <v>44160</v>
      </c>
      <c r="AA478" t="s">
        <v>40</v>
      </c>
      <c r="AE478" t="s">
        <v>40</v>
      </c>
      <c r="AF478" t="s">
        <v>40</v>
      </c>
      <c r="AG478" t="s">
        <v>40</v>
      </c>
      <c r="AH478" t="s">
        <v>40</v>
      </c>
      <c r="AI478" t="s">
        <v>40</v>
      </c>
      <c r="AK478" t="s">
        <v>40</v>
      </c>
    </row>
    <row r="479" spans="1:37" x14ac:dyDescent="0.3">
      <c r="A479">
        <v>2019</v>
      </c>
      <c r="B479">
        <v>4</v>
      </c>
      <c r="C479" t="str">
        <f t="shared" si="14"/>
        <v>4/01/2019</v>
      </c>
      <c r="D479" s="1" t="str">
        <f t="shared" si="15"/>
        <v>4/01/2019</v>
      </c>
      <c r="E479" t="s">
        <v>55</v>
      </c>
      <c r="F479" t="s">
        <v>54</v>
      </c>
      <c r="G479" t="s">
        <v>47</v>
      </c>
      <c r="H479">
        <v>258</v>
      </c>
      <c r="I479">
        <v>246</v>
      </c>
      <c r="J479">
        <v>0</v>
      </c>
      <c r="K479">
        <v>50</v>
      </c>
      <c r="L479">
        <v>12</v>
      </c>
      <c r="O479">
        <v>23</v>
      </c>
      <c r="S479">
        <v>85</v>
      </c>
      <c r="T479">
        <v>13</v>
      </c>
      <c r="U479">
        <v>0</v>
      </c>
      <c r="V479">
        <v>0</v>
      </c>
      <c r="W479" s="1">
        <v>44160</v>
      </c>
      <c r="AD479" t="s">
        <v>40</v>
      </c>
      <c r="AE479" t="s">
        <v>40</v>
      </c>
      <c r="AG479" t="s">
        <v>40</v>
      </c>
      <c r="AH479" t="s">
        <v>40</v>
      </c>
      <c r="AI479" t="s">
        <v>40</v>
      </c>
    </row>
    <row r="480" spans="1:37" x14ac:dyDescent="0.3">
      <c r="A480">
        <v>2019</v>
      </c>
      <c r="B480">
        <v>4</v>
      </c>
      <c r="C480" t="str">
        <f t="shared" si="14"/>
        <v>4/01/2019</v>
      </c>
      <c r="D480" s="1" t="str">
        <f t="shared" si="15"/>
        <v>4/01/2019</v>
      </c>
      <c r="E480" t="s">
        <v>55</v>
      </c>
      <c r="F480" t="s">
        <v>54</v>
      </c>
      <c r="G480" t="s">
        <v>48</v>
      </c>
      <c r="H480">
        <v>180</v>
      </c>
      <c r="I480">
        <v>172</v>
      </c>
      <c r="J480">
        <v>0</v>
      </c>
      <c r="K480">
        <v>35</v>
      </c>
      <c r="L480">
        <v>10</v>
      </c>
      <c r="O480">
        <v>16</v>
      </c>
      <c r="S480">
        <v>43</v>
      </c>
      <c r="U480">
        <v>0</v>
      </c>
      <c r="V480">
        <v>0</v>
      </c>
      <c r="W480" s="1">
        <v>44160</v>
      </c>
      <c r="AD480" t="s">
        <v>40</v>
      </c>
      <c r="AE480" t="s">
        <v>40</v>
      </c>
      <c r="AG480" t="s">
        <v>40</v>
      </c>
      <c r="AH480" t="s">
        <v>40</v>
      </c>
      <c r="AI480" t="s">
        <v>40</v>
      </c>
      <c r="AK480" t="s">
        <v>40</v>
      </c>
    </row>
    <row r="481" spans="1:37" x14ac:dyDescent="0.3">
      <c r="A481">
        <v>2019</v>
      </c>
      <c r="B481">
        <v>4</v>
      </c>
      <c r="C481" t="str">
        <f t="shared" si="14"/>
        <v>4/01/2019</v>
      </c>
      <c r="D481" s="1" t="str">
        <f t="shared" si="15"/>
        <v>4/01/2019</v>
      </c>
      <c r="E481" t="s">
        <v>55</v>
      </c>
      <c r="F481" t="s">
        <v>54</v>
      </c>
      <c r="G481" t="s">
        <v>49</v>
      </c>
      <c r="H481">
        <v>96</v>
      </c>
      <c r="I481">
        <v>93</v>
      </c>
      <c r="K481">
        <v>18</v>
      </c>
      <c r="P481">
        <v>0</v>
      </c>
      <c r="R481">
        <v>0</v>
      </c>
      <c r="S481">
        <v>31</v>
      </c>
      <c r="U481">
        <v>0</v>
      </c>
      <c r="V481">
        <v>0</v>
      </c>
      <c r="W481" s="1">
        <v>44160</v>
      </c>
      <c r="AA481" t="s">
        <v>40</v>
      </c>
      <c r="AC481" t="s">
        <v>40</v>
      </c>
      <c r="AD481" t="s">
        <v>40</v>
      </c>
      <c r="AE481" t="s">
        <v>40</v>
      </c>
      <c r="AF481" t="s">
        <v>40</v>
      </c>
      <c r="AH481" t="s">
        <v>40</v>
      </c>
      <c r="AK481" t="s">
        <v>40</v>
      </c>
    </row>
    <row r="482" spans="1:37" x14ac:dyDescent="0.3">
      <c r="A482">
        <v>2019</v>
      </c>
      <c r="B482">
        <v>5</v>
      </c>
      <c r="C482" t="str">
        <f t="shared" si="14"/>
        <v>5/01/2019</v>
      </c>
      <c r="D482" s="1" t="str">
        <f t="shared" si="15"/>
        <v>5/01/2019</v>
      </c>
      <c r="E482" t="s">
        <v>37</v>
      </c>
      <c r="F482" t="s">
        <v>38</v>
      </c>
      <c r="G482" t="s">
        <v>39</v>
      </c>
      <c r="H482">
        <v>197</v>
      </c>
      <c r="I482">
        <v>169</v>
      </c>
      <c r="J482">
        <v>0</v>
      </c>
      <c r="L482">
        <v>0</v>
      </c>
      <c r="M482">
        <v>0</v>
      </c>
      <c r="N482">
        <v>0</v>
      </c>
      <c r="R482">
        <v>11</v>
      </c>
      <c r="U482">
        <v>0</v>
      </c>
      <c r="V482">
        <v>0</v>
      </c>
      <c r="W482" s="1">
        <v>44160</v>
      </c>
      <c r="AB482" t="s">
        <v>40</v>
      </c>
      <c r="AF482" t="s">
        <v>40</v>
      </c>
      <c r="AG482" t="s">
        <v>40</v>
      </c>
      <c r="AH482" t="s">
        <v>40</v>
      </c>
      <c r="AJ482" t="s">
        <v>40</v>
      </c>
      <c r="AK482" t="s">
        <v>40</v>
      </c>
    </row>
    <row r="483" spans="1:37" x14ac:dyDescent="0.3">
      <c r="A483">
        <v>2019</v>
      </c>
      <c r="B483">
        <v>5</v>
      </c>
      <c r="C483" t="str">
        <f t="shared" si="14"/>
        <v>5/01/2019</v>
      </c>
      <c r="D483" s="1" t="str">
        <f t="shared" si="15"/>
        <v>5/01/2019</v>
      </c>
      <c r="E483" t="s">
        <v>37</v>
      </c>
      <c r="F483" t="s">
        <v>38</v>
      </c>
      <c r="G483" t="s">
        <v>41</v>
      </c>
      <c r="H483">
        <v>124</v>
      </c>
      <c r="I483">
        <v>32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U483">
        <v>0</v>
      </c>
      <c r="V483">
        <v>0</v>
      </c>
      <c r="W483" s="1">
        <v>44160</v>
      </c>
      <c r="AA483" t="s">
        <v>40</v>
      </c>
      <c r="AB483" t="s">
        <v>40</v>
      </c>
      <c r="AC483" t="s">
        <v>40</v>
      </c>
      <c r="AJ483" t="s">
        <v>40</v>
      </c>
      <c r="AK483" t="s">
        <v>40</v>
      </c>
    </row>
    <row r="484" spans="1:37" x14ac:dyDescent="0.3">
      <c r="A484">
        <v>2019</v>
      </c>
      <c r="B484">
        <v>5</v>
      </c>
      <c r="C484" t="str">
        <f t="shared" si="14"/>
        <v>5/01/2019</v>
      </c>
      <c r="D484" s="1" t="str">
        <f t="shared" si="15"/>
        <v>5/01/2019</v>
      </c>
      <c r="E484" t="s">
        <v>37</v>
      </c>
      <c r="F484" t="s">
        <v>38</v>
      </c>
      <c r="G484" t="s">
        <v>42</v>
      </c>
      <c r="H484">
        <v>188</v>
      </c>
      <c r="I484">
        <v>88</v>
      </c>
      <c r="K484">
        <v>23</v>
      </c>
      <c r="M484">
        <v>0</v>
      </c>
      <c r="N484">
        <v>0</v>
      </c>
      <c r="U484">
        <v>0</v>
      </c>
      <c r="V484">
        <v>0</v>
      </c>
      <c r="W484" s="1">
        <v>44160</v>
      </c>
      <c r="AA484" t="s">
        <v>40</v>
      </c>
      <c r="AC484" t="s">
        <v>40</v>
      </c>
      <c r="AF484" t="s">
        <v>40</v>
      </c>
      <c r="AG484" t="s">
        <v>40</v>
      </c>
      <c r="AH484" t="s">
        <v>40</v>
      </c>
      <c r="AI484" t="s">
        <v>40</v>
      </c>
      <c r="AJ484" t="s">
        <v>40</v>
      </c>
      <c r="AK484" t="s">
        <v>40</v>
      </c>
    </row>
    <row r="485" spans="1:37" x14ac:dyDescent="0.3">
      <c r="A485">
        <v>2019</v>
      </c>
      <c r="B485">
        <v>5</v>
      </c>
      <c r="C485" t="str">
        <f t="shared" si="14"/>
        <v>5/01/2019</v>
      </c>
      <c r="D485" s="1" t="str">
        <f t="shared" si="15"/>
        <v>5/01/2019</v>
      </c>
      <c r="E485" t="s">
        <v>37</v>
      </c>
      <c r="F485" t="s">
        <v>38</v>
      </c>
      <c r="G485" t="s">
        <v>43</v>
      </c>
      <c r="H485">
        <v>304</v>
      </c>
      <c r="I485">
        <v>215</v>
      </c>
      <c r="K485">
        <v>81</v>
      </c>
      <c r="L485">
        <v>14</v>
      </c>
      <c r="M485">
        <v>0</v>
      </c>
      <c r="O485">
        <v>0</v>
      </c>
      <c r="S485">
        <v>20</v>
      </c>
      <c r="U485">
        <v>0</v>
      </c>
      <c r="V485">
        <v>0</v>
      </c>
      <c r="W485" s="1">
        <v>44160</v>
      </c>
      <c r="AA485" t="s">
        <v>40</v>
      </c>
      <c r="AE485" t="s">
        <v>40</v>
      </c>
      <c r="AG485" t="s">
        <v>40</v>
      </c>
      <c r="AH485" t="s">
        <v>40</v>
      </c>
      <c r="AI485" t="s">
        <v>40</v>
      </c>
      <c r="AK485" t="s">
        <v>40</v>
      </c>
    </row>
    <row r="486" spans="1:37" x14ac:dyDescent="0.3">
      <c r="A486">
        <v>2019</v>
      </c>
      <c r="B486">
        <v>5</v>
      </c>
      <c r="C486" t="str">
        <f t="shared" si="14"/>
        <v>5/01/2019</v>
      </c>
      <c r="D486" s="1" t="str">
        <f t="shared" si="15"/>
        <v>5/01/2019</v>
      </c>
      <c r="E486" t="s">
        <v>37</v>
      </c>
      <c r="F486" t="s">
        <v>38</v>
      </c>
      <c r="G486" t="s">
        <v>44</v>
      </c>
      <c r="H486">
        <v>554</v>
      </c>
      <c r="I486">
        <v>480</v>
      </c>
      <c r="K486">
        <v>191</v>
      </c>
      <c r="L486">
        <v>33</v>
      </c>
      <c r="M486">
        <v>0</v>
      </c>
      <c r="Q486">
        <v>14</v>
      </c>
      <c r="S486">
        <v>57</v>
      </c>
      <c r="T486">
        <v>15</v>
      </c>
      <c r="U486">
        <v>0</v>
      </c>
      <c r="V486">
        <v>0</v>
      </c>
      <c r="W486" s="1">
        <v>44160</v>
      </c>
      <c r="AA486" t="s">
        <v>40</v>
      </c>
      <c r="AE486" t="s">
        <v>40</v>
      </c>
      <c r="AF486" t="s">
        <v>40</v>
      </c>
      <c r="AG486" t="s">
        <v>40</v>
      </c>
      <c r="AI486" t="s">
        <v>40</v>
      </c>
    </row>
    <row r="487" spans="1:37" x14ac:dyDescent="0.3">
      <c r="A487">
        <v>2019</v>
      </c>
      <c r="B487">
        <v>5</v>
      </c>
      <c r="C487" t="str">
        <f t="shared" si="14"/>
        <v>5/01/2019</v>
      </c>
      <c r="D487" s="1" t="str">
        <f t="shared" si="15"/>
        <v>5/01/2019</v>
      </c>
      <c r="E487" t="s">
        <v>37</v>
      </c>
      <c r="F487" t="s">
        <v>38</v>
      </c>
      <c r="G487" t="s">
        <v>45</v>
      </c>
      <c r="H487">
        <v>38</v>
      </c>
      <c r="I487">
        <v>27</v>
      </c>
      <c r="J487">
        <v>0</v>
      </c>
      <c r="L487">
        <v>0</v>
      </c>
      <c r="M487">
        <v>0</v>
      </c>
      <c r="N487">
        <v>0</v>
      </c>
      <c r="O487">
        <v>0</v>
      </c>
      <c r="T487">
        <v>0</v>
      </c>
      <c r="U487">
        <v>0</v>
      </c>
      <c r="V487">
        <v>0</v>
      </c>
      <c r="W487" s="1">
        <v>44160</v>
      </c>
      <c r="AB487" t="s">
        <v>40</v>
      </c>
      <c r="AG487" t="s">
        <v>40</v>
      </c>
      <c r="AH487" t="s">
        <v>40</v>
      </c>
      <c r="AI487" t="s">
        <v>40</v>
      </c>
      <c r="AJ487" t="s">
        <v>40</v>
      </c>
    </row>
    <row r="488" spans="1:37" x14ac:dyDescent="0.3">
      <c r="A488">
        <v>2019</v>
      </c>
      <c r="B488">
        <v>5</v>
      </c>
      <c r="C488" t="str">
        <f t="shared" si="14"/>
        <v>5/01/2019</v>
      </c>
      <c r="D488" s="1" t="str">
        <f t="shared" si="15"/>
        <v>5/01/2019</v>
      </c>
      <c r="E488" t="s">
        <v>37</v>
      </c>
      <c r="F488" t="s">
        <v>38</v>
      </c>
      <c r="G488" t="s">
        <v>46</v>
      </c>
      <c r="H488">
        <v>908</v>
      </c>
      <c r="I488">
        <v>836</v>
      </c>
      <c r="J488">
        <v>15</v>
      </c>
      <c r="K488">
        <v>344</v>
      </c>
      <c r="L488">
        <v>46</v>
      </c>
      <c r="N488">
        <v>15</v>
      </c>
      <c r="O488">
        <v>21</v>
      </c>
      <c r="P488">
        <v>17</v>
      </c>
      <c r="Q488">
        <v>20</v>
      </c>
      <c r="S488">
        <v>122</v>
      </c>
      <c r="T488">
        <v>46</v>
      </c>
      <c r="U488">
        <v>0</v>
      </c>
      <c r="V488">
        <v>0</v>
      </c>
      <c r="W488" s="1">
        <v>44160</v>
      </c>
      <c r="AD488" t="s">
        <v>40</v>
      </c>
      <c r="AI488" t="s">
        <v>40</v>
      </c>
    </row>
    <row r="489" spans="1:37" x14ac:dyDescent="0.3">
      <c r="A489">
        <v>2019</v>
      </c>
      <c r="B489">
        <v>5</v>
      </c>
      <c r="C489" t="str">
        <f t="shared" si="14"/>
        <v>5/01/2019</v>
      </c>
      <c r="D489" s="1" t="str">
        <f t="shared" si="15"/>
        <v>5/01/2019</v>
      </c>
      <c r="E489" t="s">
        <v>37</v>
      </c>
      <c r="F489" t="s">
        <v>38</v>
      </c>
      <c r="G489" t="s">
        <v>47</v>
      </c>
      <c r="H489" s="2">
        <v>1340</v>
      </c>
      <c r="I489" s="2">
        <v>1307</v>
      </c>
      <c r="J489">
        <v>31</v>
      </c>
      <c r="K489">
        <v>412</v>
      </c>
      <c r="L489">
        <v>94</v>
      </c>
      <c r="M489">
        <v>27</v>
      </c>
      <c r="N489">
        <v>20</v>
      </c>
      <c r="O489">
        <v>43</v>
      </c>
      <c r="P489">
        <v>28</v>
      </c>
      <c r="Q489">
        <v>36</v>
      </c>
      <c r="R489">
        <v>10</v>
      </c>
      <c r="S489">
        <v>232</v>
      </c>
      <c r="T489">
        <v>81</v>
      </c>
      <c r="U489">
        <v>0</v>
      </c>
      <c r="V489">
        <v>0</v>
      </c>
      <c r="W489" s="1">
        <v>44160</v>
      </c>
    </row>
    <row r="490" spans="1:37" x14ac:dyDescent="0.3">
      <c r="A490">
        <v>2019</v>
      </c>
      <c r="B490">
        <v>5</v>
      </c>
      <c r="C490" t="str">
        <f t="shared" si="14"/>
        <v>5/01/2019</v>
      </c>
      <c r="D490" s="1" t="str">
        <f t="shared" si="15"/>
        <v>5/01/2019</v>
      </c>
      <c r="E490" t="s">
        <v>37</v>
      </c>
      <c r="F490" t="s">
        <v>38</v>
      </c>
      <c r="G490" t="s">
        <v>48</v>
      </c>
      <c r="H490" s="2">
        <v>1781</v>
      </c>
      <c r="I490" s="2">
        <v>1732</v>
      </c>
      <c r="J490">
        <v>26</v>
      </c>
      <c r="K490">
        <v>380</v>
      </c>
      <c r="L490">
        <v>110</v>
      </c>
      <c r="M490">
        <v>118</v>
      </c>
      <c r="N490">
        <v>33</v>
      </c>
      <c r="O490">
        <v>73</v>
      </c>
      <c r="P490">
        <v>40</v>
      </c>
      <c r="Q490">
        <v>50</v>
      </c>
      <c r="R490">
        <v>10</v>
      </c>
      <c r="S490">
        <v>380</v>
      </c>
      <c r="T490">
        <v>138</v>
      </c>
      <c r="U490">
        <v>0</v>
      </c>
      <c r="V490">
        <v>0</v>
      </c>
      <c r="W490" s="1">
        <v>44160</v>
      </c>
    </row>
    <row r="491" spans="1:37" x14ac:dyDescent="0.3">
      <c r="A491">
        <v>2019</v>
      </c>
      <c r="B491">
        <v>5</v>
      </c>
      <c r="C491" t="str">
        <f t="shared" si="14"/>
        <v>5/01/2019</v>
      </c>
      <c r="D491" s="1" t="str">
        <f t="shared" si="15"/>
        <v>5/01/2019</v>
      </c>
      <c r="E491" t="s">
        <v>37</v>
      </c>
      <c r="F491" t="s">
        <v>38</v>
      </c>
      <c r="G491" t="s">
        <v>49</v>
      </c>
      <c r="H491" s="2">
        <v>2466</v>
      </c>
      <c r="I491" s="2">
        <v>2425</v>
      </c>
      <c r="J491">
        <v>24</v>
      </c>
      <c r="K491">
        <v>262</v>
      </c>
      <c r="L491">
        <v>83</v>
      </c>
      <c r="M491">
        <v>313</v>
      </c>
      <c r="N491">
        <v>52</v>
      </c>
      <c r="O491">
        <v>91</v>
      </c>
      <c r="P491">
        <v>40</v>
      </c>
      <c r="Q491">
        <v>45</v>
      </c>
      <c r="R491">
        <v>27</v>
      </c>
      <c r="S491">
        <v>650</v>
      </c>
      <c r="T491">
        <v>255</v>
      </c>
      <c r="U491">
        <v>0</v>
      </c>
      <c r="V491">
        <v>0</v>
      </c>
      <c r="W491" s="1">
        <v>44160</v>
      </c>
    </row>
    <row r="492" spans="1:37" x14ac:dyDescent="0.3">
      <c r="A492">
        <v>2019</v>
      </c>
      <c r="B492">
        <v>5</v>
      </c>
      <c r="C492" t="str">
        <f t="shared" si="14"/>
        <v>5/01/2019</v>
      </c>
      <c r="D492" s="1" t="str">
        <f t="shared" si="15"/>
        <v>5/01/2019</v>
      </c>
      <c r="E492" t="s">
        <v>37</v>
      </c>
      <c r="F492" t="s">
        <v>50</v>
      </c>
      <c r="G492" t="s">
        <v>39</v>
      </c>
      <c r="H492">
        <v>12</v>
      </c>
      <c r="J492">
        <v>0</v>
      </c>
      <c r="K492">
        <v>0</v>
      </c>
      <c r="L492">
        <v>0</v>
      </c>
      <c r="M492">
        <v>0</v>
      </c>
      <c r="O492">
        <v>0</v>
      </c>
      <c r="P492">
        <v>0</v>
      </c>
      <c r="Q492">
        <v>0</v>
      </c>
      <c r="S492">
        <v>0</v>
      </c>
      <c r="U492">
        <v>0</v>
      </c>
      <c r="V492">
        <v>0</v>
      </c>
      <c r="W492" s="1">
        <v>44160</v>
      </c>
      <c r="Z492" t="s">
        <v>40</v>
      </c>
      <c r="AE492" t="s">
        <v>40</v>
      </c>
      <c r="AI492" t="s">
        <v>40</v>
      </c>
      <c r="AK492" t="s">
        <v>40</v>
      </c>
    </row>
    <row r="493" spans="1:37" x14ac:dyDescent="0.3">
      <c r="A493">
        <v>2019</v>
      </c>
      <c r="B493">
        <v>5</v>
      </c>
      <c r="C493" t="str">
        <f t="shared" si="14"/>
        <v>5/01/2019</v>
      </c>
      <c r="D493" s="1" t="str">
        <f t="shared" si="15"/>
        <v>5/01/2019</v>
      </c>
      <c r="E493" t="s">
        <v>37</v>
      </c>
      <c r="F493" t="s">
        <v>50</v>
      </c>
      <c r="G493" t="s">
        <v>41</v>
      </c>
      <c r="H493">
        <v>11</v>
      </c>
      <c r="J493">
        <v>0</v>
      </c>
      <c r="K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 s="1">
        <v>44160</v>
      </c>
      <c r="Z493" t="s">
        <v>40</v>
      </c>
      <c r="AC493" t="s">
        <v>40</v>
      </c>
    </row>
    <row r="494" spans="1:37" x14ac:dyDescent="0.3">
      <c r="A494">
        <v>2019</v>
      </c>
      <c r="B494">
        <v>5</v>
      </c>
      <c r="C494" t="str">
        <f t="shared" si="14"/>
        <v>5/01/2019</v>
      </c>
      <c r="D494" s="1" t="str">
        <f t="shared" si="15"/>
        <v>5/01/2019</v>
      </c>
      <c r="E494" t="s">
        <v>37</v>
      </c>
      <c r="F494" t="s">
        <v>50</v>
      </c>
      <c r="G494" t="s">
        <v>42</v>
      </c>
      <c r="H494">
        <v>28</v>
      </c>
      <c r="I494">
        <v>16</v>
      </c>
      <c r="K494">
        <v>0</v>
      </c>
      <c r="M494">
        <v>0</v>
      </c>
      <c r="P494">
        <v>0</v>
      </c>
      <c r="Q494">
        <v>0</v>
      </c>
      <c r="T494">
        <v>0</v>
      </c>
      <c r="U494">
        <v>0</v>
      </c>
      <c r="V494">
        <v>0</v>
      </c>
      <c r="W494" s="1">
        <v>44160</v>
      </c>
      <c r="AA494" t="s">
        <v>40</v>
      </c>
      <c r="AC494" t="s">
        <v>40</v>
      </c>
      <c r="AE494" t="s">
        <v>40</v>
      </c>
      <c r="AF494" t="s">
        <v>40</v>
      </c>
      <c r="AI494" t="s">
        <v>40</v>
      </c>
      <c r="AJ494" t="s">
        <v>40</v>
      </c>
    </row>
    <row r="495" spans="1:37" x14ac:dyDescent="0.3">
      <c r="A495">
        <v>2019</v>
      </c>
      <c r="B495">
        <v>5</v>
      </c>
      <c r="C495" t="str">
        <f t="shared" si="14"/>
        <v>5/01/2019</v>
      </c>
      <c r="D495" s="1" t="str">
        <f t="shared" si="15"/>
        <v>5/01/2019</v>
      </c>
      <c r="E495" t="s">
        <v>37</v>
      </c>
      <c r="F495" t="s">
        <v>50</v>
      </c>
      <c r="G495" t="s">
        <v>43</v>
      </c>
      <c r="H495">
        <v>52</v>
      </c>
      <c r="I495">
        <v>31</v>
      </c>
      <c r="M495">
        <v>0</v>
      </c>
      <c r="P495">
        <v>0</v>
      </c>
      <c r="Q495">
        <v>0</v>
      </c>
      <c r="R495">
        <v>0</v>
      </c>
      <c r="T495">
        <v>0</v>
      </c>
      <c r="U495">
        <v>0</v>
      </c>
      <c r="V495">
        <v>0</v>
      </c>
      <c r="W495" s="1">
        <v>44160</v>
      </c>
      <c r="AA495" t="s">
        <v>40</v>
      </c>
      <c r="AB495" t="s">
        <v>40</v>
      </c>
      <c r="AC495" t="s">
        <v>40</v>
      </c>
      <c r="AE495" t="s">
        <v>40</v>
      </c>
      <c r="AF495" t="s">
        <v>40</v>
      </c>
      <c r="AJ495" t="s">
        <v>40</v>
      </c>
    </row>
    <row r="496" spans="1:37" x14ac:dyDescent="0.3">
      <c r="A496">
        <v>2019</v>
      </c>
      <c r="B496">
        <v>5</v>
      </c>
      <c r="C496" t="str">
        <f t="shared" si="14"/>
        <v>5/01/2019</v>
      </c>
      <c r="D496" s="1" t="str">
        <f t="shared" si="15"/>
        <v>5/01/2019</v>
      </c>
      <c r="E496" t="s">
        <v>37</v>
      </c>
      <c r="F496" t="s">
        <v>50</v>
      </c>
      <c r="G496" t="s">
        <v>44</v>
      </c>
      <c r="H496">
        <v>79</v>
      </c>
      <c r="I496">
        <v>65</v>
      </c>
      <c r="J496">
        <v>0</v>
      </c>
      <c r="K496">
        <v>15</v>
      </c>
      <c r="M496">
        <v>0</v>
      </c>
      <c r="U496">
        <v>0</v>
      </c>
      <c r="V496">
        <v>0</v>
      </c>
      <c r="W496" s="1">
        <v>44160</v>
      </c>
      <c r="AC496" t="s">
        <v>40</v>
      </c>
      <c r="AE496" t="s">
        <v>40</v>
      </c>
      <c r="AF496" t="s">
        <v>40</v>
      </c>
      <c r="AG496" t="s">
        <v>40</v>
      </c>
      <c r="AH496" t="s">
        <v>40</v>
      </c>
      <c r="AI496" t="s">
        <v>40</v>
      </c>
      <c r="AJ496" t="s">
        <v>40</v>
      </c>
      <c r="AK496" t="s">
        <v>40</v>
      </c>
    </row>
    <row r="497" spans="1:37" x14ac:dyDescent="0.3">
      <c r="A497">
        <v>2019</v>
      </c>
      <c r="B497">
        <v>5</v>
      </c>
      <c r="C497" t="str">
        <f t="shared" si="14"/>
        <v>5/01/2019</v>
      </c>
      <c r="D497" s="1" t="str">
        <f t="shared" si="15"/>
        <v>5/01/2019</v>
      </c>
      <c r="E497" t="s">
        <v>37</v>
      </c>
      <c r="F497" t="s">
        <v>50</v>
      </c>
      <c r="G497" t="s">
        <v>45</v>
      </c>
      <c r="J497">
        <v>0</v>
      </c>
      <c r="K497">
        <v>0</v>
      </c>
      <c r="L497">
        <v>0</v>
      </c>
      <c r="M497">
        <v>0</v>
      </c>
      <c r="N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 s="1">
        <v>44160</v>
      </c>
      <c r="Y497" t="s">
        <v>40</v>
      </c>
      <c r="Z497" t="s">
        <v>40</v>
      </c>
      <c r="AF497" t="s">
        <v>40</v>
      </c>
    </row>
    <row r="498" spans="1:37" x14ac:dyDescent="0.3">
      <c r="A498">
        <v>2019</v>
      </c>
      <c r="B498">
        <v>5</v>
      </c>
      <c r="C498" t="str">
        <f t="shared" si="14"/>
        <v>5/01/2019</v>
      </c>
      <c r="D498" s="1" t="str">
        <f t="shared" si="15"/>
        <v>5/01/2019</v>
      </c>
      <c r="E498" t="s">
        <v>37</v>
      </c>
      <c r="F498" t="s">
        <v>50</v>
      </c>
      <c r="G498" t="s">
        <v>46</v>
      </c>
      <c r="H498">
        <v>135</v>
      </c>
      <c r="I498">
        <v>125</v>
      </c>
      <c r="K498">
        <v>41</v>
      </c>
      <c r="M498">
        <v>0</v>
      </c>
      <c r="R498">
        <v>0</v>
      </c>
      <c r="S498">
        <v>29</v>
      </c>
      <c r="U498">
        <v>0</v>
      </c>
      <c r="V498">
        <v>0</v>
      </c>
      <c r="W498" s="1">
        <v>44160</v>
      </c>
      <c r="AA498" t="s">
        <v>40</v>
      </c>
      <c r="AC498" t="s">
        <v>40</v>
      </c>
      <c r="AE498" t="s">
        <v>40</v>
      </c>
      <c r="AF498" t="s">
        <v>40</v>
      </c>
      <c r="AG498" t="s">
        <v>40</v>
      </c>
      <c r="AH498" t="s">
        <v>40</v>
      </c>
      <c r="AK498" t="s">
        <v>40</v>
      </c>
    </row>
    <row r="499" spans="1:37" x14ac:dyDescent="0.3">
      <c r="A499">
        <v>2019</v>
      </c>
      <c r="B499">
        <v>5</v>
      </c>
      <c r="C499" t="str">
        <f t="shared" si="14"/>
        <v>5/01/2019</v>
      </c>
      <c r="D499" s="1" t="str">
        <f t="shared" si="15"/>
        <v>5/01/2019</v>
      </c>
      <c r="E499" t="s">
        <v>37</v>
      </c>
      <c r="F499" t="s">
        <v>50</v>
      </c>
      <c r="G499" t="s">
        <v>47</v>
      </c>
      <c r="H499">
        <v>148</v>
      </c>
      <c r="I499">
        <v>143</v>
      </c>
      <c r="K499">
        <v>40</v>
      </c>
      <c r="L499">
        <v>17</v>
      </c>
      <c r="O499">
        <v>12</v>
      </c>
      <c r="S499">
        <v>22</v>
      </c>
      <c r="U499">
        <v>0</v>
      </c>
      <c r="V499">
        <v>0</v>
      </c>
      <c r="W499" s="1">
        <v>44160</v>
      </c>
      <c r="AA499" t="s">
        <v>40</v>
      </c>
      <c r="AD499" t="s">
        <v>40</v>
      </c>
      <c r="AE499" t="s">
        <v>40</v>
      </c>
      <c r="AG499" t="s">
        <v>40</v>
      </c>
      <c r="AH499" t="s">
        <v>40</v>
      </c>
      <c r="AI499" t="s">
        <v>40</v>
      </c>
      <c r="AK499" t="s">
        <v>40</v>
      </c>
    </row>
    <row r="500" spans="1:37" x14ac:dyDescent="0.3">
      <c r="A500">
        <v>2019</v>
      </c>
      <c r="B500">
        <v>5</v>
      </c>
      <c r="C500" t="str">
        <f t="shared" si="14"/>
        <v>5/01/2019</v>
      </c>
      <c r="D500" s="1" t="str">
        <f t="shared" si="15"/>
        <v>5/01/2019</v>
      </c>
      <c r="E500" t="s">
        <v>37</v>
      </c>
      <c r="F500" t="s">
        <v>50</v>
      </c>
      <c r="G500" t="s">
        <v>48</v>
      </c>
      <c r="H500">
        <v>145</v>
      </c>
      <c r="I500">
        <v>141</v>
      </c>
      <c r="K500">
        <v>38</v>
      </c>
      <c r="O500">
        <v>13</v>
      </c>
      <c r="R500">
        <v>0</v>
      </c>
      <c r="S500">
        <v>25</v>
      </c>
      <c r="U500">
        <v>0</v>
      </c>
      <c r="V500">
        <v>0</v>
      </c>
      <c r="W500" s="1">
        <v>44160</v>
      </c>
      <c r="AA500" t="s">
        <v>40</v>
      </c>
      <c r="AC500" t="s">
        <v>40</v>
      </c>
      <c r="AD500" t="s">
        <v>40</v>
      </c>
      <c r="AE500" t="s">
        <v>40</v>
      </c>
      <c r="AG500" t="s">
        <v>40</v>
      </c>
      <c r="AH500" t="s">
        <v>40</v>
      </c>
      <c r="AK500" t="s">
        <v>40</v>
      </c>
    </row>
    <row r="501" spans="1:37" x14ac:dyDescent="0.3">
      <c r="A501">
        <v>2019</v>
      </c>
      <c r="B501">
        <v>5</v>
      </c>
      <c r="C501" t="str">
        <f t="shared" si="14"/>
        <v>5/01/2019</v>
      </c>
      <c r="D501" s="1" t="str">
        <f t="shared" si="15"/>
        <v>5/01/2019</v>
      </c>
      <c r="E501" t="s">
        <v>37</v>
      </c>
      <c r="F501" t="s">
        <v>50</v>
      </c>
      <c r="G501" t="s">
        <v>49</v>
      </c>
      <c r="H501">
        <v>116</v>
      </c>
      <c r="I501">
        <v>113</v>
      </c>
      <c r="J501">
        <v>0</v>
      </c>
      <c r="K501">
        <v>13</v>
      </c>
      <c r="M501">
        <v>10</v>
      </c>
      <c r="S501">
        <v>24</v>
      </c>
      <c r="U501">
        <v>0</v>
      </c>
      <c r="V501">
        <v>0</v>
      </c>
      <c r="W501" s="1">
        <v>44160</v>
      </c>
      <c r="AC501" t="s">
        <v>40</v>
      </c>
      <c r="AE501" t="s">
        <v>40</v>
      </c>
      <c r="AF501" t="s">
        <v>40</v>
      </c>
      <c r="AG501" t="s">
        <v>40</v>
      </c>
      <c r="AH501" t="s">
        <v>40</v>
      </c>
      <c r="AI501" t="s">
        <v>40</v>
      </c>
      <c r="AK501" t="s">
        <v>40</v>
      </c>
    </row>
    <row r="502" spans="1:37" x14ac:dyDescent="0.3">
      <c r="A502">
        <v>2019</v>
      </c>
      <c r="B502">
        <v>5</v>
      </c>
      <c r="C502" t="str">
        <f t="shared" si="14"/>
        <v>5/01/2019</v>
      </c>
      <c r="D502" s="1" t="str">
        <f t="shared" si="15"/>
        <v>5/01/2019</v>
      </c>
      <c r="E502" t="s">
        <v>37</v>
      </c>
      <c r="F502" t="s">
        <v>51</v>
      </c>
      <c r="G502" t="s">
        <v>39</v>
      </c>
      <c r="H502">
        <v>30</v>
      </c>
      <c r="I502">
        <v>22</v>
      </c>
      <c r="J502">
        <v>0</v>
      </c>
      <c r="L502">
        <v>0</v>
      </c>
      <c r="M502">
        <v>0</v>
      </c>
      <c r="N502">
        <v>0</v>
      </c>
      <c r="O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 s="1">
        <v>44160</v>
      </c>
      <c r="AB502" t="s">
        <v>40</v>
      </c>
      <c r="AG502" t="s">
        <v>40</v>
      </c>
    </row>
    <row r="503" spans="1:37" x14ac:dyDescent="0.3">
      <c r="A503">
        <v>2019</v>
      </c>
      <c r="B503">
        <v>5</v>
      </c>
      <c r="C503" t="str">
        <f t="shared" si="14"/>
        <v>5/01/2019</v>
      </c>
      <c r="D503" s="1" t="str">
        <f t="shared" si="15"/>
        <v>5/01/2019</v>
      </c>
      <c r="E503" t="s">
        <v>37</v>
      </c>
      <c r="F503" t="s">
        <v>51</v>
      </c>
      <c r="G503" t="s">
        <v>41</v>
      </c>
      <c r="H503">
        <v>14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 s="1">
        <v>44160</v>
      </c>
      <c r="Z503" t="s">
        <v>40</v>
      </c>
      <c r="AA503" t="s">
        <v>40</v>
      </c>
      <c r="AB503" t="s">
        <v>40</v>
      </c>
    </row>
    <row r="504" spans="1:37" x14ac:dyDescent="0.3">
      <c r="A504">
        <v>2019</v>
      </c>
      <c r="B504">
        <v>5</v>
      </c>
      <c r="C504" t="str">
        <f t="shared" si="14"/>
        <v>5/01/2019</v>
      </c>
      <c r="D504" s="1" t="str">
        <f t="shared" si="15"/>
        <v>5/01/2019</v>
      </c>
      <c r="E504" t="s">
        <v>37</v>
      </c>
      <c r="F504" t="s">
        <v>51</v>
      </c>
      <c r="G504" t="s">
        <v>42</v>
      </c>
      <c r="H504">
        <v>42</v>
      </c>
      <c r="I504">
        <v>21</v>
      </c>
      <c r="J504">
        <v>0</v>
      </c>
      <c r="M504">
        <v>0</v>
      </c>
      <c r="P504">
        <v>0</v>
      </c>
      <c r="Q504">
        <v>0</v>
      </c>
      <c r="U504">
        <v>0</v>
      </c>
      <c r="V504">
        <v>0</v>
      </c>
      <c r="W504" s="1">
        <v>44160</v>
      </c>
      <c r="AB504" t="s">
        <v>40</v>
      </c>
      <c r="AC504" t="s">
        <v>40</v>
      </c>
      <c r="AE504" t="s">
        <v>40</v>
      </c>
      <c r="AF504" t="s">
        <v>40</v>
      </c>
      <c r="AI504" t="s">
        <v>40</v>
      </c>
      <c r="AJ504" t="s">
        <v>40</v>
      </c>
      <c r="AK504" t="s">
        <v>40</v>
      </c>
    </row>
    <row r="505" spans="1:37" x14ac:dyDescent="0.3">
      <c r="A505">
        <v>2019</v>
      </c>
      <c r="B505">
        <v>5</v>
      </c>
      <c r="C505" t="str">
        <f t="shared" si="14"/>
        <v>5/01/2019</v>
      </c>
      <c r="D505" s="1" t="str">
        <f t="shared" si="15"/>
        <v>5/01/2019</v>
      </c>
      <c r="E505" t="s">
        <v>37</v>
      </c>
      <c r="F505" t="s">
        <v>51</v>
      </c>
      <c r="G505" t="s">
        <v>43</v>
      </c>
      <c r="H505">
        <v>54</v>
      </c>
      <c r="I505">
        <v>39</v>
      </c>
      <c r="K505">
        <v>21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U505">
        <v>0</v>
      </c>
      <c r="V505">
        <v>0</v>
      </c>
      <c r="W505" s="1">
        <v>44160</v>
      </c>
      <c r="AA505" t="s">
        <v>40</v>
      </c>
      <c r="AJ505" t="s">
        <v>40</v>
      </c>
      <c r="AK505" t="s">
        <v>40</v>
      </c>
    </row>
    <row r="506" spans="1:37" x14ac:dyDescent="0.3">
      <c r="A506">
        <v>2019</v>
      </c>
      <c r="B506">
        <v>5</v>
      </c>
      <c r="C506" t="str">
        <f t="shared" si="14"/>
        <v>5/01/2019</v>
      </c>
      <c r="D506" s="1" t="str">
        <f t="shared" si="15"/>
        <v>5/01/2019</v>
      </c>
      <c r="E506" t="s">
        <v>37</v>
      </c>
      <c r="F506" t="s">
        <v>51</v>
      </c>
      <c r="G506" t="s">
        <v>44</v>
      </c>
      <c r="H506">
        <v>140</v>
      </c>
      <c r="I506">
        <v>125</v>
      </c>
      <c r="K506">
        <v>72</v>
      </c>
      <c r="M506">
        <v>0</v>
      </c>
      <c r="N506">
        <v>0</v>
      </c>
      <c r="O506">
        <v>0</v>
      </c>
      <c r="Q506">
        <v>0</v>
      </c>
      <c r="S506">
        <v>14</v>
      </c>
      <c r="T506">
        <v>12</v>
      </c>
      <c r="U506">
        <v>0</v>
      </c>
      <c r="V506">
        <v>0</v>
      </c>
      <c r="W506" s="1">
        <v>44160</v>
      </c>
      <c r="AA506" t="s">
        <v>40</v>
      </c>
      <c r="AC506" t="s">
        <v>40</v>
      </c>
      <c r="AG506" t="s">
        <v>40</v>
      </c>
      <c r="AI506" t="s">
        <v>40</v>
      </c>
    </row>
    <row r="507" spans="1:37" x14ac:dyDescent="0.3">
      <c r="A507">
        <v>2019</v>
      </c>
      <c r="B507">
        <v>5</v>
      </c>
      <c r="C507" t="str">
        <f t="shared" si="14"/>
        <v>5/01/2019</v>
      </c>
      <c r="D507" s="1" t="str">
        <f t="shared" si="15"/>
        <v>5/01/2019</v>
      </c>
      <c r="E507" t="s">
        <v>37</v>
      </c>
      <c r="F507" t="s">
        <v>51</v>
      </c>
      <c r="G507" t="s">
        <v>45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 s="1">
        <v>44160</v>
      </c>
      <c r="Y507" t="s">
        <v>40</v>
      </c>
      <c r="Z507" t="s">
        <v>40</v>
      </c>
      <c r="AA507" t="s">
        <v>40</v>
      </c>
      <c r="AB507" t="s">
        <v>40</v>
      </c>
    </row>
    <row r="508" spans="1:37" x14ac:dyDescent="0.3">
      <c r="A508">
        <v>2019</v>
      </c>
      <c r="B508">
        <v>5</v>
      </c>
      <c r="C508" t="str">
        <f t="shared" si="14"/>
        <v>5/01/2019</v>
      </c>
      <c r="D508" s="1" t="str">
        <f t="shared" si="15"/>
        <v>5/01/2019</v>
      </c>
      <c r="E508" t="s">
        <v>37</v>
      </c>
      <c r="F508" t="s">
        <v>51</v>
      </c>
      <c r="G508" t="s">
        <v>46</v>
      </c>
      <c r="H508">
        <v>264</v>
      </c>
      <c r="I508">
        <v>248</v>
      </c>
      <c r="K508">
        <v>137</v>
      </c>
      <c r="L508">
        <v>10</v>
      </c>
      <c r="S508">
        <v>34</v>
      </c>
      <c r="T508">
        <v>16</v>
      </c>
      <c r="U508">
        <v>0</v>
      </c>
      <c r="V508">
        <v>0</v>
      </c>
      <c r="W508" s="1">
        <v>44160</v>
      </c>
      <c r="AA508" t="s">
        <v>40</v>
      </c>
      <c r="AD508" t="s">
        <v>40</v>
      </c>
      <c r="AE508" t="s">
        <v>40</v>
      </c>
      <c r="AF508" t="s">
        <v>40</v>
      </c>
      <c r="AG508" t="s">
        <v>40</v>
      </c>
      <c r="AH508" t="s">
        <v>40</v>
      </c>
      <c r="AI508" t="s">
        <v>40</v>
      </c>
    </row>
    <row r="509" spans="1:37" x14ac:dyDescent="0.3">
      <c r="A509">
        <v>2019</v>
      </c>
      <c r="B509">
        <v>5</v>
      </c>
      <c r="C509" t="str">
        <f t="shared" si="14"/>
        <v>5/01/2019</v>
      </c>
      <c r="D509" s="1" t="str">
        <f t="shared" si="15"/>
        <v>5/01/2019</v>
      </c>
      <c r="E509" t="s">
        <v>37</v>
      </c>
      <c r="F509" t="s">
        <v>51</v>
      </c>
      <c r="G509" t="s">
        <v>47</v>
      </c>
      <c r="H509">
        <v>443</v>
      </c>
      <c r="I509">
        <v>429</v>
      </c>
      <c r="K509">
        <v>176</v>
      </c>
      <c r="L509">
        <v>16</v>
      </c>
      <c r="M509">
        <v>10</v>
      </c>
      <c r="Q509">
        <v>15</v>
      </c>
      <c r="S509">
        <v>68</v>
      </c>
      <c r="T509">
        <v>39</v>
      </c>
      <c r="U509">
        <v>0</v>
      </c>
      <c r="V509">
        <v>0</v>
      </c>
      <c r="W509" s="1">
        <v>44160</v>
      </c>
      <c r="AA509" t="s">
        <v>40</v>
      </c>
      <c r="AE509" t="s">
        <v>40</v>
      </c>
      <c r="AF509" t="s">
        <v>40</v>
      </c>
      <c r="AG509" t="s">
        <v>40</v>
      </c>
      <c r="AI509" t="s">
        <v>40</v>
      </c>
    </row>
    <row r="510" spans="1:37" x14ac:dyDescent="0.3">
      <c r="A510">
        <v>2019</v>
      </c>
      <c r="B510">
        <v>5</v>
      </c>
      <c r="C510" t="str">
        <f t="shared" si="14"/>
        <v>5/01/2019</v>
      </c>
      <c r="D510" s="1" t="str">
        <f t="shared" si="15"/>
        <v>5/01/2019</v>
      </c>
      <c r="E510" t="s">
        <v>37</v>
      </c>
      <c r="F510" t="s">
        <v>51</v>
      </c>
      <c r="G510" t="s">
        <v>48</v>
      </c>
      <c r="H510">
        <v>661</v>
      </c>
      <c r="I510">
        <v>634</v>
      </c>
      <c r="K510">
        <v>176</v>
      </c>
      <c r="L510">
        <v>38</v>
      </c>
      <c r="M510">
        <v>26</v>
      </c>
      <c r="N510">
        <v>13</v>
      </c>
      <c r="O510">
        <v>13</v>
      </c>
      <c r="Q510">
        <v>19</v>
      </c>
      <c r="S510">
        <v>136</v>
      </c>
      <c r="T510">
        <v>60</v>
      </c>
      <c r="U510">
        <v>0</v>
      </c>
      <c r="V510">
        <v>0</v>
      </c>
      <c r="W510" s="1">
        <v>44160</v>
      </c>
      <c r="AA510" t="s">
        <v>40</v>
      </c>
      <c r="AG510" t="s">
        <v>40</v>
      </c>
      <c r="AI510" t="s">
        <v>40</v>
      </c>
    </row>
    <row r="511" spans="1:37" x14ac:dyDescent="0.3">
      <c r="A511">
        <v>2019</v>
      </c>
      <c r="B511">
        <v>5</v>
      </c>
      <c r="C511" t="str">
        <f t="shared" si="14"/>
        <v>5/01/2019</v>
      </c>
      <c r="D511" s="1" t="str">
        <f t="shared" si="15"/>
        <v>5/01/2019</v>
      </c>
      <c r="E511" t="s">
        <v>37</v>
      </c>
      <c r="F511" t="s">
        <v>51</v>
      </c>
      <c r="G511" t="s">
        <v>49</v>
      </c>
      <c r="H511" s="2">
        <v>1160</v>
      </c>
      <c r="I511" s="2">
        <v>1139</v>
      </c>
      <c r="K511">
        <v>147</v>
      </c>
      <c r="L511">
        <v>40</v>
      </c>
      <c r="M511">
        <v>115</v>
      </c>
      <c r="N511">
        <v>45</v>
      </c>
      <c r="O511">
        <v>35</v>
      </c>
      <c r="P511">
        <v>16</v>
      </c>
      <c r="Q511">
        <v>18</v>
      </c>
      <c r="S511">
        <v>308</v>
      </c>
      <c r="T511">
        <v>138</v>
      </c>
      <c r="U511">
        <v>0</v>
      </c>
      <c r="V511">
        <v>0</v>
      </c>
      <c r="W511" s="1">
        <v>44160</v>
      </c>
      <c r="AA511" t="s">
        <v>40</v>
      </c>
      <c r="AI511" t="s">
        <v>40</v>
      </c>
    </row>
    <row r="512" spans="1:37" x14ac:dyDescent="0.3">
      <c r="A512">
        <v>2019</v>
      </c>
      <c r="B512">
        <v>5</v>
      </c>
      <c r="C512" t="str">
        <f t="shared" si="14"/>
        <v>5/01/2019</v>
      </c>
      <c r="D512" s="1" t="str">
        <f t="shared" si="15"/>
        <v>5/01/2019</v>
      </c>
      <c r="E512" t="s">
        <v>37</v>
      </c>
      <c r="F512" t="s">
        <v>52</v>
      </c>
      <c r="G512" t="s">
        <v>39</v>
      </c>
      <c r="H512">
        <v>259</v>
      </c>
      <c r="I512">
        <v>219</v>
      </c>
      <c r="L512">
        <v>0</v>
      </c>
      <c r="M512">
        <v>0</v>
      </c>
      <c r="O512">
        <v>0</v>
      </c>
      <c r="R512">
        <v>40</v>
      </c>
      <c r="U512">
        <v>0</v>
      </c>
      <c r="V512">
        <v>0</v>
      </c>
      <c r="W512" s="1">
        <v>44160</v>
      </c>
      <c r="AA512" t="s">
        <v>40</v>
      </c>
      <c r="AB512" t="s">
        <v>40</v>
      </c>
      <c r="AE512" t="s">
        <v>40</v>
      </c>
      <c r="AG512" t="s">
        <v>40</v>
      </c>
      <c r="AH512" t="s">
        <v>40</v>
      </c>
      <c r="AJ512" t="s">
        <v>40</v>
      </c>
      <c r="AK512" t="s">
        <v>40</v>
      </c>
    </row>
    <row r="513" spans="1:37" x14ac:dyDescent="0.3">
      <c r="A513">
        <v>2019</v>
      </c>
      <c r="B513">
        <v>5</v>
      </c>
      <c r="C513" t="str">
        <f t="shared" si="14"/>
        <v>5/01/2019</v>
      </c>
      <c r="D513" s="1" t="str">
        <f t="shared" si="15"/>
        <v>5/01/2019</v>
      </c>
      <c r="E513" t="s">
        <v>37</v>
      </c>
      <c r="F513" t="s">
        <v>52</v>
      </c>
      <c r="G513" t="s">
        <v>41</v>
      </c>
      <c r="H513">
        <v>135</v>
      </c>
      <c r="I513">
        <v>49</v>
      </c>
      <c r="J513">
        <v>0</v>
      </c>
      <c r="M513">
        <v>0</v>
      </c>
      <c r="N513">
        <v>0</v>
      </c>
      <c r="P513">
        <v>0</v>
      </c>
      <c r="S513">
        <v>11</v>
      </c>
      <c r="T513">
        <v>0</v>
      </c>
      <c r="U513">
        <v>0</v>
      </c>
      <c r="V513">
        <v>0</v>
      </c>
      <c r="W513" s="1">
        <v>44160</v>
      </c>
      <c r="AB513" t="s">
        <v>40</v>
      </c>
      <c r="AC513" t="s">
        <v>40</v>
      </c>
      <c r="AF513" t="s">
        <v>40</v>
      </c>
      <c r="AH513" t="s">
        <v>40</v>
      </c>
      <c r="AI513" t="s">
        <v>40</v>
      </c>
    </row>
    <row r="514" spans="1:37" x14ac:dyDescent="0.3">
      <c r="A514">
        <v>2019</v>
      </c>
      <c r="B514">
        <v>5</v>
      </c>
      <c r="C514" t="str">
        <f t="shared" si="14"/>
        <v>5/01/2019</v>
      </c>
      <c r="D514" s="1" t="str">
        <f t="shared" si="15"/>
        <v>5/01/2019</v>
      </c>
      <c r="E514" t="s">
        <v>37</v>
      </c>
      <c r="F514" t="s">
        <v>52</v>
      </c>
      <c r="G514" t="s">
        <v>42</v>
      </c>
      <c r="H514">
        <v>295</v>
      </c>
      <c r="I514">
        <v>171</v>
      </c>
      <c r="K514">
        <v>29</v>
      </c>
      <c r="L514">
        <v>13</v>
      </c>
      <c r="M514">
        <v>0</v>
      </c>
      <c r="S514">
        <v>35</v>
      </c>
      <c r="U514">
        <v>0</v>
      </c>
      <c r="V514">
        <v>0</v>
      </c>
      <c r="W514" s="1">
        <v>44160</v>
      </c>
      <c r="AA514" t="s">
        <v>40</v>
      </c>
      <c r="AE514" t="s">
        <v>40</v>
      </c>
      <c r="AF514" t="s">
        <v>40</v>
      </c>
      <c r="AG514" t="s">
        <v>40</v>
      </c>
      <c r="AH514" t="s">
        <v>40</v>
      </c>
      <c r="AI514" t="s">
        <v>40</v>
      </c>
      <c r="AK514" t="s">
        <v>40</v>
      </c>
    </row>
    <row r="515" spans="1:37" x14ac:dyDescent="0.3">
      <c r="A515">
        <v>2019</v>
      </c>
      <c r="B515">
        <v>5</v>
      </c>
      <c r="C515" t="str">
        <f t="shared" ref="C515:C578" si="16">CONCATENATE(B515,"/01/",A515)</f>
        <v>5/01/2019</v>
      </c>
      <c r="D515" s="1" t="str">
        <f t="shared" ref="D515:D578" si="17">C515</f>
        <v>5/01/2019</v>
      </c>
      <c r="E515" t="s">
        <v>37</v>
      </c>
      <c r="F515" t="s">
        <v>52</v>
      </c>
      <c r="G515" t="s">
        <v>43</v>
      </c>
      <c r="H515">
        <v>528</v>
      </c>
      <c r="I515">
        <v>419</v>
      </c>
      <c r="K515">
        <v>106</v>
      </c>
      <c r="L515">
        <v>15</v>
      </c>
      <c r="M515">
        <v>0</v>
      </c>
      <c r="Q515">
        <v>11</v>
      </c>
      <c r="S515">
        <v>96</v>
      </c>
      <c r="T515">
        <v>19</v>
      </c>
      <c r="U515">
        <v>0</v>
      </c>
      <c r="V515">
        <v>0</v>
      </c>
      <c r="W515" s="1">
        <v>44160</v>
      </c>
      <c r="AA515" t="s">
        <v>40</v>
      </c>
      <c r="AE515" t="s">
        <v>40</v>
      </c>
      <c r="AF515" t="s">
        <v>40</v>
      </c>
      <c r="AG515" t="s">
        <v>40</v>
      </c>
      <c r="AI515" t="s">
        <v>40</v>
      </c>
    </row>
    <row r="516" spans="1:37" x14ac:dyDescent="0.3">
      <c r="A516">
        <v>2019</v>
      </c>
      <c r="B516">
        <v>5</v>
      </c>
      <c r="C516" t="str">
        <f t="shared" si="16"/>
        <v>5/01/2019</v>
      </c>
      <c r="D516" s="1" t="str">
        <f t="shared" si="17"/>
        <v>5/01/2019</v>
      </c>
      <c r="E516" t="s">
        <v>37</v>
      </c>
      <c r="F516" t="s">
        <v>52</v>
      </c>
      <c r="G516" t="s">
        <v>44</v>
      </c>
      <c r="H516" s="2">
        <v>1049</v>
      </c>
      <c r="I516">
        <v>926</v>
      </c>
      <c r="J516">
        <v>23</v>
      </c>
      <c r="K516">
        <v>253</v>
      </c>
      <c r="L516">
        <v>45</v>
      </c>
      <c r="M516">
        <v>0</v>
      </c>
      <c r="N516">
        <v>15</v>
      </c>
      <c r="O516">
        <v>25</v>
      </c>
      <c r="P516">
        <v>23</v>
      </c>
      <c r="Q516">
        <v>24</v>
      </c>
      <c r="S516">
        <v>229</v>
      </c>
      <c r="T516">
        <v>57</v>
      </c>
      <c r="U516">
        <v>0</v>
      </c>
      <c r="V516">
        <v>0</v>
      </c>
      <c r="W516" s="1">
        <v>44160</v>
      </c>
      <c r="AI516" t="s">
        <v>40</v>
      </c>
    </row>
    <row r="517" spans="1:37" x14ac:dyDescent="0.3">
      <c r="A517">
        <v>2019</v>
      </c>
      <c r="B517">
        <v>5</v>
      </c>
      <c r="C517" t="str">
        <f t="shared" si="16"/>
        <v>5/01/2019</v>
      </c>
      <c r="D517" s="1" t="str">
        <f t="shared" si="17"/>
        <v>5/01/2019</v>
      </c>
      <c r="E517" t="s">
        <v>37</v>
      </c>
      <c r="F517" t="s">
        <v>52</v>
      </c>
      <c r="G517" t="s">
        <v>45</v>
      </c>
      <c r="H517">
        <v>49</v>
      </c>
      <c r="I517">
        <v>34</v>
      </c>
      <c r="L517">
        <v>0</v>
      </c>
      <c r="M517">
        <v>0</v>
      </c>
      <c r="Q517">
        <v>0</v>
      </c>
      <c r="R517">
        <v>0</v>
      </c>
      <c r="T517">
        <v>0</v>
      </c>
      <c r="U517">
        <v>0</v>
      </c>
      <c r="V517">
        <v>0</v>
      </c>
      <c r="W517" s="1">
        <v>44160</v>
      </c>
      <c r="AA517" t="s">
        <v>40</v>
      </c>
      <c r="AB517" t="s">
        <v>40</v>
      </c>
      <c r="AE517" t="s">
        <v>40</v>
      </c>
      <c r="AF517" t="s">
        <v>40</v>
      </c>
      <c r="AG517" t="s">
        <v>40</v>
      </c>
      <c r="AJ517" t="s">
        <v>40</v>
      </c>
    </row>
    <row r="518" spans="1:37" x14ac:dyDescent="0.3">
      <c r="A518">
        <v>2019</v>
      </c>
      <c r="B518">
        <v>5</v>
      </c>
      <c r="C518" t="str">
        <f t="shared" si="16"/>
        <v>5/01/2019</v>
      </c>
      <c r="D518" s="1" t="str">
        <f t="shared" si="17"/>
        <v>5/01/2019</v>
      </c>
      <c r="E518" t="s">
        <v>37</v>
      </c>
      <c r="F518" t="s">
        <v>52</v>
      </c>
      <c r="G518" t="s">
        <v>46</v>
      </c>
      <c r="H518" s="2">
        <v>2241</v>
      </c>
      <c r="I518" s="2">
        <v>2118</v>
      </c>
      <c r="J518">
        <v>60</v>
      </c>
      <c r="K518">
        <v>694</v>
      </c>
      <c r="L518">
        <v>111</v>
      </c>
      <c r="N518">
        <v>27</v>
      </c>
      <c r="O518">
        <v>82</v>
      </c>
      <c r="P518">
        <v>30</v>
      </c>
      <c r="Q518">
        <v>62</v>
      </c>
      <c r="R518">
        <v>28</v>
      </c>
      <c r="S518">
        <v>490</v>
      </c>
      <c r="T518">
        <v>105</v>
      </c>
      <c r="U518">
        <v>0</v>
      </c>
      <c r="V518">
        <v>0</v>
      </c>
      <c r="W518" s="1">
        <v>44160</v>
      </c>
      <c r="AD518" t="s">
        <v>40</v>
      </c>
    </row>
    <row r="519" spans="1:37" x14ac:dyDescent="0.3">
      <c r="A519">
        <v>2019</v>
      </c>
      <c r="B519">
        <v>5</v>
      </c>
      <c r="C519" t="str">
        <f t="shared" si="16"/>
        <v>5/01/2019</v>
      </c>
      <c r="D519" s="1" t="str">
        <f t="shared" si="17"/>
        <v>5/01/2019</v>
      </c>
      <c r="E519" t="s">
        <v>37</v>
      </c>
      <c r="F519" t="s">
        <v>52</v>
      </c>
      <c r="G519" t="s">
        <v>47</v>
      </c>
      <c r="H519" s="2">
        <v>2640</v>
      </c>
      <c r="I519" s="2">
        <v>2580</v>
      </c>
      <c r="J519">
        <v>53</v>
      </c>
      <c r="K519">
        <v>772</v>
      </c>
      <c r="L519">
        <v>166</v>
      </c>
      <c r="M519">
        <v>47</v>
      </c>
      <c r="N519">
        <v>33</v>
      </c>
      <c r="O519">
        <v>119</v>
      </c>
      <c r="P519">
        <v>44</v>
      </c>
      <c r="Q519">
        <v>79</v>
      </c>
      <c r="R519">
        <v>12</v>
      </c>
      <c r="S519">
        <v>607</v>
      </c>
      <c r="T519">
        <v>165</v>
      </c>
      <c r="U519">
        <v>0</v>
      </c>
      <c r="V519">
        <v>0</v>
      </c>
      <c r="W519" s="1">
        <v>44160</v>
      </c>
    </row>
    <row r="520" spans="1:37" x14ac:dyDescent="0.3">
      <c r="A520">
        <v>2019</v>
      </c>
      <c r="B520">
        <v>5</v>
      </c>
      <c r="C520" t="str">
        <f t="shared" si="16"/>
        <v>5/01/2019</v>
      </c>
      <c r="D520" s="1" t="str">
        <f t="shared" si="17"/>
        <v>5/01/2019</v>
      </c>
      <c r="E520" t="s">
        <v>37</v>
      </c>
      <c r="F520" t="s">
        <v>52</v>
      </c>
      <c r="G520" t="s">
        <v>48</v>
      </c>
      <c r="H520" s="2">
        <v>2952</v>
      </c>
      <c r="I520" s="2">
        <v>2906</v>
      </c>
      <c r="J520">
        <v>59</v>
      </c>
      <c r="K520">
        <v>663</v>
      </c>
      <c r="L520">
        <v>149</v>
      </c>
      <c r="M520">
        <v>128</v>
      </c>
      <c r="N520">
        <v>38</v>
      </c>
      <c r="O520">
        <v>123</v>
      </c>
      <c r="P520">
        <v>42</v>
      </c>
      <c r="Q520">
        <v>119</v>
      </c>
      <c r="R520">
        <v>20</v>
      </c>
      <c r="S520">
        <v>736</v>
      </c>
      <c r="T520">
        <v>242</v>
      </c>
      <c r="U520">
        <v>0</v>
      </c>
      <c r="V520">
        <v>0</v>
      </c>
      <c r="W520" s="1">
        <v>44160</v>
      </c>
    </row>
    <row r="521" spans="1:37" x14ac:dyDescent="0.3">
      <c r="A521">
        <v>2019</v>
      </c>
      <c r="B521">
        <v>5</v>
      </c>
      <c r="C521" t="str">
        <f t="shared" si="16"/>
        <v>5/01/2019</v>
      </c>
      <c r="D521" s="1" t="str">
        <f t="shared" si="17"/>
        <v>5/01/2019</v>
      </c>
      <c r="E521" t="s">
        <v>37</v>
      </c>
      <c r="F521" t="s">
        <v>52</v>
      </c>
      <c r="G521" t="s">
        <v>49</v>
      </c>
      <c r="H521" s="2">
        <v>3327</v>
      </c>
      <c r="I521" s="2">
        <v>3271</v>
      </c>
      <c r="J521">
        <v>59</v>
      </c>
      <c r="K521">
        <v>386</v>
      </c>
      <c r="L521">
        <v>113</v>
      </c>
      <c r="M521">
        <v>329</v>
      </c>
      <c r="N521">
        <v>64</v>
      </c>
      <c r="O521">
        <v>77</v>
      </c>
      <c r="P521">
        <v>29</v>
      </c>
      <c r="Q521">
        <v>87</v>
      </c>
      <c r="R521">
        <v>48</v>
      </c>
      <c r="S521">
        <v>911</v>
      </c>
      <c r="T521">
        <v>326</v>
      </c>
      <c r="U521">
        <v>0</v>
      </c>
      <c r="V521">
        <v>0</v>
      </c>
      <c r="W521" s="1">
        <v>44160</v>
      </c>
    </row>
    <row r="522" spans="1:37" x14ac:dyDescent="0.3">
      <c r="A522">
        <v>2019</v>
      </c>
      <c r="B522">
        <v>5</v>
      </c>
      <c r="C522" t="str">
        <f t="shared" si="16"/>
        <v>5/01/2019</v>
      </c>
      <c r="D522" s="1" t="str">
        <f t="shared" si="17"/>
        <v>5/01/2019</v>
      </c>
      <c r="E522" t="s">
        <v>37</v>
      </c>
      <c r="F522" t="s">
        <v>53</v>
      </c>
      <c r="G522" t="s">
        <v>39</v>
      </c>
      <c r="H522">
        <v>379</v>
      </c>
      <c r="I522">
        <v>320</v>
      </c>
      <c r="K522">
        <v>10</v>
      </c>
      <c r="L522">
        <v>0</v>
      </c>
      <c r="M522">
        <v>0</v>
      </c>
      <c r="O522">
        <v>0</v>
      </c>
      <c r="Q522">
        <v>0</v>
      </c>
      <c r="R522">
        <v>37</v>
      </c>
      <c r="U522">
        <v>0</v>
      </c>
      <c r="V522">
        <v>0</v>
      </c>
      <c r="W522" s="1">
        <v>44160</v>
      </c>
      <c r="AA522" t="s">
        <v>40</v>
      </c>
      <c r="AE522" t="s">
        <v>40</v>
      </c>
      <c r="AG522" t="s">
        <v>40</v>
      </c>
      <c r="AJ522" t="s">
        <v>40</v>
      </c>
      <c r="AK522" t="s">
        <v>40</v>
      </c>
    </row>
    <row r="523" spans="1:37" x14ac:dyDescent="0.3">
      <c r="A523">
        <v>2019</v>
      </c>
      <c r="B523">
        <v>5</v>
      </c>
      <c r="C523" t="str">
        <f t="shared" si="16"/>
        <v>5/01/2019</v>
      </c>
      <c r="D523" s="1" t="str">
        <f t="shared" si="17"/>
        <v>5/01/2019</v>
      </c>
      <c r="E523" t="s">
        <v>37</v>
      </c>
      <c r="F523" t="s">
        <v>53</v>
      </c>
      <c r="G523" t="s">
        <v>41</v>
      </c>
      <c r="H523">
        <v>380</v>
      </c>
      <c r="I523">
        <v>120</v>
      </c>
      <c r="K523">
        <v>31</v>
      </c>
      <c r="M523">
        <v>0</v>
      </c>
      <c r="Q523">
        <v>0</v>
      </c>
      <c r="R523">
        <v>11</v>
      </c>
      <c r="S523">
        <v>12</v>
      </c>
      <c r="U523">
        <v>0</v>
      </c>
      <c r="V523">
        <v>0</v>
      </c>
      <c r="W523" s="1">
        <v>44160</v>
      </c>
      <c r="AA523" t="s">
        <v>40</v>
      </c>
      <c r="AC523" t="s">
        <v>40</v>
      </c>
      <c r="AE523" t="s">
        <v>40</v>
      </c>
      <c r="AF523" t="s">
        <v>40</v>
      </c>
      <c r="AG523" t="s">
        <v>40</v>
      </c>
      <c r="AK523" t="s">
        <v>40</v>
      </c>
    </row>
    <row r="524" spans="1:37" x14ac:dyDescent="0.3">
      <c r="A524">
        <v>2019</v>
      </c>
      <c r="B524">
        <v>5</v>
      </c>
      <c r="C524" t="str">
        <f t="shared" si="16"/>
        <v>5/01/2019</v>
      </c>
      <c r="D524" s="1" t="str">
        <f t="shared" si="17"/>
        <v>5/01/2019</v>
      </c>
      <c r="E524" t="s">
        <v>37</v>
      </c>
      <c r="F524" t="s">
        <v>53</v>
      </c>
      <c r="G524" t="s">
        <v>42</v>
      </c>
      <c r="H524">
        <v>926</v>
      </c>
      <c r="I524">
        <v>411</v>
      </c>
      <c r="J524">
        <v>13</v>
      </c>
      <c r="K524">
        <v>98</v>
      </c>
      <c r="L524">
        <v>13</v>
      </c>
      <c r="M524">
        <v>0</v>
      </c>
      <c r="N524">
        <v>13</v>
      </c>
      <c r="R524">
        <v>16</v>
      </c>
      <c r="S524">
        <v>51</v>
      </c>
      <c r="U524">
        <v>0</v>
      </c>
      <c r="V524">
        <v>0</v>
      </c>
      <c r="W524" s="1">
        <v>44160</v>
      </c>
      <c r="AF524" t="s">
        <v>40</v>
      </c>
      <c r="AG524" t="s">
        <v>40</v>
      </c>
      <c r="AH524" t="s">
        <v>40</v>
      </c>
      <c r="AK524" t="s">
        <v>40</v>
      </c>
    </row>
    <row r="525" spans="1:37" x14ac:dyDescent="0.3">
      <c r="A525">
        <v>2019</v>
      </c>
      <c r="B525">
        <v>5</v>
      </c>
      <c r="C525" t="str">
        <f t="shared" si="16"/>
        <v>5/01/2019</v>
      </c>
      <c r="D525" s="1" t="str">
        <f t="shared" si="17"/>
        <v>5/01/2019</v>
      </c>
      <c r="E525" t="s">
        <v>37</v>
      </c>
      <c r="F525" t="s">
        <v>53</v>
      </c>
      <c r="G525" t="s">
        <v>43</v>
      </c>
      <c r="H525" s="2">
        <v>1436</v>
      </c>
      <c r="I525">
        <v>895</v>
      </c>
      <c r="J525">
        <v>18</v>
      </c>
      <c r="K525">
        <v>285</v>
      </c>
      <c r="L525">
        <v>31</v>
      </c>
      <c r="M525">
        <v>0</v>
      </c>
      <c r="N525">
        <v>17</v>
      </c>
      <c r="O525">
        <v>15</v>
      </c>
      <c r="Q525">
        <v>11</v>
      </c>
      <c r="R525">
        <v>17</v>
      </c>
      <c r="S525">
        <v>150</v>
      </c>
      <c r="T525">
        <v>34</v>
      </c>
      <c r="U525">
        <v>0</v>
      </c>
      <c r="V525">
        <v>0</v>
      </c>
      <c r="W525" s="1">
        <v>44160</v>
      </c>
      <c r="AG525" t="s">
        <v>40</v>
      </c>
    </row>
    <row r="526" spans="1:37" x14ac:dyDescent="0.3">
      <c r="A526">
        <v>2019</v>
      </c>
      <c r="B526">
        <v>5</v>
      </c>
      <c r="C526" t="str">
        <f t="shared" si="16"/>
        <v>5/01/2019</v>
      </c>
      <c r="D526" s="1" t="str">
        <f t="shared" si="17"/>
        <v>5/01/2019</v>
      </c>
      <c r="E526" t="s">
        <v>37</v>
      </c>
      <c r="F526" t="s">
        <v>53</v>
      </c>
      <c r="G526" t="s">
        <v>44</v>
      </c>
      <c r="H526" s="2">
        <v>3384</v>
      </c>
      <c r="I526" s="2">
        <v>2759</v>
      </c>
      <c r="J526">
        <v>53</v>
      </c>
      <c r="K526" s="2">
        <v>1048</v>
      </c>
      <c r="L526">
        <v>84</v>
      </c>
      <c r="N526">
        <v>33</v>
      </c>
      <c r="O526">
        <v>135</v>
      </c>
      <c r="P526">
        <v>34</v>
      </c>
      <c r="Q526">
        <v>40</v>
      </c>
      <c r="R526">
        <v>44</v>
      </c>
      <c r="S526">
        <v>462</v>
      </c>
      <c r="T526">
        <v>88</v>
      </c>
      <c r="U526">
        <v>0</v>
      </c>
      <c r="V526">
        <v>0</v>
      </c>
      <c r="W526" s="1">
        <v>44160</v>
      </c>
      <c r="AD526" t="s">
        <v>40</v>
      </c>
    </row>
    <row r="527" spans="1:37" x14ac:dyDescent="0.3">
      <c r="A527">
        <v>2019</v>
      </c>
      <c r="B527">
        <v>5</v>
      </c>
      <c r="C527" t="str">
        <f t="shared" si="16"/>
        <v>5/01/2019</v>
      </c>
      <c r="D527" s="1" t="str">
        <f t="shared" si="17"/>
        <v>5/01/2019</v>
      </c>
      <c r="E527" t="s">
        <v>37</v>
      </c>
      <c r="F527" t="s">
        <v>53</v>
      </c>
      <c r="G527" t="s">
        <v>45</v>
      </c>
      <c r="H527">
        <v>89</v>
      </c>
      <c r="I527">
        <v>47</v>
      </c>
      <c r="J527">
        <v>0</v>
      </c>
      <c r="K527">
        <v>15</v>
      </c>
      <c r="L527">
        <v>0</v>
      </c>
      <c r="M527">
        <v>0</v>
      </c>
      <c r="O527">
        <v>0</v>
      </c>
      <c r="Q527">
        <v>0</v>
      </c>
      <c r="R527">
        <v>0</v>
      </c>
      <c r="T527">
        <v>0</v>
      </c>
      <c r="U527">
        <v>0</v>
      </c>
      <c r="V527">
        <v>0</v>
      </c>
      <c r="W527" s="1">
        <v>44160</v>
      </c>
      <c r="AE527" t="s">
        <v>40</v>
      </c>
      <c r="AG527" t="s">
        <v>40</v>
      </c>
      <c r="AJ527" t="s">
        <v>40</v>
      </c>
    </row>
    <row r="528" spans="1:37" x14ac:dyDescent="0.3">
      <c r="A528">
        <v>2019</v>
      </c>
      <c r="B528">
        <v>5</v>
      </c>
      <c r="C528" t="str">
        <f t="shared" si="16"/>
        <v>5/01/2019</v>
      </c>
      <c r="D528" s="1" t="str">
        <f t="shared" si="17"/>
        <v>5/01/2019</v>
      </c>
      <c r="E528" t="s">
        <v>37</v>
      </c>
      <c r="F528" t="s">
        <v>53</v>
      </c>
      <c r="G528" t="s">
        <v>46</v>
      </c>
      <c r="H528" s="2">
        <v>8526</v>
      </c>
      <c r="I528" s="2">
        <v>7865</v>
      </c>
      <c r="J528">
        <v>127</v>
      </c>
      <c r="K528" s="2">
        <v>3117</v>
      </c>
      <c r="L528">
        <v>277</v>
      </c>
      <c r="M528">
        <v>42</v>
      </c>
      <c r="N528">
        <v>93</v>
      </c>
      <c r="O528">
        <v>668</v>
      </c>
      <c r="P528">
        <v>117</v>
      </c>
      <c r="Q528">
        <v>107</v>
      </c>
      <c r="R528">
        <v>67</v>
      </c>
      <c r="S528" s="2">
        <v>1322</v>
      </c>
      <c r="T528">
        <v>278</v>
      </c>
      <c r="U528">
        <v>0</v>
      </c>
      <c r="V528">
        <v>0</v>
      </c>
      <c r="W528" s="1">
        <v>44160</v>
      </c>
    </row>
    <row r="529" spans="1:37" x14ac:dyDescent="0.3">
      <c r="A529">
        <v>2019</v>
      </c>
      <c r="B529">
        <v>5</v>
      </c>
      <c r="C529" t="str">
        <f t="shared" si="16"/>
        <v>5/01/2019</v>
      </c>
      <c r="D529" s="1" t="str">
        <f t="shared" si="17"/>
        <v>5/01/2019</v>
      </c>
      <c r="E529" t="s">
        <v>37</v>
      </c>
      <c r="F529" t="s">
        <v>53</v>
      </c>
      <c r="G529" t="s">
        <v>47</v>
      </c>
      <c r="H529" s="2">
        <v>14931</v>
      </c>
      <c r="I529" s="2">
        <v>14433</v>
      </c>
      <c r="J529">
        <v>259</v>
      </c>
      <c r="K529" s="2">
        <v>4965</v>
      </c>
      <c r="L529">
        <v>500</v>
      </c>
      <c r="M529">
        <v>266</v>
      </c>
      <c r="N529">
        <v>240</v>
      </c>
      <c r="O529" s="2">
        <v>1451</v>
      </c>
      <c r="P529">
        <v>290</v>
      </c>
      <c r="Q529">
        <v>264</v>
      </c>
      <c r="R529">
        <v>116</v>
      </c>
      <c r="S529" s="2">
        <v>2592</v>
      </c>
      <c r="T529">
        <v>675</v>
      </c>
      <c r="U529">
        <v>0</v>
      </c>
      <c r="V529">
        <v>0</v>
      </c>
      <c r="W529" s="1">
        <v>44160</v>
      </c>
    </row>
    <row r="530" spans="1:37" x14ac:dyDescent="0.3">
      <c r="A530">
        <v>2019</v>
      </c>
      <c r="B530">
        <v>5</v>
      </c>
      <c r="C530" t="str">
        <f t="shared" si="16"/>
        <v>5/01/2019</v>
      </c>
      <c r="D530" s="1" t="str">
        <f t="shared" si="17"/>
        <v>5/01/2019</v>
      </c>
      <c r="E530" t="s">
        <v>37</v>
      </c>
      <c r="F530" t="s">
        <v>53</v>
      </c>
      <c r="G530" t="s">
        <v>48</v>
      </c>
      <c r="H530" s="2">
        <v>21876</v>
      </c>
      <c r="I530" s="2">
        <v>21215</v>
      </c>
      <c r="J530">
        <v>321</v>
      </c>
      <c r="K530" s="2">
        <v>4990</v>
      </c>
      <c r="L530">
        <v>499</v>
      </c>
      <c r="M530" s="2">
        <v>1418</v>
      </c>
      <c r="N530">
        <v>348</v>
      </c>
      <c r="O530" s="2">
        <v>2088</v>
      </c>
      <c r="P530">
        <v>451</v>
      </c>
      <c r="Q530">
        <v>397</v>
      </c>
      <c r="R530">
        <v>200</v>
      </c>
      <c r="S530" s="2">
        <v>4616</v>
      </c>
      <c r="T530" s="2">
        <v>1315</v>
      </c>
      <c r="U530">
        <v>0</v>
      </c>
      <c r="V530">
        <v>0</v>
      </c>
      <c r="W530" s="1">
        <v>44160</v>
      </c>
    </row>
    <row r="531" spans="1:37" x14ac:dyDescent="0.3">
      <c r="A531">
        <v>2019</v>
      </c>
      <c r="B531">
        <v>5</v>
      </c>
      <c r="C531" t="str">
        <f t="shared" si="16"/>
        <v>5/01/2019</v>
      </c>
      <c r="D531" s="1" t="str">
        <f t="shared" si="17"/>
        <v>5/01/2019</v>
      </c>
      <c r="E531" t="s">
        <v>37</v>
      </c>
      <c r="F531" t="s">
        <v>53</v>
      </c>
      <c r="G531" t="s">
        <v>49</v>
      </c>
      <c r="H531" s="2">
        <v>36570</v>
      </c>
      <c r="I531" s="2">
        <v>35481</v>
      </c>
      <c r="J531">
        <v>370</v>
      </c>
      <c r="K531" s="2">
        <v>3621</v>
      </c>
      <c r="L531">
        <v>532</v>
      </c>
      <c r="M531" s="2">
        <v>3749</v>
      </c>
      <c r="N531">
        <v>733</v>
      </c>
      <c r="O531" s="2">
        <v>1878</v>
      </c>
      <c r="P531">
        <v>526</v>
      </c>
      <c r="Q531">
        <v>584</v>
      </c>
      <c r="R531">
        <v>550</v>
      </c>
      <c r="S531" s="2">
        <v>10388</v>
      </c>
      <c r="T531" s="2">
        <v>2836</v>
      </c>
      <c r="U531">
        <v>0</v>
      </c>
      <c r="V531">
        <v>0</v>
      </c>
      <c r="W531" s="1">
        <v>44160</v>
      </c>
    </row>
    <row r="532" spans="1:37" x14ac:dyDescent="0.3">
      <c r="A532">
        <v>2019</v>
      </c>
      <c r="B532">
        <v>5</v>
      </c>
      <c r="C532" t="str">
        <f t="shared" si="16"/>
        <v>5/01/2019</v>
      </c>
      <c r="D532" s="1" t="str">
        <f t="shared" si="17"/>
        <v>5/01/2019</v>
      </c>
      <c r="E532" t="s">
        <v>37</v>
      </c>
      <c r="F532" t="s">
        <v>54</v>
      </c>
      <c r="G532" t="s">
        <v>39</v>
      </c>
      <c r="H532">
        <v>59</v>
      </c>
      <c r="I532">
        <v>51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S532">
        <v>0</v>
      </c>
      <c r="U532">
        <v>0</v>
      </c>
      <c r="V532">
        <v>0</v>
      </c>
      <c r="W532" s="1">
        <v>44160</v>
      </c>
      <c r="AI532" t="s">
        <v>40</v>
      </c>
      <c r="AK532" t="s">
        <v>40</v>
      </c>
    </row>
    <row r="533" spans="1:37" x14ac:dyDescent="0.3">
      <c r="A533">
        <v>2019</v>
      </c>
      <c r="B533">
        <v>5</v>
      </c>
      <c r="C533" t="str">
        <f t="shared" si="16"/>
        <v>5/01/2019</v>
      </c>
      <c r="D533" s="1" t="str">
        <f t="shared" si="17"/>
        <v>5/01/2019</v>
      </c>
      <c r="E533" t="s">
        <v>37</v>
      </c>
      <c r="F533" t="s">
        <v>54</v>
      </c>
      <c r="G533" t="s">
        <v>41</v>
      </c>
      <c r="H533">
        <v>23</v>
      </c>
      <c r="J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T533">
        <v>0</v>
      </c>
      <c r="U533">
        <v>0</v>
      </c>
      <c r="V533">
        <v>0</v>
      </c>
      <c r="W533" s="1">
        <v>44160</v>
      </c>
      <c r="Z533" t="s">
        <v>40</v>
      </c>
      <c r="AB533" t="s">
        <v>40</v>
      </c>
      <c r="AI533" t="s">
        <v>40</v>
      </c>
      <c r="AJ533" t="s">
        <v>40</v>
      </c>
    </row>
    <row r="534" spans="1:37" x14ac:dyDescent="0.3">
      <c r="A534">
        <v>2019</v>
      </c>
      <c r="B534">
        <v>5</v>
      </c>
      <c r="C534" t="str">
        <f t="shared" si="16"/>
        <v>5/01/2019</v>
      </c>
      <c r="D534" s="1" t="str">
        <f t="shared" si="17"/>
        <v>5/01/2019</v>
      </c>
      <c r="E534" t="s">
        <v>37</v>
      </c>
      <c r="F534" t="s">
        <v>54</v>
      </c>
      <c r="G534" t="s">
        <v>42</v>
      </c>
      <c r="H534">
        <v>21</v>
      </c>
      <c r="I534">
        <v>11</v>
      </c>
      <c r="J534">
        <v>0</v>
      </c>
      <c r="L534">
        <v>0</v>
      </c>
      <c r="M534">
        <v>0</v>
      </c>
      <c r="N534">
        <v>0</v>
      </c>
      <c r="P534">
        <v>0</v>
      </c>
      <c r="Q534">
        <v>0</v>
      </c>
      <c r="R534">
        <v>0</v>
      </c>
      <c r="T534">
        <v>0</v>
      </c>
      <c r="U534">
        <v>0</v>
      </c>
      <c r="V534">
        <v>0</v>
      </c>
      <c r="W534" s="1">
        <v>44160</v>
      </c>
      <c r="AB534" t="s">
        <v>40</v>
      </c>
      <c r="AF534" t="s">
        <v>40</v>
      </c>
      <c r="AJ534" t="s">
        <v>40</v>
      </c>
    </row>
    <row r="535" spans="1:37" x14ac:dyDescent="0.3">
      <c r="A535">
        <v>2019</v>
      </c>
      <c r="B535">
        <v>5</v>
      </c>
      <c r="C535" t="str">
        <f t="shared" si="16"/>
        <v>5/01/2019</v>
      </c>
      <c r="D535" s="1" t="str">
        <f t="shared" si="17"/>
        <v>5/01/2019</v>
      </c>
      <c r="E535" t="s">
        <v>37</v>
      </c>
      <c r="F535" t="s">
        <v>54</v>
      </c>
      <c r="G535" t="s">
        <v>43</v>
      </c>
      <c r="H535">
        <v>53</v>
      </c>
      <c r="I535">
        <v>42</v>
      </c>
      <c r="J535">
        <v>0</v>
      </c>
      <c r="K535">
        <v>15</v>
      </c>
      <c r="M535">
        <v>0</v>
      </c>
      <c r="O535">
        <v>0</v>
      </c>
      <c r="P535">
        <v>0</v>
      </c>
      <c r="R535">
        <v>0</v>
      </c>
      <c r="U535">
        <v>0</v>
      </c>
      <c r="V535">
        <v>0</v>
      </c>
      <c r="W535" s="1">
        <v>44160</v>
      </c>
      <c r="AC535" t="s">
        <v>40</v>
      </c>
      <c r="AE535" t="s">
        <v>40</v>
      </c>
      <c r="AH535" t="s">
        <v>40</v>
      </c>
      <c r="AJ535" t="s">
        <v>40</v>
      </c>
      <c r="AK535" t="s">
        <v>40</v>
      </c>
    </row>
    <row r="536" spans="1:37" x14ac:dyDescent="0.3">
      <c r="A536">
        <v>2019</v>
      </c>
      <c r="B536">
        <v>5</v>
      </c>
      <c r="C536" t="str">
        <f t="shared" si="16"/>
        <v>5/01/2019</v>
      </c>
      <c r="D536" s="1" t="str">
        <f t="shared" si="17"/>
        <v>5/01/2019</v>
      </c>
      <c r="E536" t="s">
        <v>37</v>
      </c>
      <c r="F536" t="s">
        <v>54</v>
      </c>
      <c r="G536" t="s">
        <v>44</v>
      </c>
      <c r="H536">
        <v>56</v>
      </c>
      <c r="I536">
        <v>45</v>
      </c>
      <c r="K536">
        <v>12</v>
      </c>
      <c r="L536">
        <v>0</v>
      </c>
      <c r="M536">
        <v>0</v>
      </c>
      <c r="U536">
        <v>0</v>
      </c>
      <c r="V536">
        <v>0</v>
      </c>
      <c r="W536" s="1">
        <v>44160</v>
      </c>
      <c r="AA536" t="s">
        <v>40</v>
      </c>
      <c r="AE536" t="s">
        <v>40</v>
      </c>
      <c r="AF536" t="s">
        <v>40</v>
      </c>
      <c r="AG536" t="s">
        <v>40</v>
      </c>
      <c r="AH536" t="s">
        <v>40</v>
      </c>
      <c r="AI536" t="s">
        <v>40</v>
      </c>
      <c r="AJ536" t="s">
        <v>40</v>
      </c>
      <c r="AK536" t="s">
        <v>40</v>
      </c>
    </row>
    <row r="537" spans="1:37" x14ac:dyDescent="0.3">
      <c r="A537">
        <v>2019</v>
      </c>
      <c r="B537">
        <v>5</v>
      </c>
      <c r="C537" t="str">
        <f t="shared" si="16"/>
        <v>5/01/2019</v>
      </c>
      <c r="D537" s="1" t="str">
        <f t="shared" si="17"/>
        <v>5/01/2019</v>
      </c>
      <c r="E537" t="s">
        <v>37</v>
      </c>
      <c r="F537" t="s">
        <v>54</v>
      </c>
      <c r="G537" t="s">
        <v>45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T537">
        <v>0</v>
      </c>
      <c r="U537">
        <v>0</v>
      </c>
      <c r="V537">
        <v>0</v>
      </c>
      <c r="W537" s="1">
        <v>44160</v>
      </c>
      <c r="Y537" t="s">
        <v>40</v>
      </c>
      <c r="Z537" t="s">
        <v>40</v>
      </c>
      <c r="AJ537" t="s">
        <v>40</v>
      </c>
    </row>
    <row r="538" spans="1:37" x14ac:dyDescent="0.3">
      <c r="A538">
        <v>2019</v>
      </c>
      <c r="B538">
        <v>5</v>
      </c>
      <c r="C538" t="str">
        <f t="shared" si="16"/>
        <v>5/01/2019</v>
      </c>
      <c r="D538" s="1" t="str">
        <f t="shared" si="17"/>
        <v>5/01/2019</v>
      </c>
      <c r="E538" t="s">
        <v>37</v>
      </c>
      <c r="F538" t="s">
        <v>54</v>
      </c>
      <c r="G538" t="s">
        <v>46</v>
      </c>
      <c r="H538">
        <v>127</v>
      </c>
      <c r="I538">
        <v>119</v>
      </c>
      <c r="J538">
        <v>0</v>
      </c>
      <c r="K538">
        <v>40</v>
      </c>
      <c r="L538">
        <v>10</v>
      </c>
      <c r="M538">
        <v>0</v>
      </c>
      <c r="R538">
        <v>0</v>
      </c>
      <c r="S538">
        <v>23</v>
      </c>
      <c r="U538">
        <v>0</v>
      </c>
      <c r="V538">
        <v>0</v>
      </c>
      <c r="W538" s="1">
        <v>44160</v>
      </c>
      <c r="AE538" t="s">
        <v>40</v>
      </c>
      <c r="AF538" t="s">
        <v>40</v>
      </c>
      <c r="AG538" t="s">
        <v>40</v>
      </c>
      <c r="AH538" t="s">
        <v>40</v>
      </c>
      <c r="AK538" t="s">
        <v>40</v>
      </c>
    </row>
    <row r="539" spans="1:37" x14ac:dyDescent="0.3">
      <c r="A539">
        <v>2019</v>
      </c>
      <c r="B539">
        <v>5</v>
      </c>
      <c r="C539" t="str">
        <f t="shared" si="16"/>
        <v>5/01/2019</v>
      </c>
      <c r="D539" s="1" t="str">
        <f t="shared" si="17"/>
        <v>5/01/2019</v>
      </c>
      <c r="E539" t="s">
        <v>37</v>
      </c>
      <c r="F539" t="s">
        <v>54</v>
      </c>
      <c r="G539" t="s">
        <v>47</v>
      </c>
      <c r="H539">
        <v>151</v>
      </c>
      <c r="I539">
        <v>146</v>
      </c>
      <c r="K539">
        <v>42</v>
      </c>
      <c r="N539">
        <v>0</v>
      </c>
      <c r="O539">
        <v>10</v>
      </c>
      <c r="S539">
        <v>35</v>
      </c>
      <c r="U539">
        <v>0</v>
      </c>
      <c r="V539">
        <v>0</v>
      </c>
      <c r="W539" s="1">
        <v>44160</v>
      </c>
      <c r="AA539" t="s">
        <v>40</v>
      </c>
      <c r="AC539" t="s">
        <v>40</v>
      </c>
      <c r="AD539" t="s">
        <v>40</v>
      </c>
      <c r="AG539" t="s">
        <v>40</v>
      </c>
      <c r="AH539" t="s">
        <v>40</v>
      </c>
      <c r="AI539" t="s">
        <v>40</v>
      </c>
      <c r="AK539" t="s">
        <v>40</v>
      </c>
    </row>
    <row r="540" spans="1:37" x14ac:dyDescent="0.3">
      <c r="A540">
        <v>2019</v>
      </c>
      <c r="B540">
        <v>5</v>
      </c>
      <c r="C540" t="str">
        <f t="shared" si="16"/>
        <v>5/01/2019</v>
      </c>
      <c r="D540" s="1" t="str">
        <f t="shared" si="17"/>
        <v>5/01/2019</v>
      </c>
      <c r="E540" t="s">
        <v>37</v>
      </c>
      <c r="F540" t="s">
        <v>54</v>
      </c>
      <c r="G540" t="s">
        <v>48</v>
      </c>
      <c r="H540">
        <v>148</v>
      </c>
      <c r="I540">
        <v>147</v>
      </c>
      <c r="K540">
        <v>32</v>
      </c>
      <c r="L540">
        <v>10</v>
      </c>
      <c r="O540">
        <v>11</v>
      </c>
      <c r="S540">
        <v>36</v>
      </c>
      <c r="T540">
        <v>13</v>
      </c>
      <c r="U540">
        <v>0</v>
      </c>
      <c r="V540">
        <v>0</v>
      </c>
      <c r="W540" s="1">
        <v>44160</v>
      </c>
      <c r="AA540" t="s">
        <v>40</v>
      </c>
      <c r="AD540" t="s">
        <v>40</v>
      </c>
      <c r="AE540" t="s">
        <v>40</v>
      </c>
      <c r="AG540" t="s">
        <v>40</v>
      </c>
      <c r="AH540" t="s">
        <v>40</v>
      </c>
      <c r="AI540" t="s">
        <v>40</v>
      </c>
    </row>
    <row r="541" spans="1:37" x14ac:dyDescent="0.3">
      <c r="A541">
        <v>2019</v>
      </c>
      <c r="B541">
        <v>5</v>
      </c>
      <c r="C541" t="str">
        <f t="shared" si="16"/>
        <v>5/01/2019</v>
      </c>
      <c r="D541" s="1" t="str">
        <f t="shared" si="17"/>
        <v>5/01/2019</v>
      </c>
      <c r="E541" t="s">
        <v>37</v>
      </c>
      <c r="F541" t="s">
        <v>54</v>
      </c>
      <c r="G541" t="s">
        <v>49</v>
      </c>
      <c r="H541">
        <v>146</v>
      </c>
      <c r="I541">
        <v>143</v>
      </c>
      <c r="K541">
        <v>14</v>
      </c>
      <c r="M541">
        <v>13</v>
      </c>
      <c r="S541">
        <v>41</v>
      </c>
      <c r="U541">
        <v>0</v>
      </c>
      <c r="V541">
        <v>0</v>
      </c>
      <c r="W541" s="1">
        <v>44160</v>
      </c>
      <c r="AA541" t="s">
        <v>40</v>
      </c>
      <c r="AC541" t="s">
        <v>40</v>
      </c>
      <c r="AE541" t="s">
        <v>40</v>
      </c>
      <c r="AF541" t="s">
        <v>40</v>
      </c>
      <c r="AG541" t="s">
        <v>40</v>
      </c>
      <c r="AH541" t="s">
        <v>40</v>
      </c>
      <c r="AI541" t="s">
        <v>40</v>
      </c>
      <c r="AK541" t="s">
        <v>40</v>
      </c>
    </row>
    <row r="542" spans="1:37" x14ac:dyDescent="0.3">
      <c r="A542">
        <v>2019</v>
      </c>
      <c r="B542">
        <v>5</v>
      </c>
      <c r="C542" t="str">
        <f t="shared" si="16"/>
        <v>5/01/2019</v>
      </c>
      <c r="D542" s="1" t="str">
        <f t="shared" si="17"/>
        <v>5/01/2019</v>
      </c>
      <c r="E542" t="s">
        <v>55</v>
      </c>
      <c r="F542" t="s">
        <v>38</v>
      </c>
      <c r="G542" t="s">
        <v>39</v>
      </c>
      <c r="H542">
        <v>244</v>
      </c>
      <c r="I542">
        <v>230</v>
      </c>
      <c r="J542">
        <v>0</v>
      </c>
      <c r="L542">
        <v>0</v>
      </c>
      <c r="M542">
        <v>0</v>
      </c>
      <c r="N542">
        <v>0</v>
      </c>
      <c r="R542">
        <v>26</v>
      </c>
      <c r="T542">
        <v>0</v>
      </c>
      <c r="U542">
        <v>0</v>
      </c>
      <c r="V542">
        <v>0</v>
      </c>
      <c r="W542" s="1">
        <v>44160</v>
      </c>
      <c r="AB542" t="s">
        <v>40</v>
      </c>
      <c r="AF542" t="s">
        <v>40</v>
      </c>
      <c r="AG542" t="s">
        <v>40</v>
      </c>
      <c r="AH542" t="s">
        <v>40</v>
      </c>
      <c r="AJ542" t="s">
        <v>40</v>
      </c>
    </row>
    <row r="543" spans="1:37" x14ac:dyDescent="0.3">
      <c r="A543">
        <v>2019</v>
      </c>
      <c r="B543">
        <v>5</v>
      </c>
      <c r="C543" t="str">
        <f t="shared" si="16"/>
        <v>5/01/2019</v>
      </c>
      <c r="D543" s="1" t="str">
        <f t="shared" si="17"/>
        <v>5/01/2019</v>
      </c>
      <c r="E543" t="s">
        <v>55</v>
      </c>
      <c r="F543" t="s">
        <v>38</v>
      </c>
      <c r="G543" t="s">
        <v>41</v>
      </c>
      <c r="H543">
        <v>375</v>
      </c>
      <c r="I543">
        <v>75</v>
      </c>
      <c r="K543">
        <v>21</v>
      </c>
      <c r="L543">
        <v>0</v>
      </c>
      <c r="M543">
        <v>0</v>
      </c>
      <c r="S543">
        <v>10</v>
      </c>
      <c r="U543">
        <v>0</v>
      </c>
      <c r="V543">
        <v>0</v>
      </c>
      <c r="W543" s="1">
        <v>44160</v>
      </c>
      <c r="AA543" t="s">
        <v>40</v>
      </c>
      <c r="AE543" t="s">
        <v>40</v>
      </c>
      <c r="AF543" t="s">
        <v>40</v>
      </c>
      <c r="AG543" t="s">
        <v>40</v>
      </c>
      <c r="AH543" t="s">
        <v>40</v>
      </c>
      <c r="AI543" t="s">
        <v>40</v>
      </c>
      <c r="AK543" t="s">
        <v>40</v>
      </c>
    </row>
    <row r="544" spans="1:37" x14ac:dyDescent="0.3">
      <c r="A544">
        <v>2019</v>
      </c>
      <c r="B544">
        <v>5</v>
      </c>
      <c r="C544" t="str">
        <f t="shared" si="16"/>
        <v>5/01/2019</v>
      </c>
      <c r="D544" s="1" t="str">
        <f t="shared" si="17"/>
        <v>5/01/2019</v>
      </c>
      <c r="E544" t="s">
        <v>55</v>
      </c>
      <c r="F544" t="s">
        <v>38</v>
      </c>
      <c r="G544" t="s">
        <v>42</v>
      </c>
      <c r="H544">
        <v>585</v>
      </c>
      <c r="I544">
        <v>179</v>
      </c>
      <c r="K544">
        <v>30</v>
      </c>
      <c r="M544">
        <v>0</v>
      </c>
      <c r="R544">
        <v>15</v>
      </c>
      <c r="S544">
        <v>29</v>
      </c>
      <c r="U544">
        <v>0</v>
      </c>
      <c r="V544">
        <v>0</v>
      </c>
      <c r="W544" s="1">
        <v>44160</v>
      </c>
      <c r="AA544" t="s">
        <v>40</v>
      </c>
      <c r="AC544" t="s">
        <v>40</v>
      </c>
      <c r="AE544" t="s">
        <v>40</v>
      </c>
      <c r="AF544" t="s">
        <v>40</v>
      </c>
      <c r="AG544" t="s">
        <v>40</v>
      </c>
      <c r="AH544" t="s">
        <v>40</v>
      </c>
      <c r="AK544" t="s">
        <v>40</v>
      </c>
    </row>
    <row r="545" spans="1:37" x14ac:dyDescent="0.3">
      <c r="A545">
        <v>2019</v>
      </c>
      <c r="B545">
        <v>5</v>
      </c>
      <c r="C545" t="str">
        <f t="shared" si="16"/>
        <v>5/01/2019</v>
      </c>
      <c r="D545" s="1" t="str">
        <f t="shared" si="17"/>
        <v>5/01/2019</v>
      </c>
      <c r="E545" t="s">
        <v>55</v>
      </c>
      <c r="F545" t="s">
        <v>38</v>
      </c>
      <c r="G545" t="s">
        <v>43</v>
      </c>
      <c r="H545">
        <v>667</v>
      </c>
      <c r="I545">
        <v>325</v>
      </c>
      <c r="K545">
        <v>74</v>
      </c>
      <c r="M545">
        <v>0</v>
      </c>
      <c r="R545">
        <v>12</v>
      </c>
      <c r="S545">
        <v>74</v>
      </c>
      <c r="T545">
        <v>12</v>
      </c>
      <c r="U545">
        <v>0</v>
      </c>
      <c r="V545">
        <v>0</v>
      </c>
      <c r="W545" s="1">
        <v>44160</v>
      </c>
      <c r="AA545" t="s">
        <v>40</v>
      </c>
      <c r="AC545" t="s">
        <v>40</v>
      </c>
      <c r="AE545" t="s">
        <v>40</v>
      </c>
      <c r="AF545" t="s">
        <v>40</v>
      </c>
      <c r="AG545" t="s">
        <v>40</v>
      </c>
      <c r="AH545" t="s">
        <v>40</v>
      </c>
    </row>
    <row r="546" spans="1:37" x14ac:dyDescent="0.3">
      <c r="A546">
        <v>2019</v>
      </c>
      <c r="B546">
        <v>5</v>
      </c>
      <c r="C546" t="str">
        <f t="shared" si="16"/>
        <v>5/01/2019</v>
      </c>
      <c r="D546" s="1" t="str">
        <f t="shared" si="17"/>
        <v>5/01/2019</v>
      </c>
      <c r="E546" t="s">
        <v>55</v>
      </c>
      <c r="F546" t="s">
        <v>38</v>
      </c>
      <c r="G546" t="s">
        <v>44</v>
      </c>
      <c r="H546">
        <v>999</v>
      </c>
      <c r="I546">
        <v>744</v>
      </c>
      <c r="J546">
        <v>11</v>
      </c>
      <c r="K546">
        <v>159</v>
      </c>
      <c r="L546">
        <v>49</v>
      </c>
      <c r="M546">
        <v>0</v>
      </c>
      <c r="N546">
        <v>13</v>
      </c>
      <c r="Q546">
        <v>19</v>
      </c>
      <c r="S546">
        <v>192</v>
      </c>
      <c r="T546">
        <v>43</v>
      </c>
      <c r="U546">
        <v>0</v>
      </c>
      <c r="V546">
        <v>0</v>
      </c>
      <c r="W546" s="1">
        <v>44160</v>
      </c>
      <c r="AF546" t="s">
        <v>40</v>
      </c>
      <c r="AG546" t="s">
        <v>40</v>
      </c>
      <c r="AI546" t="s">
        <v>40</v>
      </c>
    </row>
    <row r="547" spans="1:37" x14ac:dyDescent="0.3">
      <c r="A547">
        <v>2019</v>
      </c>
      <c r="B547">
        <v>5</v>
      </c>
      <c r="C547" t="str">
        <f t="shared" si="16"/>
        <v>5/01/2019</v>
      </c>
      <c r="D547" s="1" t="str">
        <f t="shared" si="17"/>
        <v>5/01/2019</v>
      </c>
      <c r="E547" t="s">
        <v>55</v>
      </c>
      <c r="F547" t="s">
        <v>38</v>
      </c>
      <c r="G547" t="s">
        <v>45</v>
      </c>
      <c r="H547">
        <v>62</v>
      </c>
      <c r="I547">
        <v>34</v>
      </c>
      <c r="K547">
        <v>14</v>
      </c>
      <c r="L547">
        <v>0</v>
      </c>
      <c r="M547">
        <v>0</v>
      </c>
      <c r="O547">
        <v>0</v>
      </c>
      <c r="Q547">
        <v>0</v>
      </c>
      <c r="R547">
        <v>0</v>
      </c>
      <c r="S547">
        <v>0</v>
      </c>
      <c r="U547">
        <v>0</v>
      </c>
      <c r="V547">
        <v>0</v>
      </c>
      <c r="W547" s="1">
        <v>44160</v>
      </c>
      <c r="AA547" t="s">
        <v>40</v>
      </c>
      <c r="AE547" t="s">
        <v>40</v>
      </c>
      <c r="AG547" t="s">
        <v>40</v>
      </c>
      <c r="AK547" t="s">
        <v>40</v>
      </c>
    </row>
    <row r="548" spans="1:37" x14ac:dyDescent="0.3">
      <c r="A548">
        <v>2019</v>
      </c>
      <c r="B548">
        <v>5</v>
      </c>
      <c r="C548" t="str">
        <f t="shared" si="16"/>
        <v>5/01/2019</v>
      </c>
      <c r="D548" s="1" t="str">
        <f t="shared" si="17"/>
        <v>5/01/2019</v>
      </c>
      <c r="E548" t="s">
        <v>55</v>
      </c>
      <c r="F548" t="s">
        <v>38</v>
      </c>
      <c r="G548" t="s">
        <v>46</v>
      </c>
      <c r="H548" s="2">
        <v>1609</v>
      </c>
      <c r="I548" s="2">
        <v>1414</v>
      </c>
      <c r="J548">
        <v>14</v>
      </c>
      <c r="K548">
        <v>393</v>
      </c>
      <c r="L548">
        <v>94</v>
      </c>
      <c r="N548">
        <v>19</v>
      </c>
      <c r="O548">
        <v>29</v>
      </c>
      <c r="P548">
        <v>17</v>
      </c>
      <c r="Q548">
        <v>25</v>
      </c>
      <c r="R548">
        <v>14</v>
      </c>
      <c r="S548">
        <v>354</v>
      </c>
      <c r="T548">
        <v>78</v>
      </c>
      <c r="U548">
        <v>0</v>
      </c>
      <c r="V548">
        <v>0</v>
      </c>
      <c r="W548" s="1">
        <v>44160</v>
      </c>
      <c r="AD548" t="s">
        <v>40</v>
      </c>
    </row>
    <row r="549" spans="1:37" x14ac:dyDescent="0.3">
      <c r="A549">
        <v>2019</v>
      </c>
      <c r="B549">
        <v>5</v>
      </c>
      <c r="C549" t="str">
        <f t="shared" si="16"/>
        <v>5/01/2019</v>
      </c>
      <c r="D549" s="1" t="str">
        <f t="shared" si="17"/>
        <v>5/01/2019</v>
      </c>
      <c r="E549" t="s">
        <v>55</v>
      </c>
      <c r="F549" t="s">
        <v>38</v>
      </c>
      <c r="G549" t="s">
        <v>47</v>
      </c>
      <c r="H549" s="2">
        <v>1771</v>
      </c>
      <c r="I549" s="2">
        <v>1690</v>
      </c>
      <c r="J549">
        <v>15</v>
      </c>
      <c r="K549">
        <v>522</v>
      </c>
      <c r="L549">
        <v>123</v>
      </c>
      <c r="M549">
        <v>18</v>
      </c>
      <c r="N549">
        <v>25</v>
      </c>
      <c r="O549">
        <v>57</v>
      </c>
      <c r="P549">
        <v>37</v>
      </c>
      <c r="Q549">
        <v>56</v>
      </c>
      <c r="R549">
        <v>13</v>
      </c>
      <c r="S549">
        <v>394</v>
      </c>
      <c r="T549">
        <v>83</v>
      </c>
      <c r="U549">
        <v>0</v>
      </c>
      <c r="V549">
        <v>0</v>
      </c>
      <c r="W549" s="1">
        <v>44160</v>
      </c>
    </row>
    <row r="550" spans="1:37" x14ac:dyDescent="0.3">
      <c r="A550">
        <v>2019</v>
      </c>
      <c r="B550">
        <v>5</v>
      </c>
      <c r="C550" t="str">
        <f t="shared" si="16"/>
        <v>5/01/2019</v>
      </c>
      <c r="D550" s="1" t="str">
        <f t="shared" si="17"/>
        <v>5/01/2019</v>
      </c>
      <c r="E550" t="s">
        <v>55</v>
      </c>
      <c r="F550" t="s">
        <v>38</v>
      </c>
      <c r="G550" t="s">
        <v>48</v>
      </c>
      <c r="H550" s="2">
        <v>1824</v>
      </c>
      <c r="I550" s="2">
        <v>1771</v>
      </c>
      <c r="J550">
        <v>17</v>
      </c>
      <c r="K550">
        <v>456</v>
      </c>
      <c r="L550">
        <v>102</v>
      </c>
      <c r="M550">
        <v>59</v>
      </c>
      <c r="N550">
        <v>36</v>
      </c>
      <c r="O550">
        <v>89</v>
      </c>
      <c r="P550">
        <v>36</v>
      </c>
      <c r="Q550">
        <v>52</v>
      </c>
      <c r="R550">
        <v>10</v>
      </c>
      <c r="S550">
        <v>427</v>
      </c>
      <c r="T550">
        <v>108</v>
      </c>
      <c r="U550">
        <v>0</v>
      </c>
      <c r="V550">
        <v>0</v>
      </c>
      <c r="W550" s="1">
        <v>44160</v>
      </c>
    </row>
    <row r="551" spans="1:37" x14ac:dyDescent="0.3">
      <c r="A551">
        <v>2019</v>
      </c>
      <c r="B551">
        <v>5</v>
      </c>
      <c r="C551" t="str">
        <f t="shared" si="16"/>
        <v>5/01/2019</v>
      </c>
      <c r="D551" s="1" t="str">
        <f t="shared" si="17"/>
        <v>5/01/2019</v>
      </c>
      <c r="E551" t="s">
        <v>55</v>
      </c>
      <c r="F551" t="s">
        <v>38</v>
      </c>
      <c r="G551" t="s">
        <v>49</v>
      </c>
      <c r="H551" s="2">
        <v>1666</v>
      </c>
      <c r="I551" s="2">
        <v>1630</v>
      </c>
      <c r="J551">
        <v>31</v>
      </c>
      <c r="K551">
        <v>256</v>
      </c>
      <c r="L551">
        <v>48</v>
      </c>
      <c r="M551">
        <v>139</v>
      </c>
      <c r="N551">
        <v>33</v>
      </c>
      <c r="O551">
        <v>93</v>
      </c>
      <c r="P551">
        <v>31</v>
      </c>
      <c r="Q551">
        <v>31</v>
      </c>
      <c r="R551">
        <v>17</v>
      </c>
      <c r="S551">
        <v>467</v>
      </c>
      <c r="T551">
        <v>132</v>
      </c>
      <c r="U551">
        <v>0</v>
      </c>
      <c r="V551">
        <v>0</v>
      </c>
      <c r="W551" s="1">
        <v>44160</v>
      </c>
    </row>
    <row r="552" spans="1:37" x14ac:dyDescent="0.3">
      <c r="A552">
        <v>2019</v>
      </c>
      <c r="B552">
        <v>5</v>
      </c>
      <c r="C552" t="str">
        <f t="shared" si="16"/>
        <v>5/01/2019</v>
      </c>
      <c r="D552" s="1" t="str">
        <f t="shared" si="17"/>
        <v>5/01/2019</v>
      </c>
      <c r="E552" t="s">
        <v>55</v>
      </c>
      <c r="F552" t="s">
        <v>50</v>
      </c>
      <c r="G552" t="s">
        <v>39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S552">
        <v>0</v>
      </c>
      <c r="T552">
        <v>0</v>
      </c>
      <c r="U552">
        <v>0</v>
      </c>
      <c r="V552">
        <v>0</v>
      </c>
      <c r="W552" s="1">
        <v>44160</v>
      </c>
      <c r="Y552" t="s">
        <v>40</v>
      </c>
      <c r="Z552" t="s">
        <v>40</v>
      </c>
      <c r="AI552" t="s">
        <v>40</v>
      </c>
    </row>
    <row r="553" spans="1:37" x14ac:dyDescent="0.3">
      <c r="A553">
        <v>2019</v>
      </c>
      <c r="B553">
        <v>5</v>
      </c>
      <c r="C553" t="str">
        <f t="shared" si="16"/>
        <v>5/01/2019</v>
      </c>
      <c r="D553" s="1" t="str">
        <f t="shared" si="17"/>
        <v>5/01/2019</v>
      </c>
      <c r="E553" t="s">
        <v>55</v>
      </c>
      <c r="F553" t="s">
        <v>50</v>
      </c>
      <c r="G553" t="s">
        <v>41</v>
      </c>
      <c r="H553">
        <v>31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 s="1">
        <v>44160</v>
      </c>
      <c r="Z553" t="s">
        <v>40</v>
      </c>
    </row>
    <row r="554" spans="1:37" x14ac:dyDescent="0.3">
      <c r="A554">
        <v>2019</v>
      </c>
      <c r="B554">
        <v>5</v>
      </c>
      <c r="C554" t="str">
        <f t="shared" si="16"/>
        <v>5/01/2019</v>
      </c>
      <c r="D554" s="1" t="str">
        <f t="shared" si="17"/>
        <v>5/01/2019</v>
      </c>
      <c r="E554" t="s">
        <v>55</v>
      </c>
      <c r="F554" t="s">
        <v>50</v>
      </c>
      <c r="G554" t="s">
        <v>42</v>
      </c>
      <c r="H554">
        <v>69</v>
      </c>
      <c r="I554">
        <v>16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T554">
        <v>0</v>
      </c>
      <c r="U554">
        <v>0</v>
      </c>
      <c r="V554">
        <v>0</v>
      </c>
      <c r="W554" s="1">
        <v>44160</v>
      </c>
      <c r="AH554" t="s">
        <v>40</v>
      </c>
      <c r="AI554" t="s">
        <v>40</v>
      </c>
      <c r="AJ554" t="s">
        <v>40</v>
      </c>
    </row>
    <row r="555" spans="1:37" x14ac:dyDescent="0.3">
      <c r="A555">
        <v>2019</v>
      </c>
      <c r="B555">
        <v>5</v>
      </c>
      <c r="C555" t="str">
        <f t="shared" si="16"/>
        <v>5/01/2019</v>
      </c>
      <c r="D555" s="1" t="str">
        <f t="shared" si="17"/>
        <v>5/01/2019</v>
      </c>
      <c r="E555" t="s">
        <v>55</v>
      </c>
      <c r="F555" t="s">
        <v>50</v>
      </c>
      <c r="G555" t="s">
        <v>43</v>
      </c>
      <c r="H555">
        <v>66</v>
      </c>
      <c r="I555">
        <v>34</v>
      </c>
      <c r="M555">
        <v>0</v>
      </c>
      <c r="O555">
        <v>0</v>
      </c>
      <c r="P555">
        <v>0</v>
      </c>
      <c r="Q555">
        <v>0</v>
      </c>
      <c r="U555">
        <v>0</v>
      </c>
      <c r="V555">
        <v>0</v>
      </c>
      <c r="W555" s="1">
        <v>44160</v>
      </c>
      <c r="AA555" t="s">
        <v>40</v>
      </c>
      <c r="AB555" t="s">
        <v>40</v>
      </c>
      <c r="AC555" t="s">
        <v>40</v>
      </c>
      <c r="AE555" t="s">
        <v>40</v>
      </c>
      <c r="AI555" t="s">
        <v>40</v>
      </c>
      <c r="AJ555" t="s">
        <v>40</v>
      </c>
      <c r="AK555" t="s">
        <v>40</v>
      </c>
    </row>
    <row r="556" spans="1:37" x14ac:dyDescent="0.3">
      <c r="A556">
        <v>2019</v>
      </c>
      <c r="B556">
        <v>5</v>
      </c>
      <c r="C556" t="str">
        <f t="shared" si="16"/>
        <v>5/01/2019</v>
      </c>
      <c r="D556" s="1" t="str">
        <f t="shared" si="17"/>
        <v>5/01/2019</v>
      </c>
      <c r="E556" t="s">
        <v>55</v>
      </c>
      <c r="F556" t="s">
        <v>50</v>
      </c>
      <c r="G556" t="s">
        <v>44</v>
      </c>
      <c r="H556">
        <v>104</v>
      </c>
      <c r="I556">
        <v>78</v>
      </c>
      <c r="M556">
        <v>0</v>
      </c>
      <c r="P556">
        <v>0</v>
      </c>
      <c r="R556">
        <v>0</v>
      </c>
      <c r="S556">
        <v>21</v>
      </c>
      <c r="U556">
        <v>0</v>
      </c>
      <c r="V556">
        <v>0</v>
      </c>
      <c r="W556" s="1">
        <v>44160</v>
      </c>
      <c r="AA556" t="s">
        <v>40</v>
      </c>
      <c r="AB556" t="s">
        <v>40</v>
      </c>
      <c r="AC556" t="s">
        <v>40</v>
      </c>
      <c r="AE556" t="s">
        <v>40</v>
      </c>
      <c r="AF556" t="s">
        <v>40</v>
      </c>
      <c r="AH556" t="s">
        <v>40</v>
      </c>
      <c r="AK556" t="s">
        <v>40</v>
      </c>
    </row>
    <row r="557" spans="1:37" x14ac:dyDescent="0.3">
      <c r="A557">
        <v>2019</v>
      </c>
      <c r="B557">
        <v>5</v>
      </c>
      <c r="C557" t="str">
        <f t="shared" si="16"/>
        <v>5/01/2019</v>
      </c>
      <c r="D557" s="1" t="str">
        <f t="shared" si="17"/>
        <v>5/01/2019</v>
      </c>
      <c r="E557" t="s">
        <v>55</v>
      </c>
      <c r="F557" t="s">
        <v>50</v>
      </c>
      <c r="G557" t="s">
        <v>45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 s="1">
        <v>44160</v>
      </c>
      <c r="Y557" t="s">
        <v>40</v>
      </c>
    </row>
    <row r="558" spans="1:37" x14ac:dyDescent="0.3">
      <c r="A558">
        <v>2019</v>
      </c>
      <c r="B558">
        <v>5</v>
      </c>
      <c r="C558" t="str">
        <f t="shared" si="16"/>
        <v>5/01/2019</v>
      </c>
      <c r="D558" s="1" t="str">
        <f t="shared" si="17"/>
        <v>5/01/2019</v>
      </c>
      <c r="E558" t="s">
        <v>55</v>
      </c>
      <c r="F558" t="s">
        <v>50</v>
      </c>
      <c r="G558" t="s">
        <v>46</v>
      </c>
      <c r="H558">
        <v>151</v>
      </c>
      <c r="I558">
        <v>136</v>
      </c>
      <c r="K558">
        <v>33</v>
      </c>
      <c r="L558">
        <v>15</v>
      </c>
      <c r="M558">
        <v>0</v>
      </c>
      <c r="N558">
        <v>0</v>
      </c>
      <c r="O558">
        <v>11</v>
      </c>
      <c r="R558">
        <v>0</v>
      </c>
      <c r="S558">
        <v>33</v>
      </c>
      <c r="U558">
        <v>0</v>
      </c>
      <c r="V558">
        <v>0</v>
      </c>
      <c r="W558" s="1">
        <v>44160</v>
      </c>
      <c r="AA558" t="s">
        <v>40</v>
      </c>
      <c r="AG558" t="s">
        <v>40</v>
      </c>
      <c r="AH558" t="s">
        <v>40</v>
      </c>
      <c r="AK558" t="s">
        <v>40</v>
      </c>
    </row>
    <row r="559" spans="1:37" x14ac:dyDescent="0.3">
      <c r="A559">
        <v>2019</v>
      </c>
      <c r="B559">
        <v>5</v>
      </c>
      <c r="C559" t="str">
        <f t="shared" si="16"/>
        <v>5/01/2019</v>
      </c>
      <c r="D559" s="1" t="str">
        <f t="shared" si="17"/>
        <v>5/01/2019</v>
      </c>
      <c r="E559" t="s">
        <v>55</v>
      </c>
      <c r="F559" t="s">
        <v>50</v>
      </c>
      <c r="G559" t="s">
        <v>47</v>
      </c>
      <c r="H559">
        <v>144</v>
      </c>
      <c r="I559">
        <v>137</v>
      </c>
      <c r="J559">
        <v>0</v>
      </c>
      <c r="K559">
        <v>45</v>
      </c>
      <c r="L559">
        <v>12</v>
      </c>
      <c r="M559">
        <v>0</v>
      </c>
      <c r="N559">
        <v>0</v>
      </c>
      <c r="O559">
        <v>12</v>
      </c>
      <c r="S559">
        <v>28</v>
      </c>
      <c r="U559">
        <v>0</v>
      </c>
      <c r="V559">
        <v>0</v>
      </c>
      <c r="W559" s="1">
        <v>44160</v>
      </c>
      <c r="AG559" t="s">
        <v>40</v>
      </c>
      <c r="AH559" t="s">
        <v>40</v>
      </c>
      <c r="AI559" t="s">
        <v>40</v>
      </c>
      <c r="AK559" t="s">
        <v>40</v>
      </c>
    </row>
    <row r="560" spans="1:37" x14ac:dyDescent="0.3">
      <c r="A560">
        <v>2019</v>
      </c>
      <c r="B560">
        <v>5</v>
      </c>
      <c r="C560" t="str">
        <f t="shared" si="16"/>
        <v>5/01/2019</v>
      </c>
      <c r="D560" s="1" t="str">
        <f t="shared" si="17"/>
        <v>5/01/2019</v>
      </c>
      <c r="E560" t="s">
        <v>55</v>
      </c>
      <c r="F560" t="s">
        <v>50</v>
      </c>
      <c r="G560" t="s">
        <v>48</v>
      </c>
      <c r="H560">
        <v>137</v>
      </c>
      <c r="I560">
        <v>129</v>
      </c>
      <c r="K560">
        <v>27</v>
      </c>
      <c r="L560">
        <v>10</v>
      </c>
      <c r="S560">
        <v>36</v>
      </c>
      <c r="U560">
        <v>0</v>
      </c>
      <c r="V560">
        <v>0</v>
      </c>
      <c r="W560" s="1">
        <v>44160</v>
      </c>
      <c r="AA560" t="s">
        <v>40</v>
      </c>
      <c r="AD560" t="s">
        <v>40</v>
      </c>
      <c r="AE560" t="s">
        <v>40</v>
      </c>
      <c r="AF560" t="s">
        <v>40</v>
      </c>
      <c r="AG560" t="s">
        <v>40</v>
      </c>
      <c r="AH560" t="s">
        <v>40</v>
      </c>
      <c r="AI560" t="s">
        <v>40</v>
      </c>
      <c r="AK560" t="s">
        <v>40</v>
      </c>
    </row>
    <row r="561" spans="1:37" x14ac:dyDescent="0.3">
      <c r="A561">
        <v>2019</v>
      </c>
      <c r="B561">
        <v>5</v>
      </c>
      <c r="C561" t="str">
        <f t="shared" si="16"/>
        <v>5/01/2019</v>
      </c>
      <c r="D561" s="1" t="str">
        <f t="shared" si="17"/>
        <v>5/01/2019</v>
      </c>
      <c r="E561" t="s">
        <v>55</v>
      </c>
      <c r="F561" t="s">
        <v>50</v>
      </c>
      <c r="G561" t="s">
        <v>49</v>
      </c>
      <c r="H561">
        <v>66</v>
      </c>
      <c r="I561">
        <v>66</v>
      </c>
      <c r="J561">
        <v>0</v>
      </c>
      <c r="R561">
        <v>0</v>
      </c>
      <c r="S561">
        <v>17</v>
      </c>
      <c r="U561">
        <v>0</v>
      </c>
      <c r="V561">
        <v>0</v>
      </c>
      <c r="W561" s="1">
        <v>44160</v>
      </c>
      <c r="AB561" t="s">
        <v>40</v>
      </c>
      <c r="AC561" t="s">
        <v>40</v>
      </c>
      <c r="AD561" t="s">
        <v>40</v>
      </c>
      <c r="AE561" t="s">
        <v>40</v>
      </c>
      <c r="AF561" t="s">
        <v>40</v>
      </c>
      <c r="AG561" t="s">
        <v>40</v>
      </c>
      <c r="AH561" t="s">
        <v>40</v>
      </c>
      <c r="AK561" t="s">
        <v>40</v>
      </c>
    </row>
    <row r="562" spans="1:37" x14ac:dyDescent="0.3">
      <c r="A562">
        <v>2019</v>
      </c>
      <c r="B562">
        <v>5</v>
      </c>
      <c r="C562" t="str">
        <f t="shared" si="16"/>
        <v>5/01/2019</v>
      </c>
      <c r="D562" s="1" t="str">
        <f t="shared" si="17"/>
        <v>5/01/2019</v>
      </c>
      <c r="E562" t="s">
        <v>55</v>
      </c>
      <c r="F562" t="s">
        <v>51</v>
      </c>
      <c r="G562" t="s">
        <v>39</v>
      </c>
      <c r="H562">
        <v>38</v>
      </c>
      <c r="I562">
        <v>33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U562">
        <v>0</v>
      </c>
      <c r="V562">
        <v>0</v>
      </c>
      <c r="W562" s="1">
        <v>44160</v>
      </c>
      <c r="AA562" t="s">
        <v>40</v>
      </c>
      <c r="AB562" t="s">
        <v>40</v>
      </c>
      <c r="AI562" t="s">
        <v>40</v>
      </c>
      <c r="AJ562" t="s">
        <v>40</v>
      </c>
      <c r="AK562" t="s">
        <v>40</v>
      </c>
    </row>
    <row r="563" spans="1:37" x14ac:dyDescent="0.3">
      <c r="A563">
        <v>2019</v>
      </c>
      <c r="B563">
        <v>5</v>
      </c>
      <c r="C563" t="str">
        <f t="shared" si="16"/>
        <v>5/01/2019</v>
      </c>
      <c r="D563" s="1" t="str">
        <f t="shared" si="17"/>
        <v>5/01/2019</v>
      </c>
      <c r="E563" t="s">
        <v>55</v>
      </c>
      <c r="F563" t="s">
        <v>51</v>
      </c>
      <c r="G563" t="s">
        <v>41</v>
      </c>
      <c r="H563">
        <v>41</v>
      </c>
      <c r="I563">
        <v>12</v>
      </c>
      <c r="J563">
        <v>0</v>
      </c>
      <c r="L563">
        <v>0</v>
      </c>
      <c r="M563">
        <v>0</v>
      </c>
      <c r="O563">
        <v>0</v>
      </c>
      <c r="P563">
        <v>0</v>
      </c>
      <c r="Q563">
        <v>0</v>
      </c>
      <c r="R563">
        <v>0</v>
      </c>
      <c r="U563">
        <v>0</v>
      </c>
      <c r="V563">
        <v>0</v>
      </c>
      <c r="W563" s="1">
        <v>44160</v>
      </c>
      <c r="AB563" t="s">
        <v>40</v>
      </c>
      <c r="AE563" t="s">
        <v>40</v>
      </c>
      <c r="AJ563" t="s">
        <v>40</v>
      </c>
      <c r="AK563" t="s">
        <v>40</v>
      </c>
    </row>
    <row r="564" spans="1:37" x14ac:dyDescent="0.3">
      <c r="A564">
        <v>2019</v>
      </c>
      <c r="B564">
        <v>5</v>
      </c>
      <c r="C564" t="str">
        <f t="shared" si="16"/>
        <v>5/01/2019</v>
      </c>
      <c r="D564" s="1" t="str">
        <f t="shared" si="17"/>
        <v>5/01/2019</v>
      </c>
      <c r="E564" t="s">
        <v>55</v>
      </c>
      <c r="F564" t="s">
        <v>51</v>
      </c>
      <c r="G564" t="s">
        <v>42</v>
      </c>
      <c r="H564">
        <v>85</v>
      </c>
      <c r="I564">
        <v>34</v>
      </c>
      <c r="J564">
        <v>0</v>
      </c>
      <c r="K564">
        <v>11</v>
      </c>
      <c r="L564">
        <v>0</v>
      </c>
      <c r="M564">
        <v>0</v>
      </c>
      <c r="N564">
        <v>0</v>
      </c>
      <c r="Q564">
        <v>0</v>
      </c>
      <c r="U564">
        <v>0</v>
      </c>
      <c r="V564">
        <v>0</v>
      </c>
      <c r="W564" s="1">
        <v>44160</v>
      </c>
      <c r="AF564" t="s">
        <v>40</v>
      </c>
      <c r="AG564" t="s">
        <v>40</v>
      </c>
      <c r="AI564" t="s">
        <v>40</v>
      </c>
      <c r="AJ564" t="s">
        <v>40</v>
      </c>
      <c r="AK564" t="s">
        <v>40</v>
      </c>
    </row>
    <row r="565" spans="1:37" x14ac:dyDescent="0.3">
      <c r="A565">
        <v>2019</v>
      </c>
      <c r="B565">
        <v>5</v>
      </c>
      <c r="C565" t="str">
        <f t="shared" si="16"/>
        <v>5/01/2019</v>
      </c>
      <c r="D565" s="1" t="str">
        <f t="shared" si="17"/>
        <v>5/01/2019</v>
      </c>
      <c r="E565" t="s">
        <v>55</v>
      </c>
      <c r="F565" t="s">
        <v>51</v>
      </c>
      <c r="G565" t="s">
        <v>43</v>
      </c>
      <c r="H565">
        <v>102</v>
      </c>
      <c r="I565">
        <v>70</v>
      </c>
      <c r="J565">
        <v>0</v>
      </c>
      <c r="K565">
        <v>19</v>
      </c>
      <c r="M565">
        <v>0</v>
      </c>
      <c r="O565">
        <v>0</v>
      </c>
      <c r="P565">
        <v>0</v>
      </c>
      <c r="Q565">
        <v>0</v>
      </c>
      <c r="S565">
        <v>14</v>
      </c>
      <c r="U565">
        <v>0</v>
      </c>
      <c r="V565">
        <v>0</v>
      </c>
      <c r="W565" s="1">
        <v>44160</v>
      </c>
      <c r="AC565" t="s">
        <v>40</v>
      </c>
      <c r="AE565" t="s">
        <v>40</v>
      </c>
      <c r="AI565" t="s">
        <v>40</v>
      </c>
      <c r="AK565" t="s">
        <v>40</v>
      </c>
    </row>
    <row r="566" spans="1:37" x14ac:dyDescent="0.3">
      <c r="A566">
        <v>2019</v>
      </c>
      <c r="B566">
        <v>5</v>
      </c>
      <c r="C566" t="str">
        <f t="shared" si="16"/>
        <v>5/01/2019</v>
      </c>
      <c r="D566" s="1" t="str">
        <f t="shared" si="17"/>
        <v>5/01/2019</v>
      </c>
      <c r="E566" t="s">
        <v>55</v>
      </c>
      <c r="F566" t="s">
        <v>51</v>
      </c>
      <c r="G566" t="s">
        <v>44</v>
      </c>
      <c r="H566">
        <v>190</v>
      </c>
      <c r="I566">
        <v>162</v>
      </c>
      <c r="J566">
        <v>0</v>
      </c>
      <c r="K566">
        <v>62</v>
      </c>
      <c r="M566">
        <v>0</v>
      </c>
      <c r="R566">
        <v>0</v>
      </c>
      <c r="S566">
        <v>52</v>
      </c>
      <c r="T566">
        <v>12</v>
      </c>
      <c r="U566">
        <v>0</v>
      </c>
      <c r="V566">
        <v>0</v>
      </c>
      <c r="W566" s="1">
        <v>44160</v>
      </c>
      <c r="AC566" t="s">
        <v>40</v>
      </c>
      <c r="AE566" t="s">
        <v>40</v>
      </c>
      <c r="AF566" t="s">
        <v>40</v>
      </c>
      <c r="AG566" t="s">
        <v>40</v>
      </c>
      <c r="AH566" t="s">
        <v>40</v>
      </c>
    </row>
    <row r="567" spans="1:37" x14ac:dyDescent="0.3">
      <c r="A567">
        <v>2019</v>
      </c>
      <c r="B567">
        <v>5</v>
      </c>
      <c r="C567" t="str">
        <f t="shared" si="16"/>
        <v>5/01/2019</v>
      </c>
      <c r="D567" s="1" t="str">
        <f t="shared" si="17"/>
        <v>5/01/2019</v>
      </c>
      <c r="E567" t="s">
        <v>55</v>
      </c>
      <c r="F567" t="s">
        <v>51</v>
      </c>
      <c r="G567" t="s">
        <v>45</v>
      </c>
      <c r="J567">
        <v>0</v>
      </c>
      <c r="L567">
        <v>0</v>
      </c>
      <c r="M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 s="1">
        <v>44160</v>
      </c>
      <c r="Y567" t="s">
        <v>40</v>
      </c>
      <c r="Z567" t="s">
        <v>40</v>
      </c>
      <c r="AB567" t="s">
        <v>40</v>
      </c>
      <c r="AE567" t="s">
        <v>40</v>
      </c>
    </row>
    <row r="568" spans="1:37" x14ac:dyDescent="0.3">
      <c r="A568">
        <v>2019</v>
      </c>
      <c r="B568">
        <v>5</v>
      </c>
      <c r="C568" t="str">
        <f t="shared" si="16"/>
        <v>5/01/2019</v>
      </c>
      <c r="D568" s="1" t="str">
        <f t="shared" si="17"/>
        <v>5/01/2019</v>
      </c>
      <c r="E568" t="s">
        <v>55</v>
      </c>
      <c r="F568" t="s">
        <v>51</v>
      </c>
      <c r="G568" t="s">
        <v>46</v>
      </c>
      <c r="H568">
        <v>388</v>
      </c>
      <c r="I568">
        <v>358</v>
      </c>
      <c r="K568">
        <v>119</v>
      </c>
      <c r="L568">
        <v>20</v>
      </c>
      <c r="M568">
        <v>0</v>
      </c>
      <c r="S568">
        <v>110</v>
      </c>
      <c r="T568">
        <v>23</v>
      </c>
      <c r="U568">
        <v>0</v>
      </c>
      <c r="V568">
        <v>0</v>
      </c>
      <c r="W568" s="1">
        <v>44160</v>
      </c>
      <c r="AA568" t="s">
        <v>40</v>
      </c>
      <c r="AE568" t="s">
        <v>40</v>
      </c>
      <c r="AF568" t="s">
        <v>40</v>
      </c>
      <c r="AG568" t="s">
        <v>40</v>
      </c>
      <c r="AH568" t="s">
        <v>40</v>
      </c>
      <c r="AI568" t="s">
        <v>40</v>
      </c>
    </row>
    <row r="569" spans="1:37" x14ac:dyDescent="0.3">
      <c r="A569">
        <v>2019</v>
      </c>
      <c r="B569">
        <v>5</v>
      </c>
      <c r="C569" t="str">
        <f t="shared" si="16"/>
        <v>5/01/2019</v>
      </c>
      <c r="D569" s="1" t="str">
        <f t="shared" si="17"/>
        <v>5/01/2019</v>
      </c>
      <c r="E569" t="s">
        <v>55</v>
      </c>
      <c r="F569" t="s">
        <v>51</v>
      </c>
      <c r="G569" t="s">
        <v>47</v>
      </c>
      <c r="H569">
        <v>591</v>
      </c>
      <c r="I569">
        <v>566</v>
      </c>
      <c r="K569">
        <v>214</v>
      </c>
      <c r="L569">
        <v>27</v>
      </c>
      <c r="N569">
        <v>14</v>
      </c>
      <c r="O569">
        <v>12</v>
      </c>
      <c r="P569">
        <v>10</v>
      </c>
      <c r="Q569">
        <v>16</v>
      </c>
      <c r="S569">
        <v>142</v>
      </c>
      <c r="T569">
        <v>32</v>
      </c>
      <c r="U569">
        <v>0</v>
      </c>
      <c r="V569">
        <v>0</v>
      </c>
      <c r="W569" s="1">
        <v>44160</v>
      </c>
      <c r="AA569" t="s">
        <v>40</v>
      </c>
      <c r="AD569" t="s">
        <v>40</v>
      </c>
      <c r="AI569" t="s">
        <v>40</v>
      </c>
    </row>
    <row r="570" spans="1:37" x14ac:dyDescent="0.3">
      <c r="A570">
        <v>2019</v>
      </c>
      <c r="B570">
        <v>5</v>
      </c>
      <c r="C570" t="str">
        <f t="shared" si="16"/>
        <v>5/01/2019</v>
      </c>
      <c r="D570" s="1" t="str">
        <f t="shared" si="17"/>
        <v>5/01/2019</v>
      </c>
      <c r="E570" t="s">
        <v>55</v>
      </c>
      <c r="F570" t="s">
        <v>51</v>
      </c>
      <c r="G570" t="s">
        <v>48</v>
      </c>
      <c r="H570">
        <v>742</v>
      </c>
      <c r="I570">
        <v>714</v>
      </c>
      <c r="K570">
        <v>224</v>
      </c>
      <c r="L570">
        <v>29</v>
      </c>
      <c r="M570">
        <v>16</v>
      </c>
      <c r="N570">
        <v>23</v>
      </c>
      <c r="O570">
        <v>32</v>
      </c>
      <c r="P570">
        <v>19</v>
      </c>
      <c r="Q570">
        <v>20</v>
      </c>
      <c r="S570">
        <v>154</v>
      </c>
      <c r="T570">
        <v>54</v>
      </c>
      <c r="U570">
        <v>0</v>
      </c>
      <c r="V570">
        <v>0</v>
      </c>
      <c r="W570" s="1">
        <v>44160</v>
      </c>
      <c r="AA570" t="s">
        <v>40</v>
      </c>
      <c r="AI570" t="s">
        <v>40</v>
      </c>
    </row>
    <row r="571" spans="1:37" x14ac:dyDescent="0.3">
      <c r="A571">
        <v>2019</v>
      </c>
      <c r="B571">
        <v>5</v>
      </c>
      <c r="C571" t="str">
        <f t="shared" si="16"/>
        <v>5/01/2019</v>
      </c>
      <c r="D571" s="1" t="str">
        <f t="shared" si="17"/>
        <v>5/01/2019</v>
      </c>
      <c r="E571" t="s">
        <v>55</v>
      </c>
      <c r="F571" t="s">
        <v>51</v>
      </c>
      <c r="G571" t="s">
        <v>49</v>
      </c>
      <c r="H571">
        <v>761</v>
      </c>
      <c r="I571">
        <v>740</v>
      </c>
      <c r="K571">
        <v>123</v>
      </c>
      <c r="L571">
        <v>31</v>
      </c>
      <c r="M571">
        <v>56</v>
      </c>
      <c r="N571">
        <v>25</v>
      </c>
      <c r="O571">
        <v>33</v>
      </c>
      <c r="P571">
        <v>12</v>
      </c>
      <c r="Q571">
        <v>23</v>
      </c>
      <c r="S571">
        <v>195</v>
      </c>
      <c r="T571">
        <v>59</v>
      </c>
      <c r="U571">
        <v>0</v>
      </c>
      <c r="V571">
        <v>0</v>
      </c>
      <c r="W571" s="1">
        <v>44160</v>
      </c>
      <c r="AA571" t="s">
        <v>40</v>
      </c>
      <c r="AI571" t="s">
        <v>40</v>
      </c>
    </row>
    <row r="572" spans="1:37" x14ac:dyDescent="0.3">
      <c r="A572">
        <v>2019</v>
      </c>
      <c r="B572">
        <v>5</v>
      </c>
      <c r="C572" t="str">
        <f t="shared" si="16"/>
        <v>5/01/2019</v>
      </c>
      <c r="D572" s="1" t="str">
        <f t="shared" si="17"/>
        <v>5/01/2019</v>
      </c>
      <c r="E572" t="s">
        <v>55</v>
      </c>
      <c r="F572" t="s">
        <v>52</v>
      </c>
      <c r="G572" t="s">
        <v>39</v>
      </c>
      <c r="H572">
        <v>359</v>
      </c>
      <c r="I572">
        <v>308</v>
      </c>
      <c r="J572">
        <v>0</v>
      </c>
      <c r="L572">
        <v>0</v>
      </c>
      <c r="M572">
        <v>0</v>
      </c>
      <c r="O572">
        <v>0</v>
      </c>
      <c r="R572">
        <v>49</v>
      </c>
      <c r="T572">
        <v>0</v>
      </c>
      <c r="U572">
        <v>0</v>
      </c>
      <c r="V572">
        <v>0</v>
      </c>
      <c r="W572" s="1">
        <v>44160</v>
      </c>
      <c r="AB572" t="s">
        <v>40</v>
      </c>
      <c r="AE572" t="s">
        <v>40</v>
      </c>
      <c r="AG572" t="s">
        <v>40</v>
      </c>
      <c r="AH572" t="s">
        <v>40</v>
      </c>
      <c r="AJ572" t="s">
        <v>40</v>
      </c>
    </row>
    <row r="573" spans="1:37" x14ac:dyDescent="0.3">
      <c r="A573">
        <v>2019</v>
      </c>
      <c r="B573">
        <v>5</v>
      </c>
      <c r="C573" t="str">
        <f t="shared" si="16"/>
        <v>5/01/2019</v>
      </c>
      <c r="D573" s="1" t="str">
        <f t="shared" si="17"/>
        <v>5/01/2019</v>
      </c>
      <c r="E573" t="s">
        <v>55</v>
      </c>
      <c r="F573" t="s">
        <v>52</v>
      </c>
      <c r="G573" t="s">
        <v>41</v>
      </c>
      <c r="H573">
        <v>507</v>
      </c>
      <c r="I573">
        <v>73</v>
      </c>
      <c r="M573">
        <v>0</v>
      </c>
      <c r="N573">
        <v>0</v>
      </c>
      <c r="P573">
        <v>0</v>
      </c>
      <c r="Q573">
        <v>0</v>
      </c>
      <c r="S573">
        <v>17</v>
      </c>
      <c r="T573">
        <v>0</v>
      </c>
      <c r="U573">
        <v>0</v>
      </c>
      <c r="V573">
        <v>0</v>
      </c>
      <c r="W573" s="1">
        <v>44160</v>
      </c>
      <c r="AA573" t="s">
        <v>40</v>
      </c>
      <c r="AB573" t="s">
        <v>40</v>
      </c>
      <c r="AC573" t="s">
        <v>40</v>
      </c>
      <c r="AF573" t="s">
        <v>40</v>
      </c>
      <c r="AI573" t="s">
        <v>40</v>
      </c>
    </row>
    <row r="574" spans="1:37" x14ac:dyDescent="0.3">
      <c r="A574">
        <v>2019</v>
      </c>
      <c r="B574">
        <v>5</v>
      </c>
      <c r="C574" t="str">
        <f t="shared" si="16"/>
        <v>5/01/2019</v>
      </c>
      <c r="D574" s="1" t="str">
        <f t="shared" si="17"/>
        <v>5/01/2019</v>
      </c>
      <c r="E574" t="s">
        <v>55</v>
      </c>
      <c r="F574" t="s">
        <v>52</v>
      </c>
      <c r="G574" t="s">
        <v>42</v>
      </c>
      <c r="H574">
        <v>762</v>
      </c>
      <c r="I574">
        <v>245</v>
      </c>
      <c r="K574">
        <v>22</v>
      </c>
      <c r="L574">
        <v>11</v>
      </c>
      <c r="M574">
        <v>0</v>
      </c>
      <c r="R574">
        <v>12</v>
      </c>
      <c r="S574">
        <v>66</v>
      </c>
      <c r="U574">
        <v>0</v>
      </c>
      <c r="V574">
        <v>0</v>
      </c>
      <c r="W574" s="1">
        <v>44160</v>
      </c>
      <c r="AA574" t="s">
        <v>40</v>
      </c>
      <c r="AE574" t="s">
        <v>40</v>
      </c>
      <c r="AF574" t="s">
        <v>40</v>
      </c>
      <c r="AG574" t="s">
        <v>40</v>
      </c>
      <c r="AH574" t="s">
        <v>40</v>
      </c>
      <c r="AK574" t="s">
        <v>40</v>
      </c>
    </row>
    <row r="575" spans="1:37" x14ac:dyDescent="0.3">
      <c r="A575">
        <v>2019</v>
      </c>
      <c r="B575">
        <v>5</v>
      </c>
      <c r="C575" t="str">
        <f t="shared" si="16"/>
        <v>5/01/2019</v>
      </c>
      <c r="D575" s="1" t="str">
        <f t="shared" si="17"/>
        <v>5/01/2019</v>
      </c>
      <c r="E575" t="s">
        <v>55</v>
      </c>
      <c r="F575" t="s">
        <v>52</v>
      </c>
      <c r="G575" t="s">
        <v>43</v>
      </c>
      <c r="H575">
        <v>905</v>
      </c>
      <c r="I575">
        <v>507</v>
      </c>
      <c r="K575">
        <v>68</v>
      </c>
      <c r="L575">
        <v>29</v>
      </c>
      <c r="M575">
        <v>0</v>
      </c>
      <c r="Q575">
        <v>12</v>
      </c>
      <c r="S575">
        <v>184</v>
      </c>
      <c r="T575">
        <v>13</v>
      </c>
      <c r="U575">
        <v>0</v>
      </c>
      <c r="V575">
        <v>0</v>
      </c>
      <c r="W575" s="1">
        <v>44160</v>
      </c>
      <c r="AA575" t="s">
        <v>40</v>
      </c>
      <c r="AE575" t="s">
        <v>40</v>
      </c>
      <c r="AF575" t="s">
        <v>40</v>
      </c>
      <c r="AG575" t="s">
        <v>40</v>
      </c>
      <c r="AI575" t="s">
        <v>40</v>
      </c>
    </row>
    <row r="576" spans="1:37" x14ac:dyDescent="0.3">
      <c r="A576">
        <v>2019</v>
      </c>
      <c r="B576">
        <v>5</v>
      </c>
      <c r="C576" t="str">
        <f t="shared" si="16"/>
        <v>5/01/2019</v>
      </c>
      <c r="D576" s="1" t="str">
        <f t="shared" si="17"/>
        <v>5/01/2019</v>
      </c>
      <c r="E576" t="s">
        <v>55</v>
      </c>
      <c r="F576" t="s">
        <v>52</v>
      </c>
      <c r="G576" t="s">
        <v>44</v>
      </c>
      <c r="H576" s="2">
        <v>1595</v>
      </c>
      <c r="I576" s="2">
        <v>1237</v>
      </c>
      <c r="J576">
        <v>17</v>
      </c>
      <c r="K576">
        <v>256</v>
      </c>
      <c r="L576">
        <v>64</v>
      </c>
      <c r="M576">
        <v>0</v>
      </c>
      <c r="N576">
        <v>21</v>
      </c>
      <c r="O576">
        <v>15</v>
      </c>
      <c r="P576">
        <v>13</v>
      </c>
      <c r="Q576">
        <v>43</v>
      </c>
      <c r="R576">
        <v>15</v>
      </c>
      <c r="S576">
        <v>408</v>
      </c>
      <c r="T576">
        <v>77</v>
      </c>
      <c r="U576">
        <v>0</v>
      </c>
      <c r="V576">
        <v>0</v>
      </c>
      <c r="W576" s="1">
        <v>44160</v>
      </c>
    </row>
    <row r="577" spans="1:37" x14ac:dyDescent="0.3">
      <c r="A577">
        <v>2019</v>
      </c>
      <c r="B577">
        <v>5</v>
      </c>
      <c r="C577" t="str">
        <f t="shared" si="16"/>
        <v>5/01/2019</v>
      </c>
      <c r="D577" s="1" t="str">
        <f t="shared" si="17"/>
        <v>5/01/2019</v>
      </c>
      <c r="E577" t="s">
        <v>55</v>
      </c>
      <c r="F577" t="s">
        <v>52</v>
      </c>
      <c r="G577" t="s">
        <v>45</v>
      </c>
      <c r="H577">
        <v>62</v>
      </c>
      <c r="I577">
        <v>24</v>
      </c>
      <c r="L577">
        <v>0</v>
      </c>
      <c r="M577">
        <v>0</v>
      </c>
      <c r="P577">
        <v>0</v>
      </c>
      <c r="Q577">
        <v>0</v>
      </c>
      <c r="T577">
        <v>0</v>
      </c>
      <c r="U577">
        <v>0</v>
      </c>
      <c r="V577">
        <v>0</v>
      </c>
      <c r="W577" s="1">
        <v>44160</v>
      </c>
      <c r="AA577" t="s">
        <v>40</v>
      </c>
      <c r="AB577" t="s">
        <v>40</v>
      </c>
      <c r="AE577" t="s">
        <v>40</v>
      </c>
      <c r="AF577" t="s">
        <v>40</v>
      </c>
      <c r="AI577" t="s">
        <v>40</v>
      </c>
      <c r="AJ577" t="s">
        <v>40</v>
      </c>
    </row>
    <row r="578" spans="1:37" x14ac:dyDescent="0.3">
      <c r="A578">
        <v>2019</v>
      </c>
      <c r="B578">
        <v>5</v>
      </c>
      <c r="C578" t="str">
        <f t="shared" si="16"/>
        <v>5/01/2019</v>
      </c>
      <c r="D578" s="1" t="str">
        <f t="shared" si="17"/>
        <v>5/01/2019</v>
      </c>
      <c r="E578" t="s">
        <v>55</v>
      </c>
      <c r="F578" t="s">
        <v>52</v>
      </c>
      <c r="G578" t="s">
        <v>46</v>
      </c>
      <c r="H578" s="2">
        <v>3169</v>
      </c>
      <c r="I578" s="2">
        <v>2814</v>
      </c>
      <c r="J578">
        <v>47</v>
      </c>
      <c r="K578">
        <v>796</v>
      </c>
      <c r="L578">
        <v>141</v>
      </c>
      <c r="N578">
        <v>32</v>
      </c>
      <c r="O578">
        <v>102</v>
      </c>
      <c r="P578">
        <v>27</v>
      </c>
      <c r="Q578">
        <v>83</v>
      </c>
      <c r="R578">
        <v>29</v>
      </c>
      <c r="S578">
        <v>851</v>
      </c>
      <c r="T578">
        <v>143</v>
      </c>
      <c r="U578">
        <v>0</v>
      </c>
      <c r="V578">
        <v>0</v>
      </c>
      <c r="W578" s="1">
        <v>44160</v>
      </c>
      <c r="AD578" t="s">
        <v>40</v>
      </c>
    </row>
    <row r="579" spans="1:37" x14ac:dyDescent="0.3">
      <c r="A579">
        <v>2019</v>
      </c>
      <c r="B579">
        <v>5</v>
      </c>
      <c r="C579" t="str">
        <f t="shared" ref="C579:C642" si="18">CONCATENATE(B579,"/01/",A579)</f>
        <v>5/01/2019</v>
      </c>
      <c r="D579" s="1" t="str">
        <f t="shared" ref="D579:D642" si="19">C579</f>
        <v>5/01/2019</v>
      </c>
      <c r="E579" t="s">
        <v>55</v>
      </c>
      <c r="F579" t="s">
        <v>52</v>
      </c>
      <c r="G579" t="s">
        <v>47</v>
      </c>
      <c r="H579" s="2">
        <v>3584</v>
      </c>
      <c r="I579" s="2">
        <v>3410</v>
      </c>
      <c r="J579">
        <v>67</v>
      </c>
      <c r="K579" s="2">
        <v>1030</v>
      </c>
      <c r="L579">
        <v>204</v>
      </c>
      <c r="M579">
        <v>22</v>
      </c>
      <c r="N579">
        <v>35</v>
      </c>
      <c r="O579">
        <v>150</v>
      </c>
      <c r="P579">
        <v>39</v>
      </c>
      <c r="Q579">
        <v>109</v>
      </c>
      <c r="R579">
        <v>24</v>
      </c>
      <c r="S579">
        <v>917</v>
      </c>
      <c r="T579">
        <v>184</v>
      </c>
      <c r="U579">
        <v>0</v>
      </c>
      <c r="V579">
        <v>0</v>
      </c>
      <c r="W579" s="1">
        <v>44160</v>
      </c>
    </row>
    <row r="580" spans="1:37" x14ac:dyDescent="0.3">
      <c r="A580">
        <v>2019</v>
      </c>
      <c r="B580">
        <v>5</v>
      </c>
      <c r="C580" t="str">
        <f t="shared" si="18"/>
        <v>5/01/2019</v>
      </c>
      <c r="D580" s="1" t="str">
        <f t="shared" si="19"/>
        <v>5/01/2019</v>
      </c>
      <c r="E580" t="s">
        <v>55</v>
      </c>
      <c r="F580" t="s">
        <v>52</v>
      </c>
      <c r="G580" t="s">
        <v>48</v>
      </c>
      <c r="H580" s="2">
        <v>2690</v>
      </c>
      <c r="I580" s="2">
        <v>2635</v>
      </c>
      <c r="J580">
        <v>54</v>
      </c>
      <c r="K580">
        <v>623</v>
      </c>
      <c r="L580">
        <v>126</v>
      </c>
      <c r="M580">
        <v>72</v>
      </c>
      <c r="N580">
        <v>41</v>
      </c>
      <c r="O580">
        <v>146</v>
      </c>
      <c r="P580">
        <v>29</v>
      </c>
      <c r="Q580">
        <v>85</v>
      </c>
      <c r="R580">
        <v>29</v>
      </c>
      <c r="S580">
        <v>701</v>
      </c>
      <c r="T580">
        <v>190</v>
      </c>
      <c r="U580">
        <v>0</v>
      </c>
      <c r="V580">
        <v>0</v>
      </c>
      <c r="W580" s="1">
        <v>44160</v>
      </c>
    </row>
    <row r="581" spans="1:37" x14ac:dyDescent="0.3">
      <c r="A581">
        <v>2019</v>
      </c>
      <c r="B581">
        <v>5</v>
      </c>
      <c r="C581" t="str">
        <f t="shared" si="18"/>
        <v>5/01/2019</v>
      </c>
      <c r="D581" s="1" t="str">
        <f t="shared" si="19"/>
        <v>5/01/2019</v>
      </c>
      <c r="E581" t="s">
        <v>55</v>
      </c>
      <c r="F581" t="s">
        <v>52</v>
      </c>
      <c r="G581" t="s">
        <v>49</v>
      </c>
      <c r="H581" s="2">
        <v>1694</v>
      </c>
      <c r="I581" s="2">
        <v>1664</v>
      </c>
      <c r="J581">
        <v>28</v>
      </c>
      <c r="K581">
        <v>289</v>
      </c>
      <c r="L581">
        <v>52</v>
      </c>
      <c r="M581">
        <v>96</v>
      </c>
      <c r="N581">
        <v>47</v>
      </c>
      <c r="O581">
        <v>69</v>
      </c>
      <c r="P581">
        <v>19</v>
      </c>
      <c r="Q581">
        <v>67</v>
      </c>
      <c r="R581">
        <v>22</v>
      </c>
      <c r="S581">
        <v>499</v>
      </c>
      <c r="T581">
        <v>108</v>
      </c>
      <c r="U581">
        <v>0</v>
      </c>
      <c r="V581">
        <v>0</v>
      </c>
      <c r="W581" s="1">
        <v>44160</v>
      </c>
    </row>
    <row r="582" spans="1:37" x14ac:dyDescent="0.3">
      <c r="A582">
        <v>2019</v>
      </c>
      <c r="B582">
        <v>5</v>
      </c>
      <c r="C582" t="str">
        <f t="shared" si="18"/>
        <v>5/01/2019</v>
      </c>
      <c r="D582" s="1" t="str">
        <f t="shared" si="19"/>
        <v>5/01/2019</v>
      </c>
      <c r="E582" t="s">
        <v>55</v>
      </c>
      <c r="F582" t="s">
        <v>53</v>
      </c>
      <c r="G582" t="s">
        <v>39</v>
      </c>
      <c r="H582">
        <v>519</v>
      </c>
      <c r="I582">
        <v>442</v>
      </c>
      <c r="K582">
        <v>11</v>
      </c>
      <c r="L582">
        <v>0</v>
      </c>
      <c r="M582">
        <v>0</v>
      </c>
      <c r="R582">
        <v>43</v>
      </c>
      <c r="U582">
        <v>0</v>
      </c>
      <c r="V582">
        <v>0</v>
      </c>
      <c r="W582" s="1">
        <v>44160</v>
      </c>
      <c r="AA582" t="s">
        <v>40</v>
      </c>
      <c r="AE582" t="s">
        <v>40</v>
      </c>
      <c r="AF582" t="s">
        <v>40</v>
      </c>
      <c r="AG582" t="s">
        <v>40</v>
      </c>
      <c r="AH582" t="s">
        <v>40</v>
      </c>
      <c r="AJ582" t="s">
        <v>40</v>
      </c>
      <c r="AK582" t="s">
        <v>40</v>
      </c>
    </row>
    <row r="583" spans="1:37" x14ac:dyDescent="0.3">
      <c r="A583">
        <v>2019</v>
      </c>
      <c r="B583">
        <v>5</v>
      </c>
      <c r="C583" t="str">
        <f t="shared" si="18"/>
        <v>5/01/2019</v>
      </c>
      <c r="D583" s="1" t="str">
        <f t="shared" si="19"/>
        <v>5/01/2019</v>
      </c>
      <c r="E583" t="s">
        <v>55</v>
      </c>
      <c r="F583" t="s">
        <v>53</v>
      </c>
      <c r="G583" t="s">
        <v>41</v>
      </c>
      <c r="H583">
        <v>933</v>
      </c>
      <c r="I583">
        <v>163</v>
      </c>
      <c r="K583">
        <v>31</v>
      </c>
      <c r="M583">
        <v>0</v>
      </c>
      <c r="Q583">
        <v>0</v>
      </c>
      <c r="S583">
        <v>28</v>
      </c>
      <c r="U583">
        <v>0</v>
      </c>
      <c r="V583">
        <v>0</v>
      </c>
      <c r="W583" s="1">
        <v>44160</v>
      </c>
      <c r="AA583" t="s">
        <v>40</v>
      </c>
      <c r="AC583" t="s">
        <v>40</v>
      </c>
      <c r="AE583" t="s">
        <v>40</v>
      </c>
      <c r="AF583" t="s">
        <v>40</v>
      </c>
      <c r="AG583" t="s">
        <v>40</v>
      </c>
      <c r="AI583" t="s">
        <v>40</v>
      </c>
      <c r="AK583" t="s">
        <v>40</v>
      </c>
    </row>
    <row r="584" spans="1:37" x14ac:dyDescent="0.3">
      <c r="A584">
        <v>2019</v>
      </c>
      <c r="B584">
        <v>5</v>
      </c>
      <c r="C584" t="str">
        <f t="shared" si="18"/>
        <v>5/01/2019</v>
      </c>
      <c r="D584" s="1" t="str">
        <f t="shared" si="19"/>
        <v>5/01/2019</v>
      </c>
      <c r="E584" t="s">
        <v>55</v>
      </c>
      <c r="F584" t="s">
        <v>53</v>
      </c>
      <c r="G584" t="s">
        <v>42</v>
      </c>
      <c r="H584" s="2">
        <v>1929</v>
      </c>
      <c r="I584">
        <v>475</v>
      </c>
      <c r="J584">
        <v>12</v>
      </c>
      <c r="K584">
        <v>72</v>
      </c>
      <c r="L584">
        <v>30</v>
      </c>
      <c r="M584">
        <v>0</v>
      </c>
      <c r="R584">
        <v>23</v>
      </c>
      <c r="S584">
        <v>106</v>
      </c>
      <c r="U584">
        <v>0</v>
      </c>
      <c r="V584">
        <v>0</v>
      </c>
      <c r="W584" s="1">
        <v>44160</v>
      </c>
      <c r="AE584" t="s">
        <v>40</v>
      </c>
      <c r="AF584" t="s">
        <v>40</v>
      </c>
      <c r="AG584" t="s">
        <v>40</v>
      </c>
      <c r="AH584" t="s">
        <v>40</v>
      </c>
      <c r="AK584" t="s">
        <v>40</v>
      </c>
    </row>
    <row r="585" spans="1:37" x14ac:dyDescent="0.3">
      <c r="A585">
        <v>2019</v>
      </c>
      <c r="B585">
        <v>5</v>
      </c>
      <c r="C585" t="str">
        <f t="shared" si="18"/>
        <v>5/01/2019</v>
      </c>
      <c r="D585" s="1" t="str">
        <f t="shared" si="19"/>
        <v>5/01/2019</v>
      </c>
      <c r="E585" t="s">
        <v>55</v>
      </c>
      <c r="F585" t="s">
        <v>53</v>
      </c>
      <c r="G585" t="s">
        <v>43</v>
      </c>
      <c r="H585" s="2">
        <v>2719</v>
      </c>
      <c r="I585" s="2">
        <v>1210</v>
      </c>
      <c r="J585">
        <v>14</v>
      </c>
      <c r="K585">
        <v>235</v>
      </c>
      <c r="L585">
        <v>50</v>
      </c>
      <c r="N585">
        <v>19</v>
      </c>
      <c r="O585">
        <v>15</v>
      </c>
      <c r="P585">
        <v>13</v>
      </c>
      <c r="R585">
        <v>32</v>
      </c>
      <c r="S585">
        <v>330</v>
      </c>
      <c r="T585">
        <v>37</v>
      </c>
      <c r="U585">
        <v>0</v>
      </c>
      <c r="V585">
        <v>0</v>
      </c>
      <c r="W585" s="1">
        <v>44160</v>
      </c>
      <c r="AD585" t="s">
        <v>40</v>
      </c>
      <c r="AH585" t="s">
        <v>40</v>
      </c>
    </row>
    <row r="586" spans="1:37" x14ac:dyDescent="0.3">
      <c r="A586">
        <v>2019</v>
      </c>
      <c r="B586">
        <v>5</v>
      </c>
      <c r="C586" t="str">
        <f t="shared" si="18"/>
        <v>5/01/2019</v>
      </c>
      <c r="D586" s="1" t="str">
        <f t="shared" si="19"/>
        <v>5/01/2019</v>
      </c>
      <c r="E586" t="s">
        <v>55</v>
      </c>
      <c r="F586" t="s">
        <v>53</v>
      </c>
      <c r="G586" t="s">
        <v>44</v>
      </c>
      <c r="H586" s="2">
        <v>5315</v>
      </c>
      <c r="I586" s="2">
        <v>3862</v>
      </c>
      <c r="J586">
        <v>49</v>
      </c>
      <c r="K586">
        <v>990</v>
      </c>
      <c r="L586">
        <v>199</v>
      </c>
      <c r="N586">
        <v>44</v>
      </c>
      <c r="O586">
        <v>99</v>
      </c>
      <c r="P586">
        <v>26</v>
      </c>
      <c r="Q586">
        <v>49</v>
      </c>
      <c r="R586">
        <v>44</v>
      </c>
      <c r="S586" s="2">
        <v>1114</v>
      </c>
      <c r="T586">
        <v>116</v>
      </c>
      <c r="U586">
        <v>0</v>
      </c>
      <c r="V586">
        <v>0</v>
      </c>
      <c r="W586" s="1">
        <v>44160</v>
      </c>
      <c r="AD586" t="s">
        <v>40</v>
      </c>
    </row>
    <row r="587" spans="1:37" x14ac:dyDescent="0.3">
      <c r="A587">
        <v>2019</v>
      </c>
      <c r="B587">
        <v>5</v>
      </c>
      <c r="C587" t="str">
        <f t="shared" si="18"/>
        <v>5/01/2019</v>
      </c>
      <c r="D587" s="1" t="str">
        <f t="shared" si="19"/>
        <v>5/01/2019</v>
      </c>
      <c r="E587" t="s">
        <v>55</v>
      </c>
      <c r="F587" t="s">
        <v>53</v>
      </c>
      <c r="G587" t="s">
        <v>45</v>
      </c>
      <c r="H587">
        <v>127</v>
      </c>
      <c r="I587">
        <v>62</v>
      </c>
      <c r="J587">
        <v>0</v>
      </c>
      <c r="K587">
        <v>23</v>
      </c>
      <c r="L587">
        <v>0</v>
      </c>
      <c r="M587">
        <v>0</v>
      </c>
      <c r="O587">
        <v>0</v>
      </c>
      <c r="Q587">
        <v>0</v>
      </c>
      <c r="U587">
        <v>0</v>
      </c>
      <c r="V587">
        <v>0</v>
      </c>
      <c r="W587" s="1">
        <v>44160</v>
      </c>
      <c r="AE587" t="s">
        <v>40</v>
      </c>
      <c r="AG587" t="s">
        <v>40</v>
      </c>
      <c r="AI587" t="s">
        <v>40</v>
      </c>
      <c r="AJ587" t="s">
        <v>40</v>
      </c>
      <c r="AK587" t="s">
        <v>40</v>
      </c>
    </row>
    <row r="588" spans="1:37" x14ac:dyDescent="0.3">
      <c r="A588">
        <v>2019</v>
      </c>
      <c r="B588">
        <v>5</v>
      </c>
      <c r="C588" t="str">
        <f t="shared" si="18"/>
        <v>5/01/2019</v>
      </c>
      <c r="D588" s="1" t="str">
        <f t="shared" si="19"/>
        <v>5/01/2019</v>
      </c>
      <c r="E588" t="s">
        <v>55</v>
      </c>
      <c r="F588" t="s">
        <v>53</v>
      </c>
      <c r="G588" t="s">
        <v>46</v>
      </c>
      <c r="H588" s="2">
        <v>13550</v>
      </c>
      <c r="I588" s="2">
        <v>11932</v>
      </c>
      <c r="J588">
        <v>174</v>
      </c>
      <c r="K588" s="2">
        <v>3796</v>
      </c>
      <c r="L588">
        <v>518</v>
      </c>
      <c r="M588">
        <v>37</v>
      </c>
      <c r="N588">
        <v>148</v>
      </c>
      <c r="O588">
        <v>664</v>
      </c>
      <c r="P588">
        <v>144</v>
      </c>
      <c r="Q588">
        <v>142</v>
      </c>
      <c r="R588">
        <v>121</v>
      </c>
      <c r="S588" s="2">
        <v>3289</v>
      </c>
      <c r="T588">
        <v>373</v>
      </c>
      <c r="U588">
        <v>0</v>
      </c>
      <c r="V588">
        <v>0</v>
      </c>
      <c r="W588" s="1">
        <v>44160</v>
      </c>
    </row>
    <row r="589" spans="1:37" x14ac:dyDescent="0.3">
      <c r="A589">
        <v>2019</v>
      </c>
      <c r="B589">
        <v>5</v>
      </c>
      <c r="C589" t="str">
        <f t="shared" si="18"/>
        <v>5/01/2019</v>
      </c>
      <c r="D589" s="1" t="str">
        <f t="shared" si="19"/>
        <v>5/01/2019</v>
      </c>
      <c r="E589" t="s">
        <v>55</v>
      </c>
      <c r="F589" t="s">
        <v>53</v>
      </c>
      <c r="G589" t="s">
        <v>47</v>
      </c>
      <c r="H589" s="2">
        <v>20250</v>
      </c>
      <c r="I589" s="2">
        <v>19173</v>
      </c>
      <c r="J589">
        <v>251</v>
      </c>
      <c r="K589" s="2">
        <v>6157</v>
      </c>
      <c r="L589">
        <v>822</v>
      </c>
      <c r="M589">
        <v>210</v>
      </c>
      <c r="N589">
        <v>236</v>
      </c>
      <c r="O589" s="2">
        <v>1454</v>
      </c>
      <c r="P589">
        <v>353</v>
      </c>
      <c r="Q589">
        <v>329</v>
      </c>
      <c r="R589">
        <v>148</v>
      </c>
      <c r="S589" s="2">
        <v>4898</v>
      </c>
      <c r="T589">
        <v>780</v>
      </c>
      <c r="U589">
        <v>0</v>
      </c>
      <c r="V589">
        <v>0</v>
      </c>
      <c r="W589" s="1">
        <v>44160</v>
      </c>
    </row>
    <row r="590" spans="1:37" x14ac:dyDescent="0.3">
      <c r="A590">
        <v>2019</v>
      </c>
      <c r="B590">
        <v>5</v>
      </c>
      <c r="C590" t="str">
        <f t="shared" si="18"/>
        <v>5/01/2019</v>
      </c>
      <c r="D590" s="1" t="str">
        <f t="shared" si="19"/>
        <v>5/01/2019</v>
      </c>
      <c r="E590" t="s">
        <v>55</v>
      </c>
      <c r="F590" t="s">
        <v>53</v>
      </c>
      <c r="G590" t="s">
        <v>48</v>
      </c>
      <c r="H590" s="2">
        <v>24169</v>
      </c>
      <c r="I590" s="2">
        <v>23176</v>
      </c>
      <c r="J590">
        <v>339</v>
      </c>
      <c r="K590" s="2">
        <v>5914</v>
      </c>
      <c r="L590">
        <v>722</v>
      </c>
      <c r="M590">
        <v>857</v>
      </c>
      <c r="N590">
        <v>403</v>
      </c>
      <c r="O590" s="2">
        <v>1820</v>
      </c>
      <c r="P590">
        <v>525</v>
      </c>
      <c r="Q590">
        <v>449</v>
      </c>
      <c r="R590">
        <v>203</v>
      </c>
      <c r="S590" s="2">
        <v>6148</v>
      </c>
      <c r="T590" s="2">
        <v>1106</v>
      </c>
      <c r="U590">
        <v>0</v>
      </c>
      <c r="V590">
        <v>0</v>
      </c>
      <c r="W590" s="1">
        <v>44160</v>
      </c>
    </row>
    <row r="591" spans="1:37" x14ac:dyDescent="0.3">
      <c r="A591">
        <v>2019</v>
      </c>
      <c r="B591">
        <v>5</v>
      </c>
      <c r="C591" t="str">
        <f t="shared" si="18"/>
        <v>5/01/2019</v>
      </c>
      <c r="D591" s="1" t="str">
        <f t="shared" si="19"/>
        <v>5/01/2019</v>
      </c>
      <c r="E591" t="s">
        <v>55</v>
      </c>
      <c r="F591" t="s">
        <v>53</v>
      </c>
      <c r="G591" t="s">
        <v>49</v>
      </c>
      <c r="H591" s="2">
        <v>23640</v>
      </c>
      <c r="I591" s="2">
        <v>22744</v>
      </c>
      <c r="J591">
        <v>277</v>
      </c>
      <c r="K591" s="2">
        <v>3481</v>
      </c>
      <c r="L591">
        <v>463</v>
      </c>
      <c r="M591" s="2">
        <v>1478</v>
      </c>
      <c r="N591">
        <v>550</v>
      </c>
      <c r="O591" s="2">
        <v>1340</v>
      </c>
      <c r="P591">
        <v>395</v>
      </c>
      <c r="Q591">
        <v>499</v>
      </c>
      <c r="R591">
        <v>246</v>
      </c>
      <c r="S591" s="2">
        <v>7463</v>
      </c>
      <c r="T591" s="2">
        <v>1339</v>
      </c>
      <c r="U591">
        <v>0</v>
      </c>
      <c r="V591">
        <v>0</v>
      </c>
      <c r="W591" s="1">
        <v>44160</v>
      </c>
    </row>
    <row r="592" spans="1:37" x14ac:dyDescent="0.3">
      <c r="A592">
        <v>2019</v>
      </c>
      <c r="B592">
        <v>5</v>
      </c>
      <c r="C592" t="str">
        <f t="shared" si="18"/>
        <v>5/01/2019</v>
      </c>
      <c r="D592" s="1" t="str">
        <f t="shared" si="19"/>
        <v>5/01/2019</v>
      </c>
      <c r="E592" t="s">
        <v>55</v>
      </c>
      <c r="F592" t="s">
        <v>54</v>
      </c>
      <c r="G592" t="s">
        <v>39</v>
      </c>
      <c r="H592">
        <v>60</v>
      </c>
      <c r="I592">
        <v>48</v>
      </c>
      <c r="J592">
        <v>0</v>
      </c>
      <c r="K592">
        <v>0</v>
      </c>
      <c r="L592">
        <v>0</v>
      </c>
      <c r="M592">
        <v>0</v>
      </c>
      <c r="O592">
        <v>0</v>
      </c>
      <c r="P592">
        <v>0</v>
      </c>
      <c r="Q592">
        <v>0</v>
      </c>
      <c r="S592">
        <v>0</v>
      </c>
      <c r="T592">
        <v>0</v>
      </c>
      <c r="U592">
        <v>0</v>
      </c>
      <c r="V592">
        <v>0</v>
      </c>
      <c r="W592" s="1">
        <v>44160</v>
      </c>
      <c r="AE592" t="s">
        <v>40</v>
      </c>
      <c r="AI592" t="s">
        <v>40</v>
      </c>
    </row>
    <row r="593" spans="1:37" x14ac:dyDescent="0.3">
      <c r="A593">
        <v>2019</v>
      </c>
      <c r="B593">
        <v>5</v>
      </c>
      <c r="C593" t="str">
        <f t="shared" si="18"/>
        <v>5/01/2019</v>
      </c>
      <c r="D593" s="1" t="str">
        <f t="shared" si="19"/>
        <v>5/01/2019</v>
      </c>
      <c r="E593" t="s">
        <v>55</v>
      </c>
      <c r="F593" t="s">
        <v>54</v>
      </c>
      <c r="G593" t="s">
        <v>41</v>
      </c>
      <c r="H593">
        <v>41</v>
      </c>
      <c r="J593">
        <v>0</v>
      </c>
      <c r="L593">
        <v>0</v>
      </c>
      <c r="M593">
        <v>0</v>
      </c>
      <c r="N593">
        <v>0</v>
      </c>
      <c r="P593">
        <v>0</v>
      </c>
      <c r="Q593">
        <v>0</v>
      </c>
      <c r="S593">
        <v>0</v>
      </c>
      <c r="T593">
        <v>0</v>
      </c>
      <c r="U593">
        <v>0</v>
      </c>
      <c r="V593">
        <v>0</v>
      </c>
      <c r="W593" s="1">
        <v>44160</v>
      </c>
      <c r="Z593" t="s">
        <v>40</v>
      </c>
      <c r="AB593" t="s">
        <v>40</v>
      </c>
      <c r="AF593" t="s">
        <v>40</v>
      </c>
      <c r="AI593" t="s">
        <v>40</v>
      </c>
    </row>
    <row r="594" spans="1:37" x14ac:dyDescent="0.3">
      <c r="A594">
        <v>2019</v>
      </c>
      <c r="B594">
        <v>5</v>
      </c>
      <c r="C594" t="str">
        <f t="shared" si="18"/>
        <v>5/01/2019</v>
      </c>
      <c r="D594" s="1" t="str">
        <f t="shared" si="19"/>
        <v>5/01/2019</v>
      </c>
      <c r="E594" t="s">
        <v>55</v>
      </c>
      <c r="F594" t="s">
        <v>54</v>
      </c>
      <c r="G594" t="s">
        <v>42</v>
      </c>
      <c r="H594">
        <v>69</v>
      </c>
      <c r="I594">
        <v>24</v>
      </c>
      <c r="J594">
        <v>0</v>
      </c>
      <c r="M594">
        <v>0</v>
      </c>
      <c r="O594">
        <v>0</v>
      </c>
      <c r="Q594">
        <v>0</v>
      </c>
      <c r="T594">
        <v>0</v>
      </c>
      <c r="U594">
        <v>0</v>
      </c>
      <c r="V594">
        <v>0</v>
      </c>
      <c r="W594" s="1">
        <v>44160</v>
      </c>
      <c r="AB594" t="s">
        <v>40</v>
      </c>
      <c r="AC594" t="s">
        <v>40</v>
      </c>
      <c r="AE594" t="s">
        <v>40</v>
      </c>
      <c r="AG594" t="s">
        <v>40</v>
      </c>
      <c r="AI594" t="s">
        <v>40</v>
      </c>
      <c r="AJ594" t="s">
        <v>40</v>
      </c>
    </row>
    <row r="595" spans="1:37" x14ac:dyDescent="0.3">
      <c r="A595">
        <v>2019</v>
      </c>
      <c r="B595">
        <v>5</v>
      </c>
      <c r="C595" t="str">
        <f t="shared" si="18"/>
        <v>5/01/2019</v>
      </c>
      <c r="D595" s="1" t="str">
        <f t="shared" si="19"/>
        <v>5/01/2019</v>
      </c>
      <c r="E595" t="s">
        <v>55</v>
      </c>
      <c r="F595" t="s">
        <v>54</v>
      </c>
      <c r="G595" t="s">
        <v>43</v>
      </c>
      <c r="H595">
        <v>77</v>
      </c>
      <c r="I595">
        <v>41</v>
      </c>
      <c r="J595">
        <v>0</v>
      </c>
      <c r="K595">
        <v>11</v>
      </c>
      <c r="L595">
        <v>0</v>
      </c>
      <c r="M595">
        <v>0</v>
      </c>
      <c r="N595">
        <v>0</v>
      </c>
      <c r="P595">
        <v>0</v>
      </c>
      <c r="Q595">
        <v>0</v>
      </c>
      <c r="S595">
        <v>12</v>
      </c>
      <c r="U595">
        <v>0</v>
      </c>
      <c r="V595">
        <v>0</v>
      </c>
      <c r="W595" s="1">
        <v>44160</v>
      </c>
      <c r="AF595" t="s">
        <v>40</v>
      </c>
      <c r="AI595" t="s">
        <v>40</v>
      </c>
      <c r="AK595" t="s">
        <v>40</v>
      </c>
    </row>
    <row r="596" spans="1:37" x14ac:dyDescent="0.3">
      <c r="A596">
        <v>2019</v>
      </c>
      <c r="B596">
        <v>5</v>
      </c>
      <c r="C596" t="str">
        <f t="shared" si="18"/>
        <v>5/01/2019</v>
      </c>
      <c r="D596" s="1" t="str">
        <f t="shared" si="19"/>
        <v>5/01/2019</v>
      </c>
      <c r="E596" t="s">
        <v>55</v>
      </c>
      <c r="F596" t="s">
        <v>54</v>
      </c>
      <c r="G596" t="s">
        <v>44</v>
      </c>
      <c r="H596">
        <v>125</v>
      </c>
      <c r="I596">
        <v>97</v>
      </c>
      <c r="K596">
        <v>17</v>
      </c>
      <c r="M596">
        <v>0</v>
      </c>
      <c r="N596">
        <v>0</v>
      </c>
      <c r="S596">
        <v>31</v>
      </c>
      <c r="U596">
        <v>0</v>
      </c>
      <c r="V596">
        <v>0</v>
      </c>
      <c r="W596" s="1">
        <v>44160</v>
      </c>
      <c r="AA596" t="s">
        <v>40</v>
      </c>
      <c r="AC596" t="s">
        <v>40</v>
      </c>
      <c r="AF596" t="s">
        <v>40</v>
      </c>
      <c r="AG596" t="s">
        <v>40</v>
      </c>
      <c r="AH596" t="s">
        <v>40</v>
      </c>
      <c r="AI596" t="s">
        <v>40</v>
      </c>
      <c r="AK596" t="s">
        <v>40</v>
      </c>
    </row>
    <row r="597" spans="1:37" x14ac:dyDescent="0.3">
      <c r="A597">
        <v>2019</v>
      </c>
      <c r="B597">
        <v>5</v>
      </c>
      <c r="C597" t="str">
        <f t="shared" si="18"/>
        <v>5/01/2019</v>
      </c>
      <c r="D597" s="1" t="str">
        <f t="shared" si="19"/>
        <v>5/01/2019</v>
      </c>
      <c r="E597" t="s">
        <v>55</v>
      </c>
      <c r="F597" t="s">
        <v>54</v>
      </c>
      <c r="G597" t="s">
        <v>45</v>
      </c>
      <c r="H597">
        <v>12</v>
      </c>
      <c r="J597">
        <v>0</v>
      </c>
      <c r="L597">
        <v>0</v>
      </c>
      <c r="M597">
        <v>0</v>
      </c>
      <c r="N597">
        <v>0</v>
      </c>
      <c r="P597">
        <v>0</v>
      </c>
      <c r="Q597">
        <v>0</v>
      </c>
      <c r="R597">
        <v>0</v>
      </c>
      <c r="T597">
        <v>0</v>
      </c>
      <c r="U597">
        <v>0</v>
      </c>
      <c r="V597">
        <v>0</v>
      </c>
      <c r="W597" s="1">
        <v>44160</v>
      </c>
      <c r="Z597" t="s">
        <v>40</v>
      </c>
      <c r="AB597" t="s">
        <v>40</v>
      </c>
      <c r="AF597" t="s">
        <v>40</v>
      </c>
      <c r="AJ597" t="s">
        <v>40</v>
      </c>
    </row>
    <row r="598" spans="1:37" x14ac:dyDescent="0.3">
      <c r="A598">
        <v>2019</v>
      </c>
      <c r="B598">
        <v>5</v>
      </c>
      <c r="C598" t="str">
        <f t="shared" si="18"/>
        <v>5/01/2019</v>
      </c>
      <c r="D598" s="1" t="str">
        <f t="shared" si="19"/>
        <v>5/01/2019</v>
      </c>
      <c r="E598" t="s">
        <v>55</v>
      </c>
      <c r="F598" t="s">
        <v>54</v>
      </c>
      <c r="G598" t="s">
        <v>46</v>
      </c>
      <c r="H598">
        <v>235</v>
      </c>
      <c r="I598">
        <v>209</v>
      </c>
      <c r="K598">
        <v>49</v>
      </c>
      <c r="M598">
        <v>0</v>
      </c>
      <c r="O598">
        <v>15</v>
      </c>
      <c r="S598">
        <v>65</v>
      </c>
      <c r="U598">
        <v>0</v>
      </c>
      <c r="V598">
        <v>0</v>
      </c>
      <c r="W598" s="1">
        <v>44160</v>
      </c>
      <c r="AA598" t="s">
        <v>40</v>
      </c>
      <c r="AC598" t="s">
        <v>40</v>
      </c>
      <c r="AE598" t="s">
        <v>40</v>
      </c>
      <c r="AG598" t="s">
        <v>40</v>
      </c>
      <c r="AH598" t="s">
        <v>40</v>
      </c>
      <c r="AI598" t="s">
        <v>40</v>
      </c>
      <c r="AK598" t="s">
        <v>40</v>
      </c>
    </row>
    <row r="599" spans="1:37" x14ac:dyDescent="0.3">
      <c r="A599">
        <v>2019</v>
      </c>
      <c r="B599">
        <v>5</v>
      </c>
      <c r="C599" t="str">
        <f t="shared" si="18"/>
        <v>5/01/2019</v>
      </c>
      <c r="D599" s="1" t="str">
        <f t="shared" si="19"/>
        <v>5/01/2019</v>
      </c>
      <c r="E599" t="s">
        <v>55</v>
      </c>
      <c r="F599" t="s">
        <v>54</v>
      </c>
      <c r="G599" t="s">
        <v>47</v>
      </c>
      <c r="H599">
        <v>255</v>
      </c>
      <c r="I599">
        <v>241</v>
      </c>
      <c r="K599">
        <v>61</v>
      </c>
      <c r="L599">
        <v>13</v>
      </c>
      <c r="O599">
        <v>14</v>
      </c>
      <c r="S599">
        <v>87</v>
      </c>
      <c r="U599">
        <v>0</v>
      </c>
      <c r="V599">
        <v>0</v>
      </c>
      <c r="W599" s="1">
        <v>44160</v>
      </c>
      <c r="AA599" t="s">
        <v>40</v>
      </c>
      <c r="AD599" t="s">
        <v>40</v>
      </c>
      <c r="AE599" t="s">
        <v>40</v>
      </c>
      <c r="AG599" t="s">
        <v>40</v>
      </c>
      <c r="AH599" t="s">
        <v>40</v>
      </c>
      <c r="AI599" t="s">
        <v>40</v>
      </c>
      <c r="AK599" t="s">
        <v>40</v>
      </c>
    </row>
    <row r="600" spans="1:37" x14ac:dyDescent="0.3">
      <c r="A600">
        <v>2019</v>
      </c>
      <c r="B600">
        <v>5</v>
      </c>
      <c r="C600" t="str">
        <f t="shared" si="18"/>
        <v>5/01/2019</v>
      </c>
      <c r="D600" s="1" t="str">
        <f t="shared" si="19"/>
        <v>5/01/2019</v>
      </c>
      <c r="E600" t="s">
        <v>55</v>
      </c>
      <c r="F600" t="s">
        <v>54</v>
      </c>
      <c r="G600" t="s">
        <v>48</v>
      </c>
      <c r="H600">
        <v>219</v>
      </c>
      <c r="I600">
        <v>214</v>
      </c>
      <c r="K600">
        <v>49</v>
      </c>
      <c r="L600">
        <v>14</v>
      </c>
      <c r="O600">
        <v>15</v>
      </c>
      <c r="S600">
        <v>60</v>
      </c>
      <c r="T600">
        <v>12</v>
      </c>
      <c r="U600">
        <v>0</v>
      </c>
      <c r="V600">
        <v>0</v>
      </c>
      <c r="W600" s="1">
        <v>44160</v>
      </c>
      <c r="AA600" t="s">
        <v>40</v>
      </c>
      <c r="AD600" t="s">
        <v>40</v>
      </c>
      <c r="AE600" t="s">
        <v>40</v>
      </c>
      <c r="AG600" t="s">
        <v>40</v>
      </c>
      <c r="AH600" t="s">
        <v>40</v>
      </c>
      <c r="AI600" t="s">
        <v>40</v>
      </c>
    </row>
    <row r="601" spans="1:37" x14ac:dyDescent="0.3">
      <c r="A601">
        <v>2019</v>
      </c>
      <c r="B601">
        <v>5</v>
      </c>
      <c r="C601" t="str">
        <f t="shared" si="18"/>
        <v>5/01/2019</v>
      </c>
      <c r="D601" s="1" t="str">
        <f t="shared" si="19"/>
        <v>5/01/2019</v>
      </c>
      <c r="E601" t="s">
        <v>55</v>
      </c>
      <c r="F601" t="s">
        <v>54</v>
      </c>
      <c r="G601" t="s">
        <v>49</v>
      </c>
      <c r="H601">
        <v>118</v>
      </c>
      <c r="I601">
        <v>115</v>
      </c>
      <c r="K601">
        <v>16</v>
      </c>
      <c r="R601">
        <v>0</v>
      </c>
      <c r="S601">
        <v>40</v>
      </c>
      <c r="U601">
        <v>0</v>
      </c>
      <c r="V601">
        <v>0</v>
      </c>
      <c r="W601" s="1">
        <v>44160</v>
      </c>
      <c r="AA601" t="s">
        <v>40</v>
      </c>
      <c r="AC601" t="s">
        <v>40</v>
      </c>
      <c r="AD601" t="s">
        <v>40</v>
      </c>
      <c r="AE601" t="s">
        <v>40</v>
      </c>
      <c r="AF601" t="s">
        <v>40</v>
      </c>
      <c r="AG601" t="s">
        <v>40</v>
      </c>
      <c r="AH601" t="s">
        <v>40</v>
      </c>
      <c r="AK601" t="s">
        <v>40</v>
      </c>
    </row>
    <row r="602" spans="1:37" x14ac:dyDescent="0.3">
      <c r="A602">
        <v>2019</v>
      </c>
      <c r="B602">
        <v>6</v>
      </c>
      <c r="C602" t="str">
        <f t="shared" si="18"/>
        <v>6/01/2019</v>
      </c>
      <c r="D602" s="1" t="str">
        <f t="shared" si="19"/>
        <v>6/01/2019</v>
      </c>
      <c r="E602" t="s">
        <v>37</v>
      </c>
      <c r="F602" t="s">
        <v>38</v>
      </c>
      <c r="G602" t="s">
        <v>39</v>
      </c>
      <c r="H602">
        <v>200</v>
      </c>
      <c r="I602">
        <v>171</v>
      </c>
      <c r="J602">
        <v>0</v>
      </c>
      <c r="L602">
        <v>0</v>
      </c>
      <c r="M602">
        <v>0</v>
      </c>
      <c r="N602">
        <v>0</v>
      </c>
      <c r="O602">
        <v>0</v>
      </c>
      <c r="Q602">
        <v>0</v>
      </c>
      <c r="R602">
        <v>17</v>
      </c>
      <c r="U602">
        <v>0</v>
      </c>
      <c r="V602">
        <v>0</v>
      </c>
      <c r="W602" s="1">
        <v>44160</v>
      </c>
      <c r="AB602" t="s">
        <v>40</v>
      </c>
      <c r="AG602" t="s">
        <v>40</v>
      </c>
      <c r="AJ602" t="s">
        <v>40</v>
      </c>
      <c r="AK602" t="s">
        <v>40</v>
      </c>
    </row>
    <row r="603" spans="1:37" x14ac:dyDescent="0.3">
      <c r="A603">
        <v>2019</v>
      </c>
      <c r="B603">
        <v>6</v>
      </c>
      <c r="C603" t="str">
        <f t="shared" si="18"/>
        <v>6/01/2019</v>
      </c>
      <c r="D603" s="1" t="str">
        <f t="shared" si="19"/>
        <v>6/01/2019</v>
      </c>
      <c r="E603" t="s">
        <v>37</v>
      </c>
      <c r="F603" t="s">
        <v>38</v>
      </c>
      <c r="G603" t="s">
        <v>41</v>
      </c>
      <c r="H603">
        <v>136</v>
      </c>
      <c r="I603">
        <v>57</v>
      </c>
      <c r="J603">
        <v>0</v>
      </c>
      <c r="K603">
        <v>12</v>
      </c>
      <c r="M603">
        <v>0</v>
      </c>
      <c r="U603">
        <v>0</v>
      </c>
      <c r="V603">
        <v>0</v>
      </c>
      <c r="W603" s="1">
        <v>44160</v>
      </c>
      <c r="AC603" t="s">
        <v>40</v>
      </c>
      <c r="AE603" t="s">
        <v>40</v>
      </c>
      <c r="AF603" t="s">
        <v>40</v>
      </c>
      <c r="AG603" t="s">
        <v>40</v>
      </c>
      <c r="AH603" t="s">
        <v>40</v>
      </c>
      <c r="AI603" t="s">
        <v>40</v>
      </c>
      <c r="AJ603" t="s">
        <v>40</v>
      </c>
      <c r="AK603" t="s">
        <v>40</v>
      </c>
    </row>
    <row r="604" spans="1:37" x14ac:dyDescent="0.3">
      <c r="A604">
        <v>2019</v>
      </c>
      <c r="B604">
        <v>6</v>
      </c>
      <c r="C604" t="str">
        <f t="shared" si="18"/>
        <v>6/01/2019</v>
      </c>
      <c r="D604" s="1" t="str">
        <f t="shared" si="19"/>
        <v>6/01/2019</v>
      </c>
      <c r="E604" t="s">
        <v>37</v>
      </c>
      <c r="F604" t="s">
        <v>38</v>
      </c>
      <c r="G604" t="s">
        <v>42</v>
      </c>
      <c r="H604">
        <v>188</v>
      </c>
      <c r="I604">
        <v>96</v>
      </c>
      <c r="J604">
        <v>0</v>
      </c>
      <c r="K604">
        <v>33</v>
      </c>
      <c r="M604">
        <v>0</v>
      </c>
      <c r="N604">
        <v>0</v>
      </c>
      <c r="U604">
        <v>0</v>
      </c>
      <c r="V604">
        <v>0</v>
      </c>
      <c r="W604" s="1">
        <v>44160</v>
      </c>
      <c r="AC604" t="s">
        <v>40</v>
      </c>
      <c r="AF604" t="s">
        <v>40</v>
      </c>
      <c r="AG604" t="s">
        <v>40</v>
      </c>
      <c r="AH604" t="s">
        <v>40</v>
      </c>
      <c r="AI604" t="s">
        <v>40</v>
      </c>
      <c r="AJ604" t="s">
        <v>40</v>
      </c>
      <c r="AK604" t="s">
        <v>40</v>
      </c>
    </row>
    <row r="605" spans="1:37" x14ac:dyDescent="0.3">
      <c r="A605">
        <v>2019</v>
      </c>
      <c r="B605">
        <v>6</v>
      </c>
      <c r="C605" t="str">
        <f t="shared" si="18"/>
        <v>6/01/2019</v>
      </c>
      <c r="D605" s="1" t="str">
        <f t="shared" si="19"/>
        <v>6/01/2019</v>
      </c>
      <c r="E605" t="s">
        <v>37</v>
      </c>
      <c r="F605" t="s">
        <v>38</v>
      </c>
      <c r="G605" t="s">
        <v>43</v>
      </c>
      <c r="H605">
        <v>318</v>
      </c>
      <c r="I605">
        <v>244</v>
      </c>
      <c r="K605">
        <v>100</v>
      </c>
      <c r="L605">
        <v>10</v>
      </c>
      <c r="M605">
        <v>0</v>
      </c>
      <c r="N605">
        <v>0</v>
      </c>
      <c r="R605">
        <v>0</v>
      </c>
      <c r="S605">
        <v>34</v>
      </c>
      <c r="T605">
        <v>14</v>
      </c>
      <c r="U605">
        <v>0</v>
      </c>
      <c r="V605">
        <v>0</v>
      </c>
      <c r="W605" s="1">
        <v>44160</v>
      </c>
      <c r="AA605" t="s">
        <v>40</v>
      </c>
      <c r="AF605" t="s">
        <v>40</v>
      </c>
      <c r="AG605" t="s">
        <v>40</v>
      </c>
      <c r="AH605" t="s">
        <v>40</v>
      </c>
    </row>
    <row r="606" spans="1:37" x14ac:dyDescent="0.3">
      <c r="A606">
        <v>2019</v>
      </c>
      <c r="B606">
        <v>6</v>
      </c>
      <c r="C606" t="str">
        <f t="shared" si="18"/>
        <v>6/01/2019</v>
      </c>
      <c r="D606" s="1" t="str">
        <f t="shared" si="19"/>
        <v>6/01/2019</v>
      </c>
      <c r="E606" t="s">
        <v>37</v>
      </c>
      <c r="F606" t="s">
        <v>38</v>
      </c>
      <c r="G606" t="s">
        <v>44</v>
      </c>
      <c r="H606">
        <v>519</v>
      </c>
      <c r="I606">
        <v>464</v>
      </c>
      <c r="K606">
        <v>193</v>
      </c>
      <c r="L606">
        <v>22</v>
      </c>
      <c r="M606">
        <v>0</v>
      </c>
      <c r="S606">
        <v>55</v>
      </c>
      <c r="T606">
        <v>29</v>
      </c>
      <c r="U606">
        <v>0</v>
      </c>
      <c r="V606">
        <v>0</v>
      </c>
      <c r="W606" s="1">
        <v>44160</v>
      </c>
      <c r="AA606" t="s">
        <v>40</v>
      </c>
      <c r="AE606" t="s">
        <v>40</v>
      </c>
      <c r="AF606" t="s">
        <v>40</v>
      </c>
      <c r="AG606" t="s">
        <v>40</v>
      </c>
      <c r="AH606" t="s">
        <v>40</v>
      </c>
      <c r="AI606" t="s">
        <v>40</v>
      </c>
    </row>
    <row r="607" spans="1:37" x14ac:dyDescent="0.3">
      <c r="A607">
        <v>2019</v>
      </c>
      <c r="B607">
        <v>6</v>
      </c>
      <c r="C607" t="str">
        <f t="shared" si="18"/>
        <v>6/01/2019</v>
      </c>
      <c r="D607" s="1" t="str">
        <f t="shared" si="19"/>
        <v>6/01/2019</v>
      </c>
      <c r="E607" t="s">
        <v>37</v>
      </c>
      <c r="F607" t="s">
        <v>38</v>
      </c>
      <c r="G607" t="s">
        <v>45</v>
      </c>
      <c r="H607">
        <v>52</v>
      </c>
      <c r="I607">
        <v>27</v>
      </c>
      <c r="J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T607">
        <v>0</v>
      </c>
      <c r="U607">
        <v>0</v>
      </c>
      <c r="V607">
        <v>0</v>
      </c>
      <c r="W607" s="1">
        <v>44160</v>
      </c>
      <c r="AB607" t="s">
        <v>40</v>
      </c>
      <c r="AH607" t="s">
        <v>40</v>
      </c>
      <c r="AI607" t="s">
        <v>40</v>
      </c>
      <c r="AJ607" t="s">
        <v>40</v>
      </c>
    </row>
    <row r="608" spans="1:37" x14ac:dyDescent="0.3">
      <c r="A608">
        <v>2019</v>
      </c>
      <c r="B608">
        <v>6</v>
      </c>
      <c r="C608" t="str">
        <f t="shared" si="18"/>
        <v>6/01/2019</v>
      </c>
      <c r="D608" s="1" t="str">
        <f t="shared" si="19"/>
        <v>6/01/2019</v>
      </c>
      <c r="E608" t="s">
        <v>37</v>
      </c>
      <c r="F608" t="s">
        <v>38</v>
      </c>
      <c r="G608" t="s">
        <v>46</v>
      </c>
      <c r="H608">
        <v>902</v>
      </c>
      <c r="I608">
        <v>843</v>
      </c>
      <c r="J608">
        <v>14</v>
      </c>
      <c r="K608">
        <v>340</v>
      </c>
      <c r="L608">
        <v>55</v>
      </c>
      <c r="N608">
        <v>10</v>
      </c>
      <c r="O608">
        <v>15</v>
      </c>
      <c r="P608">
        <v>10</v>
      </c>
      <c r="Q608">
        <v>22</v>
      </c>
      <c r="S608">
        <v>132</v>
      </c>
      <c r="T608">
        <v>31</v>
      </c>
      <c r="U608">
        <v>0</v>
      </c>
      <c r="V608">
        <v>0</v>
      </c>
      <c r="W608" s="1">
        <v>44160</v>
      </c>
      <c r="AD608" t="s">
        <v>40</v>
      </c>
      <c r="AI608" t="s">
        <v>40</v>
      </c>
    </row>
    <row r="609" spans="1:37" x14ac:dyDescent="0.3">
      <c r="A609">
        <v>2019</v>
      </c>
      <c r="B609">
        <v>6</v>
      </c>
      <c r="C609" t="str">
        <f t="shared" si="18"/>
        <v>6/01/2019</v>
      </c>
      <c r="D609" s="1" t="str">
        <f t="shared" si="19"/>
        <v>6/01/2019</v>
      </c>
      <c r="E609" t="s">
        <v>37</v>
      </c>
      <c r="F609" t="s">
        <v>38</v>
      </c>
      <c r="G609" t="s">
        <v>47</v>
      </c>
      <c r="H609" s="2">
        <v>1259</v>
      </c>
      <c r="I609" s="2">
        <v>1217</v>
      </c>
      <c r="J609">
        <v>16</v>
      </c>
      <c r="K609">
        <v>395</v>
      </c>
      <c r="L609">
        <v>94</v>
      </c>
      <c r="M609">
        <v>26</v>
      </c>
      <c r="N609">
        <v>15</v>
      </c>
      <c r="O609">
        <v>31</v>
      </c>
      <c r="P609">
        <v>28</v>
      </c>
      <c r="Q609">
        <v>36</v>
      </c>
      <c r="S609">
        <v>254</v>
      </c>
      <c r="T609">
        <v>55</v>
      </c>
      <c r="U609">
        <v>0</v>
      </c>
      <c r="V609">
        <v>0</v>
      </c>
      <c r="W609" s="1">
        <v>44160</v>
      </c>
      <c r="AI609" t="s">
        <v>40</v>
      </c>
    </row>
    <row r="610" spans="1:37" x14ac:dyDescent="0.3">
      <c r="A610">
        <v>2019</v>
      </c>
      <c r="B610">
        <v>6</v>
      </c>
      <c r="C610" t="str">
        <f t="shared" si="18"/>
        <v>6/01/2019</v>
      </c>
      <c r="D610" s="1" t="str">
        <f t="shared" si="19"/>
        <v>6/01/2019</v>
      </c>
      <c r="E610" t="s">
        <v>37</v>
      </c>
      <c r="F610" t="s">
        <v>38</v>
      </c>
      <c r="G610" t="s">
        <v>48</v>
      </c>
      <c r="H610" s="2">
        <v>1676</v>
      </c>
      <c r="I610" s="2">
        <v>1642</v>
      </c>
      <c r="J610">
        <v>20</v>
      </c>
      <c r="K610">
        <v>365</v>
      </c>
      <c r="L610">
        <v>102</v>
      </c>
      <c r="M610">
        <v>110</v>
      </c>
      <c r="N610">
        <v>30</v>
      </c>
      <c r="O610">
        <v>63</v>
      </c>
      <c r="P610">
        <v>37</v>
      </c>
      <c r="Q610">
        <v>53</v>
      </c>
      <c r="R610">
        <v>14</v>
      </c>
      <c r="S610">
        <v>376</v>
      </c>
      <c r="T610">
        <v>131</v>
      </c>
      <c r="U610">
        <v>0</v>
      </c>
      <c r="V610">
        <v>0</v>
      </c>
      <c r="W610" s="1">
        <v>44160</v>
      </c>
    </row>
    <row r="611" spans="1:37" x14ac:dyDescent="0.3">
      <c r="A611">
        <v>2019</v>
      </c>
      <c r="B611">
        <v>6</v>
      </c>
      <c r="C611" t="str">
        <f t="shared" si="18"/>
        <v>6/01/2019</v>
      </c>
      <c r="D611" s="1" t="str">
        <f t="shared" si="19"/>
        <v>6/01/2019</v>
      </c>
      <c r="E611" t="s">
        <v>37</v>
      </c>
      <c r="F611" t="s">
        <v>38</v>
      </c>
      <c r="G611" t="s">
        <v>49</v>
      </c>
      <c r="H611" s="2">
        <v>2303</v>
      </c>
      <c r="I611" s="2">
        <v>2247</v>
      </c>
      <c r="J611">
        <v>25</v>
      </c>
      <c r="K611">
        <v>266</v>
      </c>
      <c r="L611">
        <v>78</v>
      </c>
      <c r="M611">
        <v>300</v>
      </c>
      <c r="N611">
        <v>50</v>
      </c>
      <c r="O611">
        <v>86</v>
      </c>
      <c r="P611">
        <v>51</v>
      </c>
      <c r="Q611">
        <v>45</v>
      </c>
      <c r="R611">
        <v>16</v>
      </c>
      <c r="S611">
        <v>604</v>
      </c>
      <c r="T611">
        <v>222</v>
      </c>
      <c r="U611">
        <v>0</v>
      </c>
      <c r="V611">
        <v>0</v>
      </c>
      <c r="W611" s="1">
        <v>44160</v>
      </c>
    </row>
    <row r="612" spans="1:37" x14ac:dyDescent="0.3">
      <c r="A612">
        <v>2019</v>
      </c>
      <c r="B612">
        <v>6</v>
      </c>
      <c r="C612" t="str">
        <f t="shared" si="18"/>
        <v>6/01/2019</v>
      </c>
      <c r="D612" s="1" t="str">
        <f t="shared" si="19"/>
        <v>6/01/2019</v>
      </c>
      <c r="E612" t="s">
        <v>37</v>
      </c>
      <c r="F612" t="s">
        <v>50</v>
      </c>
      <c r="G612" t="s">
        <v>39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S612">
        <v>0</v>
      </c>
      <c r="T612">
        <v>0</v>
      </c>
      <c r="U612">
        <v>0</v>
      </c>
      <c r="V612">
        <v>0</v>
      </c>
      <c r="W612" s="1">
        <v>44160</v>
      </c>
      <c r="Y612" t="s">
        <v>40</v>
      </c>
      <c r="Z612" t="s">
        <v>40</v>
      </c>
      <c r="AI612" t="s">
        <v>40</v>
      </c>
    </row>
    <row r="613" spans="1:37" x14ac:dyDescent="0.3">
      <c r="A613">
        <v>2019</v>
      </c>
      <c r="B613">
        <v>6</v>
      </c>
      <c r="C613" t="str">
        <f t="shared" si="18"/>
        <v>6/01/2019</v>
      </c>
      <c r="D613" s="1" t="str">
        <f t="shared" si="19"/>
        <v>6/01/2019</v>
      </c>
      <c r="E613" t="s">
        <v>37</v>
      </c>
      <c r="F613" t="s">
        <v>50</v>
      </c>
      <c r="G613" t="s">
        <v>41</v>
      </c>
      <c r="H613">
        <v>24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T613">
        <v>0</v>
      </c>
      <c r="U613">
        <v>0</v>
      </c>
      <c r="V613">
        <v>0</v>
      </c>
      <c r="W613" s="1">
        <v>44160</v>
      </c>
      <c r="Z613" t="s">
        <v>40</v>
      </c>
      <c r="AI613" t="s">
        <v>40</v>
      </c>
      <c r="AJ613" t="s">
        <v>40</v>
      </c>
    </row>
    <row r="614" spans="1:37" x14ac:dyDescent="0.3">
      <c r="A614">
        <v>2019</v>
      </c>
      <c r="B614">
        <v>6</v>
      </c>
      <c r="C614" t="str">
        <f t="shared" si="18"/>
        <v>6/01/2019</v>
      </c>
      <c r="D614" s="1" t="str">
        <f t="shared" si="19"/>
        <v>6/01/2019</v>
      </c>
      <c r="E614" t="s">
        <v>37</v>
      </c>
      <c r="F614" t="s">
        <v>50</v>
      </c>
      <c r="G614" t="s">
        <v>42</v>
      </c>
      <c r="H614">
        <v>32</v>
      </c>
      <c r="I614">
        <v>11</v>
      </c>
      <c r="J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T614">
        <v>0</v>
      </c>
      <c r="U614">
        <v>0</v>
      </c>
      <c r="V614">
        <v>0</v>
      </c>
      <c r="W614" s="1">
        <v>44160</v>
      </c>
      <c r="AB614" t="s">
        <v>40</v>
      </c>
      <c r="AI614" t="s">
        <v>40</v>
      </c>
      <c r="AJ614" t="s">
        <v>40</v>
      </c>
    </row>
    <row r="615" spans="1:37" x14ac:dyDescent="0.3">
      <c r="A615">
        <v>2019</v>
      </c>
      <c r="B615">
        <v>6</v>
      </c>
      <c r="C615" t="str">
        <f t="shared" si="18"/>
        <v>6/01/2019</v>
      </c>
      <c r="D615" s="1" t="str">
        <f t="shared" si="19"/>
        <v>6/01/2019</v>
      </c>
      <c r="E615" t="s">
        <v>37</v>
      </c>
      <c r="F615" t="s">
        <v>50</v>
      </c>
      <c r="G615" t="s">
        <v>43</v>
      </c>
      <c r="H615">
        <v>44</v>
      </c>
      <c r="I615">
        <v>27</v>
      </c>
      <c r="M615">
        <v>0</v>
      </c>
      <c r="N615">
        <v>0</v>
      </c>
      <c r="O615">
        <v>0</v>
      </c>
      <c r="P615">
        <v>0</v>
      </c>
      <c r="Q615">
        <v>0</v>
      </c>
      <c r="T615">
        <v>0</v>
      </c>
      <c r="U615">
        <v>0</v>
      </c>
      <c r="V615">
        <v>0</v>
      </c>
      <c r="W615" s="1">
        <v>44160</v>
      </c>
      <c r="AA615" t="s">
        <v>40</v>
      </c>
      <c r="AB615" t="s">
        <v>40</v>
      </c>
      <c r="AC615" t="s">
        <v>40</v>
      </c>
      <c r="AI615" t="s">
        <v>40</v>
      </c>
      <c r="AJ615" t="s">
        <v>40</v>
      </c>
    </row>
    <row r="616" spans="1:37" x14ac:dyDescent="0.3">
      <c r="A616">
        <v>2019</v>
      </c>
      <c r="B616">
        <v>6</v>
      </c>
      <c r="C616" t="str">
        <f t="shared" si="18"/>
        <v>6/01/2019</v>
      </c>
      <c r="D616" s="1" t="str">
        <f t="shared" si="19"/>
        <v>6/01/2019</v>
      </c>
      <c r="E616" t="s">
        <v>37</v>
      </c>
      <c r="F616" t="s">
        <v>50</v>
      </c>
      <c r="G616" t="s">
        <v>44</v>
      </c>
      <c r="H616">
        <v>60</v>
      </c>
      <c r="I616">
        <v>49</v>
      </c>
      <c r="K616">
        <v>16</v>
      </c>
      <c r="M616">
        <v>0</v>
      </c>
      <c r="N616">
        <v>0</v>
      </c>
      <c r="P616">
        <v>0</v>
      </c>
      <c r="Q616">
        <v>0</v>
      </c>
      <c r="R616">
        <v>0</v>
      </c>
      <c r="U616">
        <v>0</v>
      </c>
      <c r="V616">
        <v>0</v>
      </c>
      <c r="W616" s="1">
        <v>44160</v>
      </c>
      <c r="AA616" t="s">
        <v>40</v>
      </c>
      <c r="AC616" t="s">
        <v>40</v>
      </c>
      <c r="AF616" t="s">
        <v>40</v>
      </c>
      <c r="AJ616" t="s">
        <v>40</v>
      </c>
      <c r="AK616" t="s">
        <v>40</v>
      </c>
    </row>
    <row r="617" spans="1:37" x14ac:dyDescent="0.3">
      <c r="A617">
        <v>2019</v>
      </c>
      <c r="B617">
        <v>6</v>
      </c>
      <c r="C617" t="str">
        <f t="shared" si="18"/>
        <v>6/01/2019</v>
      </c>
      <c r="D617" s="1" t="str">
        <f t="shared" si="19"/>
        <v>6/01/2019</v>
      </c>
      <c r="E617" t="s">
        <v>37</v>
      </c>
      <c r="F617" t="s">
        <v>50</v>
      </c>
      <c r="G617" t="s">
        <v>45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 s="1">
        <v>44160</v>
      </c>
      <c r="Y617" t="s">
        <v>40</v>
      </c>
      <c r="Z617" t="s">
        <v>40</v>
      </c>
    </row>
    <row r="618" spans="1:37" x14ac:dyDescent="0.3">
      <c r="A618">
        <v>2019</v>
      </c>
      <c r="B618">
        <v>6</v>
      </c>
      <c r="C618" t="str">
        <f t="shared" si="18"/>
        <v>6/01/2019</v>
      </c>
      <c r="D618" s="1" t="str">
        <f t="shared" si="19"/>
        <v>6/01/2019</v>
      </c>
      <c r="E618" t="s">
        <v>37</v>
      </c>
      <c r="F618" t="s">
        <v>50</v>
      </c>
      <c r="G618" t="s">
        <v>46</v>
      </c>
      <c r="H618">
        <v>107</v>
      </c>
      <c r="I618">
        <v>98</v>
      </c>
      <c r="K618">
        <v>18</v>
      </c>
      <c r="M618">
        <v>0</v>
      </c>
      <c r="N618">
        <v>0</v>
      </c>
      <c r="S618">
        <v>24</v>
      </c>
      <c r="U618">
        <v>0</v>
      </c>
      <c r="V618">
        <v>0</v>
      </c>
      <c r="W618" s="1">
        <v>44160</v>
      </c>
      <c r="AA618" t="s">
        <v>40</v>
      </c>
      <c r="AC618" t="s">
        <v>40</v>
      </c>
      <c r="AF618" t="s">
        <v>40</v>
      </c>
      <c r="AG618" t="s">
        <v>40</v>
      </c>
      <c r="AH618" t="s">
        <v>40</v>
      </c>
      <c r="AI618" t="s">
        <v>40</v>
      </c>
      <c r="AK618" t="s">
        <v>40</v>
      </c>
    </row>
    <row r="619" spans="1:37" x14ac:dyDescent="0.3">
      <c r="A619">
        <v>2019</v>
      </c>
      <c r="B619">
        <v>6</v>
      </c>
      <c r="C619" t="str">
        <f t="shared" si="18"/>
        <v>6/01/2019</v>
      </c>
      <c r="D619" s="1" t="str">
        <f t="shared" si="19"/>
        <v>6/01/2019</v>
      </c>
      <c r="E619" t="s">
        <v>37</v>
      </c>
      <c r="F619" t="s">
        <v>50</v>
      </c>
      <c r="G619" t="s">
        <v>47</v>
      </c>
      <c r="H619">
        <v>121</v>
      </c>
      <c r="I619">
        <v>117</v>
      </c>
      <c r="K619">
        <v>31</v>
      </c>
      <c r="M619">
        <v>0</v>
      </c>
      <c r="O619">
        <v>10</v>
      </c>
      <c r="S619">
        <v>15</v>
      </c>
      <c r="U619">
        <v>0</v>
      </c>
      <c r="V619">
        <v>0</v>
      </c>
      <c r="W619" s="1">
        <v>44160</v>
      </c>
      <c r="AA619" t="s">
        <v>40</v>
      </c>
      <c r="AC619" t="s">
        <v>40</v>
      </c>
      <c r="AE619" t="s">
        <v>40</v>
      </c>
      <c r="AG619" t="s">
        <v>40</v>
      </c>
      <c r="AH619" t="s">
        <v>40</v>
      </c>
      <c r="AI619" t="s">
        <v>40</v>
      </c>
      <c r="AK619" t="s">
        <v>40</v>
      </c>
    </row>
    <row r="620" spans="1:37" x14ac:dyDescent="0.3">
      <c r="A620">
        <v>2019</v>
      </c>
      <c r="B620">
        <v>6</v>
      </c>
      <c r="C620" t="str">
        <f t="shared" si="18"/>
        <v>6/01/2019</v>
      </c>
      <c r="D620" s="1" t="str">
        <f t="shared" si="19"/>
        <v>6/01/2019</v>
      </c>
      <c r="E620" t="s">
        <v>37</v>
      </c>
      <c r="F620" t="s">
        <v>50</v>
      </c>
      <c r="G620" t="s">
        <v>48</v>
      </c>
      <c r="H620">
        <v>129</v>
      </c>
      <c r="I620">
        <v>126</v>
      </c>
      <c r="K620">
        <v>28</v>
      </c>
      <c r="S620">
        <v>23</v>
      </c>
      <c r="U620">
        <v>0</v>
      </c>
      <c r="V620">
        <v>0</v>
      </c>
      <c r="W620" s="1">
        <v>44160</v>
      </c>
      <c r="AA620" t="s">
        <v>40</v>
      </c>
      <c r="AC620" t="s">
        <v>40</v>
      </c>
      <c r="AD620" t="s">
        <v>40</v>
      </c>
      <c r="AE620" t="s">
        <v>40</v>
      </c>
      <c r="AF620" t="s">
        <v>40</v>
      </c>
      <c r="AG620" t="s">
        <v>40</v>
      </c>
      <c r="AH620" t="s">
        <v>40</v>
      </c>
      <c r="AI620" t="s">
        <v>40</v>
      </c>
      <c r="AK620" t="s">
        <v>40</v>
      </c>
    </row>
    <row r="621" spans="1:37" x14ac:dyDescent="0.3">
      <c r="A621">
        <v>2019</v>
      </c>
      <c r="B621">
        <v>6</v>
      </c>
      <c r="C621" t="str">
        <f t="shared" si="18"/>
        <v>6/01/2019</v>
      </c>
      <c r="D621" s="1" t="str">
        <f t="shared" si="19"/>
        <v>6/01/2019</v>
      </c>
      <c r="E621" t="s">
        <v>37</v>
      </c>
      <c r="F621" t="s">
        <v>50</v>
      </c>
      <c r="G621" t="s">
        <v>49</v>
      </c>
      <c r="H621">
        <v>108</v>
      </c>
      <c r="I621">
        <v>106</v>
      </c>
      <c r="S621">
        <v>33</v>
      </c>
      <c r="T621">
        <v>12</v>
      </c>
      <c r="U621">
        <v>0</v>
      </c>
      <c r="V621">
        <v>0</v>
      </c>
      <c r="W621" s="1">
        <v>44160</v>
      </c>
      <c r="AA621" t="s">
        <v>40</v>
      </c>
      <c r="AB621" t="s">
        <v>40</v>
      </c>
      <c r="AC621" t="s">
        <v>40</v>
      </c>
      <c r="AD621" t="s">
        <v>40</v>
      </c>
      <c r="AE621" t="s">
        <v>40</v>
      </c>
      <c r="AF621" t="s">
        <v>40</v>
      </c>
      <c r="AG621" t="s">
        <v>40</v>
      </c>
      <c r="AH621" t="s">
        <v>40</v>
      </c>
      <c r="AI621" t="s">
        <v>40</v>
      </c>
    </row>
    <row r="622" spans="1:37" x14ac:dyDescent="0.3">
      <c r="A622">
        <v>2019</v>
      </c>
      <c r="B622">
        <v>6</v>
      </c>
      <c r="C622" t="str">
        <f t="shared" si="18"/>
        <v>6/01/2019</v>
      </c>
      <c r="D622" s="1" t="str">
        <f t="shared" si="19"/>
        <v>6/01/2019</v>
      </c>
      <c r="E622" t="s">
        <v>37</v>
      </c>
      <c r="F622" t="s">
        <v>51</v>
      </c>
      <c r="G622" t="s">
        <v>39</v>
      </c>
      <c r="H622">
        <v>30</v>
      </c>
      <c r="I622">
        <v>27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T622">
        <v>0</v>
      </c>
      <c r="U622">
        <v>0</v>
      </c>
      <c r="V622">
        <v>0</v>
      </c>
      <c r="W622" s="1">
        <v>44160</v>
      </c>
      <c r="AA622" t="s">
        <v>40</v>
      </c>
      <c r="AI622" t="s">
        <v>40</v>
      </c>
      <c r="AJ622" t="s">
        <v>40</v>
      </c>
    </row>
    <row r="623" spans="1:37" x14ac:dyDescent="0.3">
      <c r="A623">
        <v>2019</v>
      </c>
      <c r="B623">
        <v>6</v>
      </c>
      <c r="C623" t="str">
        <f t="shared" si="18"/>
        <v>6/01/2019</v>
      </c>
      <c r="D623" s="1" t="str">
        <f t="shared" si="19"/>
        <v>6/01/2019</v>
      </c>
      <c r="E623" t="s">
        <v>37</v>
      </c>
      <c r="F623" t="s">
        <v>51</v>
      </c>
      <c r="G623" t="s">
        <v>41</v>
      </c>
      <c r="H623">
        <v>21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U623">
        <v>0</v>
      </c>
      <c r="V623">
        <v>0</v>
      </c>
      <c r="W623" s="1">
        <v>44160</v>
      </c>
      <c r="Z623" t="s">
        <v>40</v>
      </c>
      <c r="AA623" t="s">
        <v>40</v>
      </c>
      <c r="AB623" t="s">
        <v>40</v>
      </c>
      <c r="AK623" t="s">
        <v>40</v>
      </c>
    </row>
    <row r="624" spans="1:37" x14ac:dyDescent="0.3">
      <c r="A624">
        <v>2019</v>
      </c>
      <c r="B624">
        <v>6</v>
      </c>
      <c r="C624" t="str">
        <f t="shared" si="18"/>
        <v>6/01/2019</v>
      </c>
      <c r="D624" s="1" t="str">
        <f t="shared" si="19"/>
        <v>6/01/2019</v>
      </c>
      <c r="E624" t="s">
        <v>37</v>
      </c>
      <c r="F624" t="s">
        <v>51</v>
      </c>
      <c r="G624" t="s">
        <v>42</v>
      </c>
      <c r="H624">
        <v>38</v>
      </c>
      <c r="I624">
        <v>22</v>
      </c>
      <c r="J624">
        <v>0</v>
      </c>
      <c r="K624">
        <v>10</v>
      </c>
      <c r="L624">
        <v>0</v>
      </c>
      <c r="M624">
        <v>0</v>
      </c>
      <c r="N624">
        <v>0</v>
      </c>
      <c r="P624">
        <v>0</v>
      </c>
      <c r="Q624">
        <v>0</v>
      </c>
      <c r="R624">
        <v>0</v>
      </c>
      <c r="U624">
        <v>0</v>
      </c>
      <c r="V624">
        <v>0</v>
      </c>
      <c r="W624" s="1">
        <v>44160</v>
      </c>
      <c r="AF624" t="s">
        <v>40</v>
      </c>
      <c r="AJ624" t="s">
        <v>40</v>
      </c>
      <c r="AK624" t="s">
        <v>40</v>
      </c>
    </row>
    <row r="625" spans="1:37" x14ac:dyDescent="0.3">
      <c r="A625">
        <v>2019</v>
      </c>
      <c r="B625">
        <v>6</v>
      </c>
      <c r="C625" t="str">
        <f t="shared" si="18"/>
        <v>6/01/2019</v>
      </c>
      <c r="D625" s="1" t="str">
        <f t="shared" si="19"/>
        <v>6/01/2019</v>
      </c>
      <c r="E625" t="s">
        <v>37</v>
      </c>
      <c r="F625" t="s">
        <v>51</v>
      </c>
      <c r="G625" t="s">
        <v>43</v>
      </c>
      <c r="H625">
        <v>67</v>
      </c>
      <c r="I625">
        <v>54</v>
      </c>
      <c r="K625">
        <v>29</v>
      </c>
      <c r="M625">
        <v>0</v>
      </c>
      <c r="Q625">
        <v>0</v>
      </c>
      <c r="R625">
        <v>0</v>
      </c>
      <c r="U625">
        <v>0</v>
      </c>
      <c r="V625">
        <v>0</v>
      </c>
      <c r="W625" s="1">
        <v>44160</v>
      </c>
      <c r="AA625" t="s">
        <v>40</v>
      </c>
      <c r="AC625" t="s">
        <v>40</v>
      </c>
      <c r="AE625" t="s">
        <v>40</v>
      </c>
      <c r="AF625" t="s">
        <v>40</v>
      </c>
      <c r="AG625" t="s">
        <v>40</v>
      </c>
      <c r="AJ625" t="s">
        <v>40</v>
      </c>
      <c r="AK625" t="s">
        <v>40</v>
      </c>
    </row>
    <row r="626" spans="1:37" x14ac:dyDescent="0.3">
      <c r="A626">
        <v>2019</v>
      </c>
      <c r="B626">
        <v>6</v>
      </c>
      <c r="C626" t="str">
        <f t="shared" si="18"/>
        <v>6/01/2019</v>
      </c>
      <c r="D626" s="1" t="str">
        <f t="shared" si="19"/>
        <v>6/01/2019</v>
      </c>
      <c r="E626" t="s">
        <v>37</v>
      </c>
      <c r="F626" t="s">
        <v>51</v>
      </c>
      <c r="G626" t="s">
        <v>44</v>
      </c>
      <c r="H626">
        <v>114</v>
      </c>
      <c r="I626">
        <v>104</v>
      </c>
      <c r="J626">
        <v>0</v>
      </c>
      <c r="K626">
        <v>68</v>
      </c>
      <c r="M626">
        <v>0</v>
      </c>
      <c r="O626">
        <v>0</v>
      </c>
      <c r="Q626">
        <v>0</v>
      </c>
      <c r="U626">
        <v>0</v>
      </c>
      <c r="V626">
        <v>0</v>
      </c>
      <c r="W626" s="1">
        <v>44160</v>
      </c>
      <c r="AC626" t="s">
        <v>40</v>
      </c>
      <c r="AE626" t="s">
        <v>40</v>
      </c>
      <c r="AG626" t="s">
        <v>40</v>
      </c>
      <c r="AI626" t="s">
        <v>40</v>
      </c>
      <c r="AJ626" t="s">
        <v>40</v>
      </c>
      <c r="AK626" t="s">
        <v>40</v>
      </c>
    </row>
    <row r="627" spans="1:37" x14ac:dyDescent="0.3">
      <c r="A627">
        <v>2019</v>
      </c>
      <c r="B627">
        <v>6</v>
      </c>
      <c r="C627" t="str">
        <f t="shared" si="18"/>
        <v>6/01/2019</v>
      </c>
      <c r="D627" s="1" t="str">
        <f t="shared" si="19"/>
        <v>6/01/2019</v>
      </c>
      <c r="E627" t="s">
        <v>37</v>
      </c>
      <c r="F627" t="s">
        <v>51</v>
      </c>
      <c r="G627" t="s">
        <v>45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T627">
        <v>0</v>
      </c>
      <c r="U627">
        <v>0</v>
      </c>
      <c r="V627">
        <v>0</v>
      </c>
      <c r="W627" s="1">
        <v>44160</v>
      </c>
      <c r="Y627" t="s">
        <v>40</v>
      </c>
      <c r="Z627" t="s">
        <v>40</v>
      </c>
      <c r="AA627" t="s">
        <v>40</v>
      </c>
      <c r="AB627" t="s">
        <v>40</v>
      </c>
      <c r="AJ627" t="s">
        <v>40</v>
      </c>
    </row>
    <row r="628" spans="1:37" x14ac:dyDescent="0.3">
      <c r="A628">
        <v>2019</v>
      </c>
      <c r="B628">
        <v>6</v>
      </c>
      <c r="C628" t="str">
        <f t="shared" si="18"/>
        <v>6/01/2019</v>
      </c>
      <c r="D628" s="1" t="str">
        <f t="shared" si="19"/>
        <v>6/01/2019</v>
      </c>
      <c r="E628" t="s">
        <v>37</v>
      </c>
      <c r="F628" t="s">
        <v>51</v>
      </c>
      <c r="G628" t="s">
        <v>46</v>
      </c>
      <c r="H628">
        <v>243</v>
      </c>
      <c r="I628">
        <v>230</v>
      </c>
      <c r="K628">
        <v>121</v>
      </c>
      <c r="O628">
        <v>0</v>
      </c>
      <c r="S628">
        <v>38</v>
      </c>
      <c r="T628">
        <v>16</v>
      </c>
      <c r="U628">
        <v>0</v>
      </c>
      <c r="V628">
        <v>0</v>
      </c>
      <c r="W628" s="1">
        <v>44160</v>
      </c>
      <c r="AA628" t="s">
        <v>40</v>
      </c>
      <c r="AC628" t="s">
        <v>40</v>
      </c>
      <c r="AD628" t="s">
        <v>40</v>
      </c>
      <c r="AE628" t="s">
        <v>40</v>
      </c>
      <c r="AG628" t="s">
        <v>40</v>
      </c>
      <c r="AH628" t="s">
        <v>40</v>
      </c>
      <c r="AI628" t="s">
        <v>40</v>
      </c>
    </row>
    <row r="629" spans="1:37" x14ac:dyDescent="0.3">
      <c r="A629">
        <v>2019</v>
      </c>
      <c r="B629">
        <v>6</v>
      </c>
      <c r="C629" t="str">
        <f t="shared" si="18"/>
        <v>6/01/2019</v>
      </c>
      <c r="D629" s="1" t="str">
        <f t="shared" si="19"/>
        <v>6/01/2019</v>
      </c>
      <c r="E629" t="s">
        <v>37</v>
      </c>
      <c r="F629" t="s">
        <v>51</v>
      </c>
      <c r="G629" t="s">
        <v>47</v>
      </c>
      <c r="H629">
        <v>446</v>
      </c>
      <c r="I629">
        <v>426</v>
      </c>
      <c r="K629">
        <v>187</v>
      </c>
      <c r="L629">
        <v>14</v>
      </c>
      <c r="Q629">
        <v>12</v>
      </c>
      <c r="R629">
        <v>0</v>
      </c>
      <c r="S629">
        <v>83</v>
      </c>
      <c r="T629">
        <v>27</v>
      </c>
      <c r="U629">
        <v>0</v>
      </c>
      <c r="V629">
        <v>0</v>
      </c>
      <c r="W629" s="1">
        <v>44160</v>
      </c>
      <c r="AA629" t="s">
        <v>40</v>
      </c>
      <c r="AD629" t="s">
        <v>40</v>
      </c>
      <c r="AE629" t="s">
        <v>40</v>
      </c>
      <c r="AF629" t="s">
        <v>40</v>
      </c>
      <c r="AG629" t="s">
        <v>40</v>
      </c>
    </row>
    <row r="630" spans="1:37" x14ac:dyDescent="0.3">
      <c r="A630">
        <v>2019</v>
      </c>
      <c r="B630">
        <v>6</v>
      </c>
      <c r="C630" t="str">
        <f t="shared" si="18"/>
        <v>6/01/2019</v>
      </c>
      <c r="D630" s="1" t="str">
        <f t="shared" si="19"/>
        <v>6/01/2019</v>
      </c>
      <c r="E630" t="s">
        <v>37</v>
      </c>
      <c r="F630" t="s">
        <v>51</v>
      </c>
      <c r="G630" t="s">
        <v>48</v>
      </c>
      <c r="H630">
        <v>631</v>
      </c>
      <c r="I630">
        <v>612</v>
      </c>
      <c r="K630">
        <v>180</v>
      </c>
      <c r="L630">
        <v>37</v>
      </c>
      <c r="M630">
        <v>23</v>
      </c>
      <c r="N630">
        <v>12</v>
      </c>
      <c r="O630">
        <v>11</v>
      </c>
      <c r="Q630">
        <v>15</v>
      </c>
      <c r="S630">
        <v>155</v>
      </c>
      <c r="T630">
        <v>53</v>
      </c>
      <c r="U630">
        <v>0</v>
      </c>
      <c r="V630">
        <v>0</v>
      </c>
      <c r="W630" s="1">
        <v>44160</v>
      </c>
      <c r="AA630" t="s">
        <v>40</v>
      </c>
      <c r="AG630" t="s">
        <v>40</v>
      </c>
      <c r="AI630" t="s">
        <v>40</v>
      </c>
    </row>
    <row r="631" spans="1:37" x14ac:dyDescent="0.3">
      <c r="A631">
        <v>2019</v>
      </c>
      <c r="B631">
        <v>6</v>
      </c>
      <c r="C631" t="str">
        <f t="shared" si="18"/>
        <v>6/01/2019</v>
      </c>
      <c r="D631" s="1" t="str">
        <f t="shared" si="19"/>
        <v>6/01/2019</v>
      </c>
      <c r="E631" t="s">
        <v>37</v>
      </c>
      <c r="F631" t="s">
        <v>51</v>
      </c>
      <c r="G631" t="s">
        <v>49</v>
      </c>
      <c r="H631" s="2">
        <v>1144</v>
      </c>
      <c r="I631" s="2">
        <v>1117</v>
      </c>
      <c r="J631">
        <v>12</v>
      </c>
      <c r="K631">
        <v>131</v>
      </c>
      <c r="L631">
        <v>35</v>
      </c>
      <c r="M631">
        <v>133</v>
      </c>
      <c r="N631">
        <v>37</v>
      </c>
      <c r="O631">
        <v>30</v>
      </c>
      <c r="P631">
        <v>16</v>
      </c>
      <c r="Q631">
        <v>15</v>
      </c>
      <c r="R631">
        <v>13</v>
      </c>
      <c r="S631">
        <v>273</v>
      </c>
      <c r="T631">
        <v>119</v>
      </c>
      <c r="U631">
        <v>0</v>
      </c>
      <c r="V631">
        <v>0</v>
      </c>
      <c r="W631" s="1">
        <v>44160</v>
      </c>
    </row>
    <row r="632" spans="1:37" x14ac:dyDescent="0.3">
      <c r="A632">
        <v>2019</v>
      </c>
      <c r="B632">
        <v>6</v>
      </c>
      <c r="C632" t="str">
        <f t="shared" si="18"/>
        <v>6/01/2019</v>
      </c>
      <c r="D632" s="1" t="str">
        <f t="shared" si="19"/>
        <v>6/01/2019</v>
      </c>
      <c r="E632" t="s">
        <v>37</v>
      </c>
      <c r="F632" t="s">
        <v>52</v>
      </c>
      <c r="G632" t="s">
        <v>39</v>
      </c>
      <c r="H632">
        <v>254</v>
      </c>
      <c r="I632">
        <v>217</v>
      </c>
      <c r="L632">
        <v>0</v>
      </c>
      <c r="M632">
        <v>0</v>
      </c>
      <c r="R632">
        <v>38</v>
      </c>
      <c r="U632">
        <v>0</v>
      </c>
      <c r="V632">
        <v>0</v>
      </c>
      <c r="W632" s="1">
        <v>44160</v>
      </c>
      <c r="AA632" t="s">
        <v>40</v>
      </c>
      <c r="AB632" t="s">
        <v>40</v>
      </c>
      <c r="AE632" t="s">
        <v>40</v>
      </c>
      <c r="AF632" t="s">
        <v>40</v>
      </c>
      <c r="AG632" t="s">
        <v>40</v>
      </c>
      <c r="AH632" t="s">
        <v>40</v>
      </c>
      <c r="AJ632" t="s">
        <v>40</v>
      </c>
      <c r="AK632" t="s">
        <v>40</v>
      </c>
    </row>
    <row r="633" spans="1:37" x14ac:dyDescent="0.3">
      <c r="A633">
        <v>2019</v>
      </c>
      <c r="B633">
        <v>6</v>
      </c>
      <c r="C633" t="str">
        <f t="shared" si="18"/>
        <v>6/01/2019</v>
      </c>
      <c r="D633" s="1" t="str">
        <f t="shared" si="19"/>
        <v>6/01/2019</v>
      </c>
      <c r="E633" t="s">
        <v>37</v>
      </c>
      <c r="F633" t="s">
        <v>52</v>
      </c>
      <c r="G633" t="s">
        <v>41</v>
      </c>
      <c r="H633">
        <v>150</v>
      </c>
      <c r="I633">
        <v>70</v>
      </c>
      <c r="K633">
        <v>10</v>
      </c>
      <c r="M633">
        <v>0</v>
      </c>
      <c r="T633">
        <v>0</v>
      </c>
      <c r="U633">
        <v>0</v>
      </c>
      <c r="V633">
        <v>0</v>
      </c>
      <c r="W633" s="1">
        <v>44160</v>
      </c>
      <c r="AA633" t="s">
        <v>40</v>
      </c>
      <c r="AC633" t="s">
        <v>40</v>
      </c>
      <c r="AE633" t="s">
        <v>40</v>
      </c>
      <c r="AF633" t="s">
        <v>40</v>
      </c>
      <c r="AG633" t="s">
        <v>40</v>
      </c>
      <c r="AH633" t="s">
        <v>40</v>
      </c>
      <c r="AI633" t="s">
        <v>40</v>
      </c>
      <c r="AJ633" t="s">
        <v>40</v>
      </c>
    </row>
    <row r="634" spans="1:37" x14ac:dyDescent="0.3">
      <c r="A634">
        <v>2019</v>
      </c>
      <c r="B634">
        <v>6</v>
      </c>
      <c r="C634" t="str">
        <f t="shared" si="18"/>
        <v>6/01/2019</v>
      </c>
      <c r="D634" s="1" t="str">
        <f t="shared" si="19"/>
        <v>6/01/2019</v>
      </c>
      <c r="E634" t="s">
        <v>37</v>
      </c>
      <c r="F634" t="s">
        <v>52</v>
      </c>
      <c r="G634" t="s">
        <v>42</v>
      </c>
      <c r="H634">
        <v>311</v>
      </c>
      <c r="I634">
        <v>186</v>
      </c>
      <c r="K634">
        <v>28</v>
      </c>
      <c r="L634">
        <v>11</v>
      </c>
      <c r="M634">
        <v>0</v>
      </c>
      <c r="S634">
        <v>30</v>
      </c>
      <c r="U634">
        <v>0</v>
      </c>
      <c r="V634">
        <v>0</v>
      </c>
      <c r="W634" s="1">
        <v>44160</v>
      </c>
      <c r="AA634" t="s">
        <v>40</v>
      </c>
      <c r="AE634" t="s">
        <v>40</v>
      </c>
      <c r="AF634" t="s">
        <v>40</v>
      </c>
      <c r="AG634" t="s">
        <v>40</v>
      </c>
      <c r="AH634" t="s">
        <v>40</v>
      </c>
      <c r="AI634" t="s">
        <v>40</v>
      </c>
      <c r="AK634" t="s">
        <v>40</v>
      </c>
    </row>
    <row r="635" spans="1:37" x14ac:dyDescent="0.3">
      <c r="A635">
        <v>2019</v>
      </c>
      <c r="B635">
        <v>6</v>
      </c>
      <c r="C635" t="str">
        <f t="shared" si="18"/>
        <v>6/01/2019</v>
      </c>
      <c r="D635" s="1" t="str">
        <f t="shared" si="19"/>
        <v>6/01/2019</v>
      </c>
      <c r="E635" t="s">
        <v>37</v>
      </c>
      <c r="F635" t="s">
        <v>52</v>
      </c>
      <c r="G635" t="s">
        <v>43</v>
      </c>
      <c r="H635">
        <v>481</v>
      </c>
      <c r="I635">
        <v>385</v>
      </c>
      <c r="K635">
        <v>104</v>
      </c>
      <c r="L635">
        <v>20</v>
      </c>
      <c r="M635">
        <v>0</v>
      </c>
      <c r="Q635">
        <v>17</v>
      </c>
      <c r="S635">
        <v>74</v>
      </c>
      <c r="T635">
        <v>18</v>
      </c>
      <c r="U635">
        <v>0</v>
      </c>
      <c r="V635">
        <v>0</v>
      </c>
      <c r="W635" s="1">
        <v>44160</v>
      </c>
      <c r="AA635" t="s">
        <v>40</v>
      </c>
      <c r="AE635" t="s">
        <v>40</v>
      </c>
      <c r="AF635" t="s">
        <v>40</v>
      </c>
      <c r="AG635" t="s">
        <v>40</v>
      </c>
      <c r="AI635" t="s">
        <v>40</v>
      </c>
    </row>
    <row r="636" spans="1:37" x14ac:dyDescent="0.3">
      <c r="A636">
        <v>2019</v>
      </c>
      <c r="B636">
        <v>6</v>
      </c>
      <c r="C636" t="str">
        <f t="shared" si="18"/>
        <v>6/01/2019</v>
      </c>
      <c r="D636" s="1" t="str">
        <f t="shared" si="19"/>
        <v>6/01/2019</v>
      </c>
      <c r="E636" t="s">
        <v>37</v>
      </c>
      <c r="F636" t="s">
        <v>52</v>
      </c>
      <c r="G636" t="s">
        <v>44</v>
      </c>
      <c r="H636" s="2">
        <v>1030</v>
      </c>
      <c r="I636">
        <v>902</v>
      </c>
      <c r="J636">
        <v>16</v>
      </c>
      <c r="K636">
        <v>271</v>
      </c>
      <c r="L636">
        <v>50</v>
      </c>
      <c r="N636">
        <v>13</v>
      </c>
      <c r="O636">
        <v>21</v>
      </c>
      <c r="P636">
        <v>12</v>
      </c>
      <c r="Q636">
        <v>23</v>
      </c>
      <c r="R636">
        <v>10</v>
      </c>
      <c r="S636">
        <v>225</v>
      </c>
      <c r="T636">
        <v>39</v>
      </c>
      <c r="U636">
        <v>0</v>
      </c>
      <c r="V636">
        <v>0</v>
      </c>
      <c r="W636" s="1">
        <v>44160</v>
      </c>
      <c r="AD636" t="s">
        <v>40</v>
      </c>
    </row>
    <row r="637" spans="1:37" x14ac:dyDescent="0.3">
      <c r="A637">
        <v>2019</v>
      </c>
      <c r="B637">
        <v>6</v>
      </c>
      <c r="C637" t="str">
        <f t="shared" si="18"/>
        <v>6/01/2019</v>
      </c>
      <c r="D637" s="1" t="str">
        <f t="shared" si="19"/>
        <v>6/01/2019</v>
      </c>
      <c r="E637" t="s">
        <v>37</v>
      </c>
      <c r="F637" t="s">
        <v>52</v>
      </c>
      <c r="G637" t="s">
        <v>45</v>
      </c>
      <c r="H637">
        <v>44</v>
      </c>
      <c r="I637">
        <v>23</v>
      </c>
      <c r="J637">
        <v>0</v>
      </c>
      <c r="L637">
        <v>0</v>
      </c>
      <c r="M637">
        <v>0</v>
      </c>
      <c r="N637">
        <v>0</v>
      </c>
      <c r="P637">
        <v>0</v>
      </c>
      <c r="Q637">
        <v>0</v>
      </c>
      <c r="R637">
        <v>0</v>
      </c>
      <c r="T637">
        <v>0</v>
      </c>
      <c r="U637">
        <v>0</v>
      </c>
      <c r="V637">
        <v>0</v>
      </c>
      <c r="W637" s="1">
        <v>44160</v>
      </c>
      <c r="AB637" t="s">
        <v>40</v>
      </c>
      <c r="AF637" t="s">
        <v>40</v>
      </c>
      <c r="AJ637" t="s">
        <v>40</v>
      </c>
    </row>
    <row r="638" spans="1:37" x14ac:dyDescent="0.3">
      <c r="A638">
        <v>2019</v>
      </c>
      <c r="B638">
        <v>6</v>
      </c>
      <c r="C638" t="str">
        <f t="shared" si="18"/>
        <v>6/01/2019</v>
      </c>
      <c r="D638" s="1" t="str">
        <f t="shared" si="19"/>
        <v>6/01/2019</v>
      </c>
      <c r="E638" t="s">
        <v>37</v>
      </c>
      <c r="F638" t="s">
        <v>52</v>
      </c>
      <c r="G638" t="s">
        <v>46</v>
      </c>
      <c r="H638" s="2">
        <v>2202</v>
      </c>
      <c r="I638" s="2">
        <v>2092</v>
      </c>
      <c r="J638">
        <v>38</v>
      </c>
      <c r="K638">
        <v>716</v>
      </c>
      <c r="L638">
        <v>125</v>
      </c>
      <c r="N638">
        <v>30</v>
      </c>
      <c r="O638">
        <v>94</v>
      </c>
      <c r="P638">
        <v>31</v>
      </c>
      <c r="Q638">
        <v>57</v>
      </c>
      <c r="R638">
        <v>19</v>
      </c>
      <c r="S638">
        <v>454</v>
      </c>
      <c r="T638">
        <v>109</v>
      </c>
      <c r="U638">
        <v>0</v>
      </c>
      <c r="V638">
        <v>0</v>
      </c>
      <c r="W638" s="1">
        <v>44160</v>
      </c>
      <c r="AD638" t="s">
        <v>40</v>
      </c>
    </row>
    <row r="639" spans="1:37" x14ac:dyDescent="0.3">
      <c r="A639">
        <v>2019</v>
      </c>
      <c r="B639">
        <v>6</v>
      </c>
      <c r="C639" t="str">
        <f t="shared" si="18"/>
        <v>6/01/2019</v>
      </c>
      <c r="D639" s="1" t="str">
        <f t="shared" si="19"/>
        <v>6/01/2019</v>
      </c>
      <c r="E639" t="s">
        <v>37</v>
      </c>
      <c r="F639" t="s">
        <v>52</v>
      </c>
      <c r="G639" t="s">
        <v>47</v>
      </c>
      <c r="H639" s="2">
        <v>2625</v>
      </c>
      <c r="I639" s="2">
        <v>2547</v>
      </c>
      <c r="J639">
        <v>63</v>
      </c>
      <c r="K639">
        <v>793</v>
      </c>
      <c r="L639">
        <v>135</v>
      </c>
      <c r="M639">
        <v>35</v>
      </c>
      <c r="N639">
        <v>40</v>
      </c>
      <c r="O639">
        <v>109</v>
      </c>
      <c r="P639">
        <v>43</v>
      </c>
      <c r="Q639">
        <v>87</v>
      </c>
      <c r="R639">
        <v>20</v>
      </c>
      <c r="S639">
        <v>601</v>
      </c>
      <c r="T639">
        <v>172</v>
      </c>
      <c r="U639">
        <v>0</v>
      </c>
      <c r="V639">
        <v>0</v>
      </c>
      <c r="W639" s="1">
        <v>44160</v>
      </c>
    </row>
    <row r="640" spans="1:37" x14ac:dyDescent="0.3">
      <c r="A640">
        <v>2019</v>
      </c>
      <c r="B640">
        <v>6</v>
      </c>
      <c r="C640" t="str">
        <f t="shared" si="18"/>
        <v>6/01/2019</v>
      </c>
      <c r="D640" s="1" t="str">
        <f t="shared" si="19"/>
        <v>6/01/2019</v>
      </c>
      <c r="E640" t="s">
        <v>37</v>
      </c>
      <c r="F640" t="s">
        <v>52</v>
      </c>
      <c r="G640" t="s">
        <v>48</v>
      </c>
      <c r="H640" s="2">
        <v>2741</v>
      </c>
      <c r="I640" s="2">
        <v>2693</v>
      </c>
      <c r="J640">
        <v>59</v>
      </c>
      <c r="K640">
        <v>607</v>
      </c>
      <c r="L640">
        <v>162</v>
      </c>
      <c r="M640">
        <v>157</v>
      </c>
      <c r="N640">
        <v>46</v>
      </c>
      <c r="O640">
        <v>113</v>
      </c>
      <c r="P640">
        <v>51</v>
      </c>
      <c r="Q640">
        <v>115</v>
      </c>
      <c r="R640">
        <v>22</v>
      </c>
      <c r="S640">
        <v>628</v>
      </c>
      <c r="T640">
        <v>212</v>
      </c>
      <c r="U640">
        <v>0</v>
      </c>
      <c r="V640">
        <v>0</v>
      </c>
      <c r="W640" s="1">
        <v>44160</v>
      </c>
    </row>
    <row r="641" spans="1:37" x14ac:dyDescent="0.3">
      <c r="A641">
        <v>2019</v>
      </c>
      <c r="B641">
        <v>6</v>
      </c>
      <c r="C641" t="str">
        <f t="shared" si="18"/>
        <v>6/01/2019</v>
      </c>
      <c r="D641" s="1" t="str">
        <f t="shared" si="19"/>
        <v>6/01/2019</v>
      </c>
      <c r="E641" t="s">
        <v>37</v>
      </c>
      <c r="F641" t="s">
        <v>52</v>
      </c>
      <c r="G641" t="s">
        <v>49</v>
      </c>
      <c r="H641" s="2">
        <v>3207</v>
      </c>
      <c r="I641" s="2">
        <v>3167</v>
      </c>
      <c r="J641">
        <v>54</v>
      </c>
      <c r="K641">
        <v>376</v>
      </c>
      <c r="L641">
        <v>86</v>
      </c>
      <c r="M641">
        <v>303</v>
      </c>
      <c r="N641">
        <v>55</v>
      </c>
      <c r="O641">
        <v>91</v>
      </c>
      <c r="P641">
        <v>29</v>
      </c>
      <c r="Q641">
        <v>95</v>
      </c>
      <c r="R641">
        <v>31</v>
      </c>
      <c r="S641">
        <v>890</v>
      </c>
      <c r="T641">
        <v>304</v>
      </c>
      <c r="U641">
        <v>0</v>
      </c>
      <c r="V641">
        <v>0</v>
      </c>
      <c r="W641" s="1">
        <v>44160</v>
      </c>
    </row>
    <row r="642" spans="1:37" x14ac:dyDescent="0.3">
      <c r="A642">
        <v>2019</v>
      </c>
      <c r="B642">
        <v>6</v>
      </c>
      <c r="C642" t="str">
        <f t="shared" si="18"/>
        <v>6/01/2019</v>
      </c>
      <c r="D642" s="1" t="str">
        <f t="shared" si="19"/>
        <v>6/01/2019</v>
      </c>
      <c r="E642" t="s">
        <v>37</v>
      </c>
      <c r="F642" t="s">
        <v>53</v>
      </c>
      <c r="G642" t="s">
        <v>39</v>
      </c>
      <c r="H642">
        <v>370</v>
      </c>
      <c r="I642">
        <v>306</v>
      </c>
      <c r="J642">
        <v>0</v>
      </c>
      <c r="L642">
        <v>0</v>
      </c>
      <c r="M642">
        <v>0</v>
      </c>
      <c r="R642">
        <v>31</v>
      </c>
      <c r="U642">
        <v>0</v>
      </c>
      <c r="V642">
        <v>0</v>
      </c>
      <c r="W642" s="1">
        <v>44160</v>
      </c>
      <c r="AB642" t="s">
        <v>40</v>
      </c>
      <c r="AE642" t="s">
        <v>40</v>
      </c>
      <c r="AF642" t="s">
        <v>40</v>
      </c>
      <c r="AG642" t="s">
        <v>40</v>
      </c>
      <c r="AH642" t="s">
        <v>40</v>
      </c>
      <c r="AJ642" t="s">
        <v>40</v>
      </c>
      <c r="AK642" t="s">
        <v>40</v>
      </c>
    </row>
    <row r="643" spans="1:37" x14ac:dyDescent="0.3">
      <c r="A643">
        <v>2019</v>
      </c>
      <c r="B643">
        <v>6</v>
      </c>
      <c r="C643" t="str">
        <f t="shared" ref="C643:C706" si="20">CONCATENATE(B643,"/01/",A643)</f>
        <v>6/01/2019</v>
      </c>
      <c r="D643" s="1" t="str">
        <f t="shared" ref="D643:D706" si="21">C643</f>
        <v>6/01/2019</v>
      </c>
      <c r="E643" t="s">
        <v>37</v>
      </c>
      <c r="F643" t="s">
        <v>53</v>
      </c>
      <c r="G643" t="s">
        <v>41</v>
      </c>
      <c r="H643">
        <v>378</v>
      </c>
      <c r="I643">
        <v>108</v>
      </c>
      <c r="K643">
        <v>16</v>
      </c>
      <c r="M643">
        <v>0</v>
      </c>
      <c r="S643">
        <v>10</v>
      </c>
      <c r="T643">
        <v>0</v>
      </c>
      <c r="U643">
        <v>0</v>
      </c>
      <c r="V643">
        <v>0</v>
      </c>
      <c r="W643" s="1">
        <v>44160</v>
      </c>
      <c r="AA643" t="s">
        <v>40</v>
      </c>
      <c r="AC643" t="s">
        <v>40</v>
      </c>
      <c r="AE643" t="s">
        <v>40</v>
      </c>
      <c r="AF643" t="s">
        <v>40</v>
      </c>
      <c r="AG643" t="s">
        <v>40</v>
      </c>
      <c r="AH643" t="s">
        <v>40</v>
      </c>
      <c r="AI643" t="s">
        <v>40</v>
      </c>
    </row>
    <row r="644" spans="1:37" x14ac:dyDescent="0.3">
      <c r="A644">
        <v>2019</v>
      </c>
      <c r="B644">
        <v>6</v>
      </c>
      <c r="C644" t="str">
        <f t="shared" si="20"/>
        <v>6/01/2019</v>
      </c>
      <c r="D644" s="1" t="str">
        <f t="shared" si="21"/>
        <v>6/01/2019</v>
      </c>
      <c r="E644" t="s">
        <v>37</v>
      </c>
      <c r="F644" t="s">
        <v>53</v>
      </c>
      <c r="G644" t="s">
        <v>42</v>
      </c>
      <c r="H644">
        <v>915</v>
      </c>
      <c r="I644">
        <v>379</v>
      </c>
      <c r="K644">
        <v>81</v>
      </c>
      <c r="L644">
        <v>17</v>
      </c>
      <c r="M644">
        <v>0</v>
      </c>
      <c r="R644">
        <v>24</v>
      </c>
      <c r="S644">
        <v>42</v>
      </c>
      <c r="T644">
        <v>13</v>
      </c>
      <c r="U644">
        <v>0</v>
      </c>
      <c r="V644">
        <v>0</v>
      </c>
      <c r="W644" s="1">
        <v>44160</v>
      </c>
      <c r="AA644" t="s">
        <v>40</v>
      </c>
      <c r="AE644" t="s">
        <v>40</v>
      </c>
      <c r="AF644" t="s">
        <v>40</v>
      </c>
      <c r="AG644" t="s">
        <v>40</v>
      </c>
      <c r="AH644" t="s">
        <v>40</v>
      </c>
    </row>
    <row r="645" spans="1:37" x14ac:dyDescent="0.3">
      <c r="A645">
        <v>2019</v>
      </c>
      <c r="B645">
        <v>6</v>
      </c>
      <c r="C645" t="str">
        <f t="shared" si="20"/>
        <v>6/01/2019</v>
      </c>
      <c r="D645" s="1" t="str">
        <f t="shared" si="21"/>
        <v>6/01/2019</v>
      </c>
      <c r="E645" t="s">
        <v>37</v>
      </c>
      <c r="F645" t="s">
        <v>53</v>
      </c>
      <c r="G645" t="s">
        <v>43</v>
      </c>
      <c r="H645" s="2">
        <v>1403</v>
      </c>
      <c r="I645">
        <v>856</v>
      </c>
      <c r="J645">
        <v>20</v>
      </c>
      <c r="K645">
        <v>273</v>
      </c>
      <c r="L645">
        <v>37</v>
      </c>
      <c r="M645">
        <v>0</v>
      </c>
      <c r="N645">
        <v>11</v>
      </c>
      <c r="O645">
        <v>19</v>
      </c>
      <c r="P645">
        <v>10</v>
      </c>
      <c r="R645">
        <v>23</v>
      </c>
      <c r="S645">
        <v>138</v>
      </c>
      <c r="T645">
        <v>26</v>
      </c>
      <c r="U645">
        <v>0</v>
      </c>
      <c r="V645">
        <v>0</v>
      </c>
      <c r="W645" s="1">
        <v>44160</v>
      </c>
      <c r="AH645" t="s">
        <v>40</v>
      </c>
    </row>
    <row r="646" spans="1:37" x14ac:dyDescent="0.3">
      <c r="A646">
        <v>2019</v>
      </c>
      <c r="B646">
        <v>6</v>
      </c>
      <c r="C646" t="str">
        <f t="shared" si="20"/>
        <v>6/01/2019</v>
      </c>
      <c r="D646" s="1" t="str">
        <f t="shared" si="21"/>
        <v>6/01/2019</v>
      </c>
      <c r="E646" t="s">
        <v>37</v>
      </c>
      <c r="F646" t="s">
        <v>53</v>
      </c>
      <c r="G646" t="s">
        <v>44</v>
      </c>
      <c r="H646" s="2">
        <v>3073</v>
      </c>
      <c r="I646" s="2">
        <v>2483</v>
      </c>
      <c r="J646">
        <v>42</v>
      </c>
      <c r="K646">
        <v>948</v>
      </c>
      <c r="L646">
        <v>102</v>
      </c>
      <c r="N646">
        <v>25</v>
      </c>
      <c r="O646">
        <v>120</v>
      </c>
      <c r="P646">
        <v>30</v>
      </c>
      <c r="Q646">
        <v>36</v>
      </c>
      <c r="R646">
        <v>30</v>
      </c>
      <c r="S646">
        <v>410</v>
      </c>
      <c r="T646">
        <v>94</v>
      </c>
      <c r="U646">
        <v>0</v>
      </c>
      <c r="V646">
        <v>0</v>
      </c>
      <c r="W646" s="1">
        <v>44160</v>
      </c>
      <c r="AD646" t="s">
        <v>40</v>
      </c>
    </row>
    <row r="647" spans="1:37" x14ac:dyDescent="0.3">
      <c r="A647">
        <v>2019</v>
      </c>
      <c r="B647">
        <v>6</v>
      </c>
      <c r="C647" t="str">
        <f t="shared" si="20"/>
        <v>6/01/2019</v>
      </c>
      <c r="D647" s="1" t="str">
        <f t="shared" si="21"/>
        <v>6/01/2019</v>
      </c>
      <c r="E647" t="s">
        <v>37</v>
      </c>
      <c r="F647" t="s">
        <v>53</v>
      </c>
      <c r="G647" t="s">
        <v>45</v>
      </c>
      <c r="H647">
        <v>98</v>
      </c>
      <c r="I647">
        <v>52</v>
      </c>
      <c r="K647">
        <v>19</v>
      </c>
      <c r="M647">
        <v>0</v>
      </c>
      <c r="N647">
        <v>0</v>
      </c>
      <c r="O647">
        <v>0</v>
      </c>
      <c r="Q647">
        <v>0</v>
      </c>
      <c r="R647">
        <v>0</v>
      </c>
      <c r="U647">
        <v>0</v>
      </c>
      <c r="V647">
        <v>0</v>
      </c>
      <c r="W647" s="1">
        <v>44160</v>
      </c>
      <c r="AA647" t="s">
        <v>40</v>
      </c>
      <c r="AC647" t="s">
        <v>40</v>
      </c>
      <c r="AG647" t="s">
        <v>40</v>
      </c>
      <c r="AJ647" t="s">
        <v>40</v>
      </c>
      <c r="AK647" t="s">
        <v>40</v>
      </c>
    </row>
    <row r="648" spans="1:37" x14ac:dyDescent="0.3">
      <c r="A648">
        <v>2019</v>
      </c>
      <c r="B648">
        <v>6</v>
      </c>
      <c r="C648" t="str">
        <f t="shared" si="20"/>
        <v>6/01/2019</v>
      </c>
      <c r="D648" s="1" t="str">
        <f t="shared" si="21"/>
        <v>6/01/2019</v>
      </c>
      <c r="E648" t="s">
        <v>37</v>
      </c>
      <c r="F648" t="s">
        <v>53</v>
      </c>
      <c r="G648" t="s">
        <v>46</v>
      </c>
      <c r="H648" s="2">
        <v>8082</v>
      </c>
      <c r="I648" s="2">
        <v>7417</v>
      </c>
      <c r="J648">
        <v>127</v>
      </c>
      <c r="K648" s="2">
        <v>2982</v>
      </c>
      <c r="L648">
        <v>234</v>
      </c>
      <c r="M648">
        <v>47</v>
      </c>
      <c r="N648">
        <v>105</v>
      </c>
      <c r="O648">
        <v>613</v>
      </c>
      <c r="P648">
        <v>107</v>
      </c>
      <c r="Q648">
        <v>97</v>
      </c>
      <c r="R648">
        <v>55</v>
      </c>
      <c r="S648" s="2">
        <v>1260</v>
      </c>
      <c r="T648">
        <v>264</v>
      </c>
      <c r="U648">
        <v>0</v>
      </c>
      <c r="V648">
        <v>0</v>
      </c>
      <c r="W648" s="1">
        <v>44160</v>
      </c>
    </row>
    <row r="649" spans="1:37" x14ac:dyDescent="0.3">
      <c r="A649">
        <v>2019</v>
      </c>
      <c r="B649">
        <v>6</v>
      </c>
      <c r="C649" t="str">
        <f t="shared" si="20"/>
        <v>6/01/2019</v>
      </c>
      <c r="D649" s="1" t="str">
        <f t="shared" si="21"/>
        <v>6/01/2019</v>
      </c>
      <c r="E649" t="s">
        <v>37</v>
      </c>
      <c r="F649" t="s">
        <v>53</v>
      </c>
      <c r="G649" t="s">
        <v>47</v>
      </c>
      <c r="H649" s="2">
        <v>13986</v>
      </c>
      <c r="I649" s="2">
        <v>13506</v>
      </c>
      <c r="J649">
        <v>233</v>
      </c>
      <c r="K649" s="2">
        <v>4739</v>
      </c>
      <c r="L649">
        <v>440</v>
      </c>
      <c r="M649">
        <v>289</v>
      </c>
      <c r="N649">
        <v>160</v>
      </c>
      <c r="O649" s="2">
        <v>1384</v>
      </c>
      <c r="P649">
        <v>241</v>
      </c>
      <c r="Q649">
        <v>262</v>
      </c>
      <c r="R649">
        <v>97</v>
      </c>
      <c r="S649" s="2">
        <v>2498</v>
      </c>
      <c r="T649">
        <v>559</v>
      </c>
      <c r="U649">
        <v>0</v>
      </c>
      <c r="V649">
        <v>0</v>
      </c>
      <c r="W649" s="1">
        <v>44160</v>
      </c>
    </row>
    <row r="650" spans="1:37" x14ac:dyDescent="0.3">
      <c r="A650">
        <v>2019</v>
      </c>
      <c r="B650">
        <v>6</v>
      </c>
      <c r="C650" t="str">
        <f t="shared" si="20"/>
        <v>6/01/2019</v>
      </c>
      <c r="D650" s="1" t="str">
        <f t="shared" si="21"/>
        <v>6/01/2019</v>
      </c>
      <c r="E650" t="s">
        <v>37</v>
      </c>
      <c r="F650" t="s">
        <v>53</v>
      </c>
      <c r="G650" t="s">
        <v>48</v>
      </c>
      <c r="H650" s="2">
        <v>20657</v>
      </c>
      <c r="I650" s="2">
        <v>20036</v>
      </c>
      <c r="J650">
        <v>292</v>
      </c>
      <c r="K650" s="2">
        <v>4714</v>
      </c>
      <c r="L650">
        <v>543</v>
      </c>
      <c r="M650" s="2">
        <v>1276</v>
      </c>
      <c r="N650">
        <v>284</v>
      </c>
      <c r="O650" s="2">
        <v>1886</v>
      </c>
      <c r="P650">
        <v>341</v>
      </c>
      <c r="Q650">
        <v>396</v>
      </c>
      <c r="R650">
        <v>204</v>
      </c>
      <c r="S650" s="2">
        <v>4327</v>
      </c>
      <c r="T650" s="2">
        <v>1276</v>
      </c>
      <c r="U650">
        <v>0</v>
      </c>
      <c r="V650">
        <v>0</v>
      </c>
      <c r="W650" s="1">
        <v>44160</v>
      </c>
    </row>
    <row r="651" spans="1:37" x14ac:dyDescent="0.3">
      <c r="A651">
        <v>2019</v>
      </c>
      <c r="B651">
        <v>6</v>
      </c>
      <c r="C651" t="str">
        <f t="shared" si="20"/>
        <v>6/01/2019</v>
      </c>
      <c r="D651" s="1" t="str">
        <f t="shared" si="21"/>
        <v>6/01/2019</v>
      </c>
      <c r="E651" t="s">
        <v>37</v>
      </c>
      <c r="F651" t="s">
        <v>53</v>
      </c>
      <c r="G651" t="s">
        <v>49</v>
      </c>
      <c r="H651" s="2">
        <v>34767</v>
      </c>
      <c r="I651" s="2">
        <v>33654</v>
      </c>
      <c r="J651">
        <v>326</v>
      </c>
      <c r="K651" s="2">
        <v>3530</v>
      </c>
      <c r="L651">
        <v>532</v>
      </c>
      <c r="M651" s="2">
        <v>3602</v>
      </c>
      <c r="N651">
        <v>664</v>
      </c>
      <c r="O651" s="2">
        <v>1888</v>
      </c>
      <c r="P651">
        <v>464</v>
      </c>
      <c r="Q651">
        <v>546</v>
      </c>
      <c r="R651">
        <v>529</v>
      </c>
      <c r="S651" s="2">
        <v>9729</v>
      </c>
      <c r="T651" s="2">
        <v>2723</v>
      </c>
      <c r="U651">
        <v>0</v>
      </c>
      <c r="V651">
        <v>0</v>
      </c>
      <c r="W651" s="1">
        <v>44160</v>
      </c>
    </row>
    <row r="652" spans="1:37" x14ac:dyDescent="0.3">
      <c r="A652">
        <v>2019</v>
      </c>
      <c r="B652">
        <v>6</v>
      </c>
      <c r="C652" t="str">
        <f t="shared" si="20"/>
        <v>6/01/2019</v>
      </c>
      <c r="D652" s="1" t="str">
        <f t="shared" si="21"/>
        <v>6/01/2019</v>
      </c>
      <c r="E652" t="s">
        <v>37</v>
      </c>
      <c r="F652" t="s">
        <v>54</v>
      </c>
      <c r="G652" t="s">
        <v>39</v>
      </c>
      <c r="H652">
        <v>39</v>
      </c>
      <c r="I652">
        <v>34</v>
      </c>
      <c r="J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T652">
        <v>0</v>
      </c>
      <c r="U652">
        <v>0</v>
      </c>
      <c r="V652">
        <v>0</v>
      </c>
      <c r="W652" s="1">
        <v>44160</v>
      </c>
      <c r="AB652" t="s">
        <v>40</v>
      </c>
      <c r="AI652" t="s">
        <v>40</v>
      </c>
      <c r="AJ652" t="s">
        <v>40</v>
      </c>
    </row>
    <row r="653" spans="1:37" x14ac:dyDescent="0.3">
      <c r="A653">
        <v>2019</v>
      </c>
      <c r="B653">
        <v>6</v>
      </c>
      <c r="C653" t="str">
        <f t="shared" si="20"/>
        <v>6/01/2019</v>
      </c>
      <c r="D653" s="1" t="str">
        <f t="shared" si="21"/>
        <v>6/01/2019</v>
      </c>
      <c r="E653" t="s">
        <v>37</v>
      </c>
      <c r="F653" t="s">
        <v>54</v>
      </c>
      <c r="G653" t="s">
        <v>41</v>
      </c>
      <c r="H653">
        <v>21</v>
      </c>
      <c r="J653">
        <v>0</v>
      </c>
      <c r="L653">
        <v>0</v>
      </c>
      <c r="M653">
        <v>0</v>
      </c>
      <c r="N653">
        <v>0</v>
      </c>
      <c r="O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 s="1">
        <v>44160</v>
      </c>
      <c r="Z653" t="s">
        <v>40</v>
      </c>
      <c r="AB653" t="s">
        <v>40</v>
      </c>
      <c r="AG653" t="s">
        <v>40</v>
      </c>
      <c r="AH653" t="s">
        <v>40</v>
      </c>
    </row>
    <row r="654" spans="1:37" x14ac:dyDescent="0.3">
      <c r="A654">
        <v>2019</v>
      </c>
      <c r="B654">
        <v>6</v>
      </c>
      <c r="C654" t="str">
        <f t="shared" si="20"/>
        <v>6/01/2019</v>
      </c>
      <c r="D654" s="1" t="str">
        <f t="shared" si="21"/>
        <v>6/01/2019</v>
      </c>
      <c r="E654" t="s">
        <v>37</v>
      </c>
      <c r="F654" t="s">
        <v>54</v>
      </c>
      <c r="G654" t="s">
        <v>42</v>
      </c>
      <c r="H654">
        <v>37</v>
      </c>
      <c r="I654">
        <v>15</v>
      </c>
      <c r="J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U654">
        <v>0</v>
      </c>
      <c r="V654">
        <v>0</v>
      </c>
      <c r="W654" s="1">
        <v>44160</v>
      </c>
      <c r="AB654" t="s">
        <v>40</v>
      </c>
      <c r="AC654" t="s">
        <v>40</v>
      </c>
      <c r="AJ654" t="s">
        <v>40</v>
      </c>
      <c r="AK654" t="s">
        <v>40</v>
      </c>
    </row>
    <row r="655" spans="1:37" x14ac:dyDescent="0.3">
      <c r="A655">
        <v>2019</v>
      </c>
      <c r="B655">
        <v>6</v>
      </c>
      <c r="C655" t="str">
        <f t="shared" si="20"/>
        <v>6/01/2019</v>
      </c>
      <c r="D655" s="1" t="str">
        <f t="shared" si="21"/>
        <v>6/01/2019</v>
      </c>
      <c r="E655" t="s">
        <v>37</v>
      </c>
      <c r="F655" t="s">
        <v>54</v>
      </c>
      <c r="G655" t="s">
        <v>43</v>
      </c>
      <c r="H655">
        <v>36</v>
      </c>
      <c r="I655">
        <v>26</v>
      </c>
      <c r="J655">
        <v>0</v>
      </c>
      <c r="M655">
        <v>0</v>
      </c>
      <c r="N655">
        <v>0</v>
      </c>
      <c r="R655">
        <v>0</v>
      </c>
      <c r="U655">
        <v>0</v>
      </c>
      <c r="V655">
        <v>0</v>
      </c>
      <c r="W655" s="1">
        <v>44160</v>
      </c>
      <c r="AB655" t="s">
        <v>40</v>
      </c>
      <c r="AC655" t="s">
        <v>40</v>
      </c>
      <c r="AF655" t="s">
        <v>40</v>
      </c>
      <c r="AG655" t="s">
        <v>40</v>
      </c>
      <c r="AH655" t="s">
        <v>40</v>
      </c>
      <c r="AJ655" t="s">
        <v>40</v>
      </c>
      <c r="AK655" t="s">
        <v>40</v>
      </c>
    </row>
    <row r="656" spans="1:37" x14ac:dyDescent="0.3">
      <c r="A656">
        <v>2019</v>
      </c>
      <c r="B656">
        <v>6</v>
      </c>
      <c r="C656" t="str">
        <f t="shared" si="20"/>
        <v>6/01/2019</v>
      </c>
      <c r="D656" s="1" t="str">
        <f t="shared" si="21"/>
        <v>6/01/2019</v>
      </c>
      <c r="E656" t="s">
        <v>37</v>
      </c>
      <c r="F656" t="s">
        <v>54</v>
      </c>
      <c r="G656" t="s">
        <v>44</v>
      </c>
      <c r="H656">
        <v>65</v>
      </c>
      <c r="I656">
        <v>54</v>
      </c>
      <c r="K656">
        <v>13</v>
      </c>
      <c r="M656">
        <v>0</v>
      </c>
      <c r="N656">
        <v>0</v>
      </c>
      <c r="P656">
        <v>0</v>
      </c>
      <c r="S656">
        <v>12</v>
      </c>
      <c r="U656">
        <v>0</v>
      </c>
      <c r="V656">
        <v>0</v>
      </c>
      <c r="W656" s="1">
        <v>44160</v>
      </c>
      <c r="AA656" t="s">
        <v>40</v>
      </c>
      <c r="AC656" t="s">
        <v>40</v>
      </c>
      <c r="AF656" t="s">
        <v>40</v>
      </c>
      <c r="AH656" t="s">
        <v>40</v>
      </c>
      <c r="AI656" t="s">
        <v>40</v>
      </c>
      <c r="AK656" t="s">
        <v>40</v>
      </c>
    </row>
    <row r="657" spans="1:37" x14ac:dyDescent="0.3">
      <c r="A657">
        <v>2019</v>
      </c>
      <c r="B657">
        <v>6</v>
      </c>
      <c r="C657" t="str">
        <f t="shared" si="20"/>
        <v>6/01/2019</v>
      </c>
      <c r="D657" s="1" t="str">
        <f t="shared" si="21"/>
        <v>6/01/2019</v>
      </c>
      <c r="E657" t="s">
        <v>37</v>
      </c>
      <c r="F657" t="s">
        <v>54</v>
      </c>
      <c r="G657" t="s">
        <v>45</v>
      </c>
      <c r="J657">
        <v>0</v>
      </c>
      <c r="L657">
        <v>0</v>
      </c>
      <c r="M657">
        <v>0</v>
      </c>
      <c r="N657">
        <v>0</v>
      </c>
      <c r="O657">
        <v>0</v>
      </c>
      <c r="Q657">
        <v>0</v>
      </c>
      <c r="R657">
        <v>0</v>
      </c>
      <c r="S657">
        <v>0</v>
      </c>
      <c r="U657">
        <v>0</v>
      </c>
      <c r="V657">
        <v>0</v>
      </c>
      <c r="W657" s="1">
        <v>44160</v>
      </c>
      <c r="Y657" t="s">
        <v>40</v>
      </c>
      <c r="Z657" t="s">
        <v>40</v>
      </c>
      <c r="AB657" t="s">
        <v>40</v>
      </c>
      <c r="AG657" t="s">
        <v>40</v>
      </c>
      <c r="AK657" t="s">
        <v>40</v>
      </c>
    </row>
    <row r="658" spans="1:37" x14ac:dyDescent="0.3">
      <c r="A658">
        <v>2019</v>
      </c>
      <c r="B658">
        <v>6</v>
      </c>
      <c r="C658" t="str">
        <f t="shared" si="20"/>
        <v>6/01/2019</v>
      </c>
      <c r="D658" s="1" t="str">
        <f t="shared" si="21"/>
        <v>6/01/2019</v>
      </c>
      <c r="E658" t="s">
        <v>37</v>
      </c>
      <c r="F658" t="s">
        <v>54</v>
      </c>
      <c r="G658" t="s">
        <v>46</v>
      </c>
      <c r="H658">
        <v>127</v>
      </c>
      <c r="I658">
        <v>113</v>
      </c>
      <c r="K658">
        <v>36</v>
      </c>
      <c r="L658">
        <v>12</v>
      </c>
      <c r="S658">
        <v>24</v>
      </c>
      <c r="U658">
        <v>0</v>
      </c>
      <c r="V658">
        <v>0</v>
      </c>
      <c r="W658" s="1">
        <v>44160</v>
      </c>
      <c r="AA658" t="s">
        <v>40</v>
      </c>
      <c r="AD658" t="s">
        <v>40</v>
      </c>
      <c r="AE658" t="s">
        <v>40</v>
      </c>
      <c r="AF658" t="s">
        <v>40</v>
      </c>
      <c r="AG658" t="s">
        <v>40</v>
      </c>
      <c r="AH658" t="s">
        <v>40</v>
      </c>
      <c r="AI658" t="s">
        <v>40</v>
      </c>
      <c r="AK658" t="s">
        <v>40</v>
      </c>
    </row>
    <row r="659" spans="1:37" x14ac:dyDescent="0.3">
      <c r="A659">
        <v>2019</v>
      </c>
      <c r="B659">
        <v>6</v>
      </c>
      <c r="C659" t="str">
        <f t="shared" si="20"/>
        <v>6/01/2019</v>
      </c>
      <c r="D659" s="1" t="str">
        <f t="shared" si="21"/>
        <v>6/01/2019</v>
      </c>
      <c r="E659" t="s">
        <v>37</v>
      </c>
      <c r="F659" t="s">
        <v>54</v>
      </c>
      <c r="G659" t="s">
        <v>47</v>
      </c>
      <c r="H659">
        <v>158</v>
      </c>
      <c r="I659">
        <v>152</v>
      </c>
      <c r="K659">
        <v>44</v>
      </c>
      <c r="O659">
        <v>13</v>
      </c>
      <c r="P659">
        <v>0</v>
      </c>
      <c r="R659">
        <v>0</v>
      </c>
      <c r="S659">
        <v>44</v>
      </c>
      <c r="U659">
        <v>0</v>
      </c>
      <c r="V659">
        <v>0</v>
      </c>
      <c r="W659" s="1">
        <v>44160</v>
      </c>
      <c r="AA659" t="s">
        <v>40</v>
      </c>
      <c r="AC659" t="s">
        <v>40</v>
      </c>
      <c r="AD659" t="s">
        <v>40</v>
      </c>
      <c r="AE659" t="s">
        <v>40</v>
      </c>
      <c r="AH659" t="s">
        <v>40</v>
      </c>
      <c r="AK659" t="s">
        <v>40</v>
      </c>
    </row>
    <row r="660" spans="1:37" x14ac:dyDescent="0.3">
      <c r="A660">
        <v>2019</v>
      </c>
      <c r="B660">
        <v>6</v>
      </c>
      <c r="C660" t="str">
        <f t="shared" si="20"/>
        <v>6/01/2019</v>
      </c>
      <c r="D660" s="1" t="str">
        <f t="shared" si="21"/>
        <v>6/01/2019</v>
      </c>
      <c r="E660" t="s">
        <v>37</v>
      </c>
      <c r="F660" t="s">
        <v>54</v>
      </c>
      <c r="G660" t="s">
        <v>48</v>
      </c>
      <c r="H660">
        <v>143</v>
      </c>
      <c r="I660">
        <v>138</v>
      </c>
      <c r="K660">
        <v>34</v>
      </c>
      <c r="R660">
        <v>0</v>
      </c>
      <c r="S660">
        <v>31</v>
      </c>
      <c r="T660">
        <v>13</v>
      </c>
      <c r="U660">
        <v>0</v>
      </c>
      <c r="V660">
        <v>0</v>
      </c>
      <c r="W660" s="1">
        <v>44160</v>
      </c>
      <c r="AA660" t="s">
        <v>40</v>
      </c>
      <c r="AC660" t="s">
        <v>40</v>
      </c>
      <c r="AD660" t="s">
        <v>40</v>
      </c>
      <c r="AE660" t="s">
        <v>40</v>
      </c>
      <c r="AF660" t="s">
        <v>40</v>
      </c>
      <c r="AG660" t="s">
        <v>40</v>
      </c>
      <c r="AH660" t="s">
        <v>40</v>
      </c>
    </row>
    <row r="661" spans="1:37" x14ac:dyDescent="0.3">
      <c r="A661">
        <v>2019</v>
      </c>
      <c r="B661">
        <v>6</v>
      </c>
      <c r="C661" t="str">
        <f t="shared" si="20"/>
        <v>6/01/2019</v>
      </c>
      <c r="D661" s="1" t="str">
        <f t="shared" si="21"/>
        <v>6/01/2019</v>
      </c>
      <c r="E661" t="s">
        <v>37</v>
      </c>
      <c r="F661" t="s">
        <v>54</v>
      </c>
      <c r="G661" t="s">
        <v>49</v>
      </c>
      <c r="H661">
        <v>160</v>
      </c>
      <c r="I661">
        <v>156</v>
      </c>
      <c r="K661">
        <v>18</v>
      </c>
      <c r="M661">
        <v>14</v>
      </c>
      <c r="S661">
        <v>45</v>
      </c>
      <c r="T661">
        <v>22</v>
      </c>
      <c r="U661">
        <v>0</v>
      </c>
      <c r="V661">
        <v>0</v>
      </c>
      <c r="W661" s="1">
        <v>44160</v>
      </c>
      <c r="AA661" t="s">
        <v>40</v>
      </c>
      <c r="AC661" t="s">
        <v>40</v>
      </c>
      <c r="AE661" t="s">
        <v>40</v>
      </c>
      <c r="AF661" t="s">
        <v>40</v>
      </c>
      <c r="AG661" t="s">
        <v>40</v>
      </c>
      <c r="AH661" t="s">
        <v>40</v>
      </c>
      <c r="AI661" t="s">
        <v>40</v>
      </c>
    </row>
    <row r="662" spans="1:37" x14ac:dyDescent="0.3">
      <c r="A662">
        <v>2019</v>
      </c>
      <c r="B662">
        <v>6</v>
      </c>
      <c r="C662" t="str">
        <f t="shared" si="20"/>
        <v>6/01/2019</v>
      </c>
      <c r="D662" s="1" t="str">
        <f t="shared" si="21"/>
        <v>6/01/2019</v>
      </c>
      <c r="E662" t="s">
        <v>55</v>
      </c>
      <c r="F662" t="s">
        <v>38</v>
      </c>
      <c r="G662" t="s">
        <v>39</v>
      </c>
      <c r="H662">
        <v>261</v>
      </c>
      <c r="I662">
        <v>219</v>
      </c>
      <c r="J662">
        <v>0</v>
      </c>
      <c r="L662">
        <v>0</v>
      </c>
      <c r="M662">
        <v>0</v>
      </c>
      <c r="N662">
        <v>0</v>
      </c>
      <c r="O662">
        <v>0</v>
      </c>
      <c r="R662">
        <v>19</v>
      </c>
      <c r="U662">
        <v>0</v>
      </c>
      <c r="V662">
        <v>0</v>
      </c>
      <c r="W662" s="1">
        <v>44160</v>
      </c>
      <c r="AB662" t="s">
        <v>40</v>
      </c>
      <c r="AG662" t="s">
        <v>40</v>
      </c>
      <c r="AH662" t="s">
        <v>40</v>
      </c>
      <c r="AJ662" t="s">
        <v>40</v>
      </c>
      <c r="AK662" t="s">
        <v>40</v>
      </c>
    </row>
    <row r="663" spans="1:37" x14ac:dyDescent="0.3">
      <c r="A663">
        <v>2019</v>
      </c>
      <c r="B663">
        <v>6</v>
      </c>
      <c r="C663" t="str">
        <f t="shared" si="20"/>
        <v>6/01/2019</v>
      </c>
      <c r="D663" s="1" t="str">
        <f t="shared" si="21"/>
        <v>6/01/2019</v>
      </c>
      <c r="E663" t="s">
        <v>55</v>
      </c>
      <c r="F663" t="s">
        <v>38</v>
      </c>
      <c r="G663" t="s">
        <v>41</v>
      </c>
      <c r="H663">
        <v>414</v>
      </c>
      <c r="I663">
        <v>78</v>
      </c>
      <c r="K663">
        <v>19</v>
      </c>
      <c r="M663">
        <v>0</v>
      </c>
      <c r="R663">
        <v>11</v>
      </c>
      <c r="U663">
        <v>0</v>
      </c>
      <c r="V663">
        <v>0</v>
      </c>
      <c r="W663" s="1">
        <v>44160</v>
      </c>
      <c r="AA663" t="s">
        <v>40</v>
      </c>
      <c r="AC663" t="s">
        <v>40</v>
      </c>
      <c r="AE663" t="s">
        <v>40</v>
      </c>
      <c r="AF663" t="s">
        <v>40</v>
      </c>
      <c r="AG663" t="s">
        <v>40</v>
      </c>
      <c r="AH663" t="s">
        <v>40</v>
      </c>
      <c r="AJ663" t="s">
        <v>40</v>
      </c>
      <c r="AK663" t="s">
        <v>40</v>
      </c>
    </row>
    <row r="664" spans="1:37" x14ac:dyDescent="0.3">
      <c r="A664">
        <v>2019</v>
      </c>
      <c r="B664">
        <v>6</v>
      </c>
      <c r="C664" t="str">
        <f t="shared" si="20"/>
        <v>6/01/2019</v>
      </c>
      <c r="D664" s="1" t="str">
        <f t="shared" si="21"/>
        <v>6/01/2019</v>
      </c>
      <c r="E664" t="s">
        <v>55</v>
      </c>
      <c r="F664" t="s">
        <v>38</v>
      </c>
      <c r="G664" t="s">
        <v>42</v>
      </c>
      <c r="H664">
        <v>601</v>
      </c>
      <c r="I664">
        <v>156</v>
      </c>
      <c r="K664">
        <v>36</v>
      </c>
      <c r="M664">
        <v>0</v>
      </c>
      <c r="R664">
        <v>11</v>
      </c>
      <c r="S664">
        <v>26</v>
      </c>
      <c r="U664">
        <v>0</v>
      </c>
      <c r="V664">
        <v>0</v>
      </c>
      <c r="W664" s="1">
        <v>44160</v>
      </c>
      <c r="AA664" t="s">
        <v>40</v>
      </c>
      <c r="AC664" t="s">
        <v>40</v>
      </c>
      <c r="AE664" t="s">
        <v>40</v>
      </c>
      <c r="AF664" t="s">
        <v>40</v>
      </c>
      <c r="AG664" t="s">
        <v>40</v>
      </c>
      <c r="AH664" t="s">
        <v>40</v>
      </c>
      <c r="AK664" t="s">
        <v>40</v>
      </c>
    </row>
    <row r="665" spans="1:37" x14ac:dyDescent="0.3">
      <c r="A665">
        <v>2019</v>
      </c>
      <c r="B665">
        <v>6</v>
      </c>
      <c r="C665" t="str">
        <f t="shared" si="20"/>
        <v>6/01/2019</v>
      </c>
      <c r="D665" s="1" t="str">
        <f t="shared" si="21"/>
        <v>6/01/2019</v>
      </c>
      <c r="E665" t="s">
        <v>55</v>
      </c>
      <c r="F665" t="s">
        <v>38</v>
      </c>
      <c r="G665" t="s">
        <v>43</v>
      </c>
      <c r="H665">
        <v>721</v>
      </c>
      <c r="I665">
        <v>346</v>
      </c>
      <c r="K665">
        <v>71</v>
      </c>
      <c r="L665">
        <v>17</v>
      </c>
      <c r="R665">
        <v>10</v>
      </c>
      <c r="S665">
        <v>69</v>
      </c>
      <c r="T665">
        <v>22</v>
      </c>
      <c r="U665">
        <v>0</v>
      </c>
      <c r="V665">
        <v>0</v>
      </c>
      <c r="W665" s="1">
        <v>44160</v>
      </c>
      <c r="AA665" t="s">
        <v>40</v>
      </c>
      <c r="AD665" t="s">
        <v>40</v>
      </c>
      <c r="AE665" t="s">
        <v>40</v>
      </c>
      <c r="AF665" t="s">
        <v>40</v>
      </c>
      <c r="AG665" t="s">
        <v>40</v>
      </c>
      <c r="AH665" t="s">
        <v>40</v>
      </c>
    </row>
    <row r="666" spans="1:37" x14ac:dyDescent="0.3">
      <c r="A666">
        <v>2019</v>
      </c>
      <c r="B666">
        <v>6</v>
      </c>
      <c r="C666" t="str">
        <f t="shared" si="20"/>
        <v>6/01/2019</v>
      </c>
      <c r="D666" s="1" t="str">
        <f t="shared" si="21"/>
        <v>6/01/2019</v>
      </c>
      <c r="E666" t="s">
        <v>55</v>
      </c>
      <c r="F666" t="s">
        <v>38</v>
      </c>
      <c r="G666" t="s">
        <v>44</v>
      </c>
      <c r="H666" s="2">
        <v>1045</v>
      </c>
      <c r="I666">
        <v>777</v>
      </c>
      <c r="J666">
        <v>13</v>
      </c>
      <c r="K666">
        <v>178</v>
      </c>
      <c r="L666">
        <v>50</v>
      </c>
      <c r="N666">
        <v>12</v>
      </c>
      <c r="P666">
        <v>17</v>
      </c>
      <c r="R666">
        <v>13</v>
      </c>
      <c r="S666">
        <v>178</v>
      </c>
      <c r="T666">
        <v>41</v>
      </c>
      <c r="U666">
        <v>0</v>
      </c>
      <c r="V666">
        <v>0</v>
      </c>
      <c r="W666" s="1">
        <v>44160</v>
      </c>
      <c r="AD666" t="s">
        <v>40</v>
      </c>
      <c r="AF666" t="s">
        <v>40</v>
      </c>
      <c r="AH666" t="s">
        <v>40</v>
      </c>
    </row>
    <row r="667" spans="1:37" x14ac:dyDescent="0.3">
      <c r="A667">
        <v>2019</v>
      </c>
      <c r="B667">
        <v>6</v>
      </c>
      <c r="C667" t="str">
        <f t="shared" si="20"/>
        <v>6/01/2019</v>
      </c>
      <c r="D667" s="1" t="str">
        <f t="shared" si="21"/>
        <v>6/01/2019</v>
      </c>
      <c r="E667" t="s">
        <v>55</v>
      </c>
      <c r="F667" t="s">
        <v>38</v>
      </c>
      <c r="G667" t="s">
        <v>45</v>
      </c>
      <c r="H667">
        <v>49</v>
      </c>
      <c r="I667">
        <v>23</v>
      </c>
      <c r="J667">
        <v>0</v>
      </c>
      <c r="K667">
        <v>11</v>
      </c>
      <c r="L667">
        <v>0</v>
      </c>
      <c r="M667">
        <v>0</v>
      </c>
      <c r="O667">
        <v>0</v>
      </c>
      <c r="P667">
        <v>0</v>
      </c>
      <c r="Q667">
        <v>0</v>
      </c>
      <c r="R667">
        <v>0</v>
      </c>
      <c r="T667">
        <v>0</v>
      </c>
      <c r="U667">
        <v>0</v>
      </c>
      <c r="V667">
        <v>0</v>
      </c>
      <c r="W667" s="1">
        <v>44160</v>
      </c>
      <c r="AE667" t="s">
        <v>40</v>
      </c>
      <c r="AJ667" t="s">
        <v>40</v>
      </c>
    </row>
    <row r="668" spans="1:37" x14ac:dyDescent="0.3">
      <c r="A668">
        <v>2019</v>
      </c>
      <c r="B668">
        <v>6</v>
      </c>
      <c r="C668" t="str">
        <f t="shared" si="20"/>
        <v>6/01/2019</v>
      </c>
      <c r="D668" s="1" t="str">
        <f t="shared" si="21"/>
        <v>6/01/2019</v>
      </c>
      <c r="E668" t="s">
        <v>55</v>
      </c>
      <c r="F668" t="s">
        <v>38</v>
      </c>
      <c r="G668" t="s">
        <v>46</v>
      </c>
      <c r="H668" s="2">
        <v>1634</v>
      </c>
      <c r="I668" s="2">
        <v>1425</v>
      </c>
      <c r="J668">
        <v>21</v>
      </c>
      <c r="K668">
        <v>392</v>
      </c>
      <c r="L668">
        <v>98</v>
      </c>
      <c r="N668">
        <v>15</v>
      </c>
      <c r="O668">
        <v>29</v>
      </c>
      <c r="P668">
        <v>26</v>
      </c>
      <c r="Q668">
        <v>34</v>
      </c>
      <c r="R668">
        <v>13</v>
      </c>
      <c r="S668">
        <v>342</v>
      </c>
      <c r="T668">
        <v>82</v>
      </c>
      <c r="U668">
        <v>0</v>
      </c>
      <c r="V668">
        <v>0</v>
      </c>
      <c r="W668" s="1">
        <v>44160</v>
      </c>
      <c r="AD668" t="s">
        <v>40</v>
      </c>
    </row>
    <row r="669" spans="1:37" x14ac:dyDescent="0.3">
      <c r="A669">
        <v>2019</v>
      </c>
      <c r="B669">
        <v>6</v>
      </c>
      <c r="C669" t="str">
        <f t="shared" si="20"/>
        <v>6/01/2019</v>
      </c>
      <c r="D669" s="1" t="str">
        <f t="shared" si="21"/>
        <v>6/01/2019</v>
      </c>
      <c r="E669" t="s">
        <v>55</v>
      </c>
      <c r="F669" t="s">
        <v>38</v>
      </c>
      <c r="G669" t="s">
        <v>47</v>
      </c>
      <c r="H669" s="2">
        <v>1710</v>
      </c>
      <c r="I669" s="2">
        <v>1622</v>
      </c>
      <c r="J669">
        <v>23</v>
      </c>
      <c r="K669">
        <v>515</v>
      </c>
      <c r="L669">
        <v>118</v>
      </c>
      <c r="M669">
        <v>17</v>
      </c>
      <c r="N669">
        <v>27</v>
      </c>
      <c r="O669">
        <v>47</v>
      </c>
      <c r="P669">
        <v>34</v>
      </c>
      <c r="Q669">
        <v>47</v>
      </c>
      <c r="R669">
        <v>11</v>
      </c>
      <c r="S669">
        <v>403</v>
      </c>
      <c r="T669">
        <v>73</v>
      </c>
      <c r="U669">
        <v>0</v>
      </c>
      <c r="V669">
        <v>0</v>
      </c>
      <c r="W669" s="1">
        <v>44160</v>
      </c>
    </row>
    <row r="670" spans="1:37" x14ac:dyDescent="0.3">
      <c r="A670">
        <v>2019</v>
      </c>
      <c r="B670">
        <v>6</v>
      </c>
      <c r="C670" t="str">
        <f t="shared" si="20"/>
        <v>6/01/2019</v>
      </c>
      <c r="D670" s="1" t="str">
        <f t="shared" si="21"/>
        <v>6/01/2019</v>
      </c>
      <c r="E670" t="s">
        <v>55</v>
      </c>
      <c r="F670" t="s">
        <v>38</v>
      </c>
      <c r="G670" t="s">
        <v>48</v>
      </c>
      <c r="H670" s="2">
        <v>1656</v>
      </c>
      <c r="I670" s="2">
        <v>1603</v>
      </c>
      <c r="J670">
        <v>15</v>
      </c>
      <c r="K670">
        <v>440</v>
      </c>
      <c r="L670">
        <v>80</v>
      </c>
      <c r="M670">
        <v>62</v>
      </c>
      <c r="N670">
        <v>34</v>
      </c>
      <c r="O670">
        <v>71</v>
      </c>
      <c r="P670">
        <v>38</v>
      </c>
      <c r="Q670">
        <v>51</v>
      </c>
      <c r="S670">
        <v>375</v>
      </c>
      <c r="T670">
        <v>108</v>
      </c>
      <c r="U670">
        <v>0</v>
      </c>
      <c r="V670">
        <v>0</v>
      </c>
      <c r="W670" s="1">
        <v>44160</v>
      </c>
      <c r="AI670" t="s">
        <v>40</v>
      </c>
    </row>
    <row r="671" spans="1:37" x14ac:dyDescent="0.3">
      <c r="A671">
        <v>2019</v>
      </c>
      <c r="B671">
        <v>6</v>
      </c>
      <c r="C671" t="str">
        <f t="shared" si="20"/>
        <v>6/01/2019</v>
      </c>
      <c r="D671" s="1" t="str">
        <f t="shared" si="21"/>
        <v>6/01/2019</v>
      </c>
      <c r="E671" t="s">
        <v>55</v>
      </c>
      <c r="F671" t="s">
        <v>38</v>
      </c>
      <c r="G671" t="s">
        <v>49</v>
      </c>
      <c r="H671" s="2">
        <v>1486</v>
      </c>
      <c r="I671" s="2">
        <v>1452</v>
      </c>
      <c r="J671">
        <v>17</v>
      </c>
      <c r="K671">
        <v>225</v>
      </c>
      <c r="L671">
        <v>50</v>
      </c>
      <c r="M671">
        <v>108</v>
      </c>
      <c r="N671">
        <v>29</v>
      </c>
      <c r="O671">
        <v>80</v>
      </c>
      <c r="P671">
        <v>32</v>
      </c>
      <c r="Q671">
        <v>39</v>
      </c>
      <c r="R671">
        <v>10</v>
      </c>
      <c r="S671">
        <v>428</v>
      </c>
      <c r="T671">
        <v>93</v>
      </c>
      <c r="U671">
        <v>0</v>
      </c>
      <c r="V671">
        <v>0</v>
      </c>
      <c r="W671" s="1">
        <v>44160</v>
      </c>
    </row>
    <row r="672" spans="1:37" x14ac:dyDescent="0.3">
      <c r="A672">
        <v>2019</v>
      </c>
      <c r="B672">
        <v>6</v>
      </c>
      <c r="C672" t="str">
        <f t="shared" si="20"/>
        <v>6/01/2019</v>
      </c>
      <c r="D672" s="1" t="str">
        <f t="shared" si="21"/>
        <v>6/01/2019</v>
      </c>
      <c r="E672" t="s">
        <v>55</v>
      </c>
      <c r="F672" t="s">
        <v>50</v>
      </c>
      <c r="G672" t="s">
        <v>39</v>
      </c>
      <c r="H672">
        <v>15</v>
      </c>
      <c r="I672">
        <v>12</v>
      </c>
      <c r="J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T672">
        <v>0</v>
      </c>
      <c r="U672">
        <v>0</v>
      </c>
      <c r="V672">
        <v>0</v>
      </c>
      <c r="W672" s="1">
        <v>44160</v>
      </c>
      <c r="AB672" t="s">
        <v>40</v>
      </c>
      <c r="AI672" t="s">
        <v>40</v>
      </c>
      <c r="AJ672" t="s">
        <v>40</v>
      </c>
    </row>
    <row r="673" spans="1:37" x14ac:dyDescent="0.3">
      <c r="A673">
        <v>2019</v>
      </c>
      <c r="B673">
        <v>6</v>
      </c>
      <c r="C673" t="str">
        <f t="shared" si="20"/>
        <v>6/01/2019</v>
      </c>
      <c r="D673" s="1" t="str">
        <f t="shared" si="21"/>
        <v>6/01/2019</v>
      </c>
      <c r="E673" t="s">
        <v>55</v>
      </c>
      <c r="F673" t="s">
        <v>50</v>
      </c>
      <c r="G673" t="s">
        <v>41</v>
      </c>
      <c r="H673">
        <v>23</v>
      </c>
      <c r="J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 s="1">
        <v>44160</v>
      </c>
      <c r="Z673" t="s">
        <v>40</v>
      </c>
      <c r="AB673" t="s">
        <v>40</v>
      </c>
    </row>
    <row r="674" spans="1:37" x14ac:dyDescent="0.3">
      <c r="A674">
        <v>2019</v>
      </c>
      <c r="B674">
        <v>6</v>
      </c>
      <c r="C674" t="str">
        <f t="shared" si="20"/>
        <v>6/01/2019</v>
      </c>
      <c r="D674" s="1" t="str">
        <f t="shared" si="21"/>
        <v>6/01/2019</v>
      </c>
      <c r="E674" t="s">
        <v>55</v>
      </c>
      <c r="F674" t="s">
        <v>50</v>
      </c>
      <c r="G674" t="s">
        <v>42</v>
      </c>
      <c r="H674">
        <v>57</v>
      </c>
      <c r="I674">
        <v>16</v>
      </c>
      <c r="J674">
        <v>0</v>
      </c>
      <c r="K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T674">
        <v>0</v>
      </c>
      <c r="U674">
        <v>0</v>
      </c>
      <c r="V674">
        <v>0</v>
      </c>
      <c r="W674" s="1">
        <v>44160</v>
      </c>
      <c r="AC674" t="s">
        <v>40</v>
      </c>
      <c r="AJ674" t="s">
        <v>40</v>
      </c>
    </row>
    <row r="675" spans="1:37" x14ac:dyDescent="0.3">
      <c r="A675">
        <v>2019</v>
      </c>
      <c r="B675">
        <v>6</v>
      </c>
      <c r="C675" t="str">
        <f t="shared" si="20"/>
        <v>6/01/2019</v>
      </c>
      <c r="D675" s="1" t="str">
        <f t="shared" si="21"/>
        <v>6/01/2019</v>
      </c>
      <c r="E675" t="s">
        <v>55</v>
      </c>
      <c r="F675" t="s">
        <v>50</v>
      </c>
      <c r="G675" t="s">
        <v>43</v>
      </c>
      <c r="H675">
        <v>73</v>
      </c>
      <c r="I675">
        <v>35</v>
      </c>
      <c r="M675">
        <v>0</v>
      </c>
      <c r="N675">
        <v>0</v>
      </c>
      <c r="O675">
        <v>0</v>
      </c>
      <c r="P675">
        <v>0</v>
      </c>
      <c r="Q675">
        <v>0</v>
      </c>
      <c r="U675">
        <v>0</v>
      </c>
      <c r="V675">
        <v>0</v>
      </c>
      <c r="W675" s="1">
        <v>44160</v>
      </c>
      <c r="AA675" t="s">
        <v>40</v>
      </c>
      <c r="AB675" t="s">
        <v>40</v>
      </c>
      <c r="AC675" t="s">
        <v>40</v>
      </c>
      <c r="AI675" t="s">
        <v>40</v>
      </c>
      <c r="AJ675" t="s">
        <v>40</v>
      </c>
      <c r="AK675" t="s">
        <v>40</v>
      </c>
    </row>
    <row r="676" spans="1:37" x14ac:dyDescent="0.3">
      <c r="A676">
        <v>2019</v>
      </c>
      <c r="B676">
        <v>6</v>
      </c>
      <c r="C676" t="str">
        <f t="shared" si="20"/>
        <v>6/01/2019</v>
      </c>
      <c r="D676" s="1" t="str">
        <f t="shared" si="21"/>
        <v>6/01/2019</v>
      </c>
      <c r="E676" t="s">
        <v>55</v>
      </c>
      <c r="F676" t="s">
        <v>50</v>
      </c>
      <c r="G676" t="s">
        <v>44</v>
      </c>
      <c r="H676">
        <v>94</v>
      </c>
      <c r="I676">
        <v>69</v>
      </c>
      <c r="K676">
        <v>10</v>
      </c>
      <c r="M676">
        <v>0</v>
      </c>
      <c r="R676">
        <v>0</v>
      </c>
      <c r="S676">
        <v>22</v>
      </c>
      <c r="U676">
        <v>0</v>
      </c>
      <c r="V676">
        <v>0</v>
      </c>
      <c r="W676" s="1">
        <v>44160</v>
      </c>
      <c r="AA676" t="s">
        <v>40</v>
      </c>
      <c r="AC676" t="s">
        <v>40</v>
      </c>
      <c r="AE676" t="s">
        <v>40</v>
      </c>
      <c r="AF676" t="s">
        <v>40</v>
      </c>
      <c r="AG676" t="s">
        <v>40</v>
      </c>
      <c r="AH676" t="s">
        <v>40</v>
      </c>
      <c r="AK676" t="s">
        <v>40</v>
      </c>
    </row>
    <row r="677" spans="1:37" x14ac:dyDescent="0.3">
      <c r="A677">
        <v>2019</v>
      </c>
      <c r="B677">
        <v>6</v>
      </c>
      <c r="C677" t="str">
        <f t="shared" si="20"/>
        <v>6/01/2019</v>
      </c>
      <c r="D677" s="1" t="str">
        <f t="shared" si="21"/>
        <v>6/01/2019</v>
      </c>
      <c r="E677" t="s">
        <v>55</v>
      </c>
      <c r="F677" t="s">
        <v>50</v>
      </c>
      <c r="G677" t="s">
        <v>45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 s="1">
        <v>44160</v>
      </c>
      <c r="Y677" t="s">
        <v>40</v>
      </c>
    </row>
    <row r="678" spans="1:37" x14ac:dyDescent="0.3">
      <c r="A678">
        <v>2019</v>
      </c>
      <c r="B678">
        <v>6</v>
      </c>
      <c r="C678" t="str">
        <f t="shared" si="20"/>
        <v>6/01/2019</v>
      </c>
      <c r="D678" s="1" t="str">
        <f t="shared" si="21"/>
        <v>6/01/2019</v>
      </c>
      <c r="E678" t="s">
        <v>55</v>
      </c>
      <c r="F678" t="s">
        <v>50</v>
      </c>
      <c r="G678" t="s">
        <v>46</v>
      </c>
      <c r="H678">
        <v>142</v>
      </c>
      <c r="I678">
        <v>125</v>
      </c>
      <c r="J678">
        <v>0</v>
      </c>
      <c r="K678">
        <v>32</v>
      </c>
      <c r="L678">
        <v>10</v>
      </c>
      <c r="M678">
        <v>0</v>
      </c>
      <c r="R678">
        <v>0</v>
      </c>
      <c r="S678">
        <v>31</v>
      </c>
      <c r="U678">
        <v>0</v>
      </c>
      <c r="V678">
        <v>0</v>
      </c>
      <c r="W678" s="1">
        <v>44160</v>
      </c>
      <c r="AE678" t="s">
        <v>40</v>
      </c>
      <c r="AF678" t="s">
        <v>40</v>
      </c>
      <c r="AG678" t="s">
        <v>40</v>
      </c>
      <c r="AH678" t="s">
        <v>40</v>
      </c>
      <c r="AK678" t="s">
        <v>40</v>
      </c>
    </row>
    <row r="679" spans="1:37" x14ac:dyDescent="0.3">
      <c r="A679">
        <v>2019</v>
      </c>
      <c r="B679">
        <v>6</v>
      </c>
      <c r="C679" t="str">
        <f t="shared" si="20"/>
        <v>6/01/2019</v>
      </c>
      <c r="D679" s="1" t="str">
        <f t="shared" si="21"/>
        <v>6/01/2019</v>
      </c>
      <c r="E679" t="s">
        <v>55</v>
      </c>
      <c r="F679" t="s">
        <v>50</v>
      </c>
      <c r="G679" t="s">
        <v>47</v>
      </c>
      <c r="H679">
        <v>169</v>
      </c>
      <c r="I679">
        <v>155</v>
      </c>
      <c r="K679">
        <v>51</v>
      </c>
      <c r="L679">
        <v>10</v>
      </c>
      <c r="S679">
        <v>36</v>
      </c>
      <c r="U679">
        <v>0</v>
      </c>
      <c r="V679">
        <v>0</v>
      </c>
      <c r="W679" s="1">
        <v>44160</v>
      </c>
      <c r="AA679" t="s">
        <v>40</v>
      </c>
      <c r="AD679" t="s">
        <v>40</v>
      </c>
      <c r="AE679" t="s">
        <v>40</v>
      </c>
      <c r="AF679" t="s">
        <v>40</v>
      </c>
      <c r="AG679" t="s">
        <v>40</v>
      </c>
      <c r="AH679" t="s">
        <v>40</v>
      </c>
      <c r="AI679" t="s">
        <v>40</v>
      </c>
      <c r="AK679" t="s">
        <v>40</v>
      </c>
    </row>
    <row r="680" spans="1:37" x14ac:dyDescent="0.3">
      <c r="A680">
        <v>2019</v>
      </c>
      <c r="B680">
        <v>6</v>
      </c>
      <c r="C680" t="str">
        <f t="shared" si="20"/>
        <v>6/01/2019</v>
      </c>
      <c r="D680" s="1" t="str">
        <f t="shared" si="21"/>
        <v>6/01/2019</v>
      </c>
      <c r="E680" t="s">
        <v>55</v>
      </c>
      <c r="F680" t="s">
        <v>50</v>
      </c>
      <c r="G680" t="s">
        <v>48</v>
      </c>
      <c r="H680">
        <v>132</v>
      </c>
      <c r="I680">
        <v>127</v>
      </c>
      <c r="K680">
        <v>24</v>
      </c>
      <c r="O680">
        <v>13</v>
      </c>
      <c r="R680">
        <v>0</v>
      </c>
      <c r="S680">
        <v>28</v>
      </c>
      <c r="U680">
        <v>0</v>
      </c>
      <c r="V680">
        <v>0</v>
      </c>
      <c r="W680" s="1">
        <v>44160</v>
      </c>
      <c r="AA680" t="s">
        <v>40</v>
      </c>
      <c r="AC680" t="s">
        <v>40</v>
      </c>
      <c r="AD680" t="s">
        <v>40</v>
      </c>
      <c r="AE680" t="s">
        <v>40</v>
      </c>
      <c r="AG680" t="s">
        <v>40</v>
      </c>
      <c r="AH680" t="s">
        <v>40</v>
      </c>
      <c r="AK680" t="s">
        <v>40</v>
      </c>
    </row>
    <row r="681" spans="1:37" x14ac:dyDescent="0.3">
      <c r="A681">
        <v>2019</v>
      </c>
      <c r="B681">
        <v>6</v>
      </c>
      <c r="C681" t="str">
        <f t="shared" si="20"/>
        <v>6/01/2019</v>
      </c>
      <c r="D681" s="1" t="str">
        <f t="shared" si="21"/>
        <v>6/01/2019</v>
      </c>
      <c r="E681" t="s">
        <v>55</v>
      </c>
      <c r="F681" t="s">
        <v>50</v>
      </c>
      <c r="G681" t="s">
        <v>49</v>
      </c>
      <c r="H681">
        <v>51</v>
      </c>
      <c r="I681">
        <v>46</v>
      </c>
      <c r="R681">
        <v>0</v>
      </c>
      <c r="S681">
        <v>12</v>
      </c>
      <c r="U681">
        <v>0</v>
      </c>
      <c r="V681">
        <v>0</v>
      </c>
      <c r="W681" s="1">
        <v>44160</v>
      </c>
      <c r="AA681" t="s">
        <v>40</v>
      </c>
      <c r="AB681" t="s">
        <v>40</v>
      </c>
      <c r="AC681" t="s">
        <v>40</v>
      </c>
      <c r="AD681" t="s">
        <v>40</v>
      </c>
      <c r="AE681" t="s">
        <v>40</v>
      </c>
      <c r="AF681" t="s">
        <v>40</v>
      </c>
      <c r="AG681" t="s">
        <v>40</v>
      </c>
      <c r="AH681" t="s">
        <v>40</v>
      </c>
      <c r="AK681" t="s">
        <v>40</v>
      </c>
    </row>
    <row r="682" spans="1:37" x14ac:dyDescent="0.3">
      <c r="A682">
        <v>2019</v>
      </c>
      <c r="B682">
        <v>6</v>
      </c>
      <c r="C682" t="str">
        <f t="shared" si="20"/>
        <v>6/01/2019</v>
      </c>
      <c r="D682" s="1" t="str">
        <f t="shared" si="21"/>
        <v>6/01/2019</v>
      </c>
      <c r="E682" t="s">
        <v>55</v>
      </c>
      <c r="F682" t="s">
        <v>51</v>
      </c>
      <c r="G682" t="s">
        <v>39</v>
      </c>
      <c r="H682">
        <v>33</v>
      </c>
      <c r="I682">
        <v>31</v>
      </c>
      <c r="K682">
        <v>0</v>
      </c>
      <c r="L682">
        <v>0</v>
      </c>
      <c r="M682">
        <v>0</v>
      </c>
      <c r="N682">
        <v>0</v>
      </c>
      <c r="O682">
        <v>0</v>
      </c>
      <c r="Q682">
        <v>0</v>
      </c>
      <c r="R682">
        <v>0</v>
      </c>
      <c r="S682">
        <v>0</v>
      </c>
      <c r="U682">
        <v>0</v>
      </c>
      <c r="V682">
        <v>0</v>
      </c>
      <c r="W682" s="1">
        <v>44160</v>
      </c>
      <c r="AA682" t="s">
        <v>40</v>
      </c>
      <c r="AG682" t="s">
        <v>40</v>
      </c>
      <c r="AK682" t="s">
        <v>40</v>
      </c>
    </row>
    <row r="683" spans="1:37" x14ac:dyDescent="0.3">
      <c r="A683">
        <v>2019</v>
      </c>
      <c r="B683">
        <v>6</v>
      </c>
      <c r="C683" t="str">
        <f t="shared" si="20"/>
        <v>6/01/2019</v>
      </c>
      <c r="D683" s="1" t="str">
        <f t="shared" si="21"/>
        <v>6/01/2019</v>
      </c>
      <c r="E683" t="s">
        <v>55</v>
      </c>
      <c r="F683" t="s">
        <v>51</v>
      </c>
      <c r="G683" t="s">
        <v>41</v>
      </c>
      <c r="H683">
        <v>38</v>
      </c>
      <c r="J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S683">
        <v>0</v>
      </c>
      <c r="T683">
        <v>0</v>
      </c>
      <c r="U683">
        <v>0</v>
      </c>
      <c r="V683">
        <v>0</v>
      </c>
      <c r="W683" s="1">
        <v>44160</v>
      </c>
      <c r="Z683" t="s">
        <v>40</v>
      </c>
      <c r="AB683" t="s">
        <v>40</v>
      </c>
      <c r="AI683" t="s">
        <v>40</v>
      </c>
    </row>
    <row r="684" spans="1:37" x14ac:dyDescent="0.3">
      <c r="A684">
        <v>2019</v>
      </c>
      <c r="B684">
        <v>6</v>
      </c>
      <c r="C684" t="str">
        <f t="shared" si="20"/>
        <v>6/01/2019</v>
      </c>
      <c r="D684" s="1" t="str">
        <f t="shared" si="21"/>
        <v>6/01/2019</v>
      </c>
      <c r="E684" t="s">
        <v>55</v>
      </c>
      <c r="F684" t="s">
        <v>51</v>
      </c>
      <c r="G684" t="s">
        <v>42</v>
      </c>
      <c r="H684">
        <v>82</v>
      </c>
      <c r="I684">
        <v>33</v>
      </c>
      <c r="J684">
        <v>0</v>
      </c>
      <c r="M684">
        <v>0</v>
      </c>
      <c r="N684">
        <v>0</v>
      </c>
      <c r="O684">
        <v>0</v>
      </c>
      <c r="P684">
        <v>0</v>
      </c>
      <c r="U684">
        <v>0</v>
      </c>
      <c r="V684">
        <v>0</v>
      </c>
      <c r="W684" s="1">
        <v>44160</v>
      </c>
      <c r="AB684" t="s">
        <v>40</v>
      </c>
      <c r="AC684" t="s">
        <v>40</v>
      </c>
      <c r="AH684" t="s">
        <v>40</v>
      </c>
      <c r="AI684" t="s">
        <v>40</v>
      </c>
      <c r="AJ684" t="s">
        <v>40</v>
      </c>
      <c r="AK684" t="s">
        <v>40</v>
      </c>
    </row>
    <row r="685" spans="1:37" x14ac:dyDescent="0.3">
      <c r="A685">
        <v>2019</v>
      </c>
      <c r="B685">
        <v>6</v>
      </c>
      <c r="C685" t="str">
        <f t="shared" si="20"/>
        <v>6/01/2019</v>
      </c>
      <c r="D685" s="1" t="str">
        <f t="shared" si="21"/>
        <v>6/01/2019</v>
      </c>
      <c r="E685" t="s">
        <v>55</v>
      </c>
      <c r="F685" t="s">
        <v>51</v>
      </c>
      <c r="G685" t="s">
        <v>43</v>
      </c>
      <c r="H685">
        <v>111</v>
      </c>
      <c r="I685">
        <v>70</v>
      </c>
      <c r="J685">
        <v>0</v>
      </c>
      <c r="K685">
        <v>17</v>
      </c>
      <c r="M685">
        <v>0</v>
      </c>
      <c r="O685">
        <v>0</v>
      </c>
      <c r="P685">
        <v>0</v>
      </c>
      <c r="S685">
        <v>15</v>
      </c>
      <c r="U685">
        <v>0</v>
      </c>
      <c r="V685">
        <v>0</v>
      </c>
      <c r="W685" s="1">
        <v>44160</v>
      </c>
      <c r="AC685" t="s">
        <v>40</v>
      </c>
      <c r="AE685" t="s">
        <v>40</v>
      </c>
      <c r="AH685" t="s">
        <v>40</v>
      </c>
      <c r="AI685" t="s">
        <v>40</v>
      </c>
      <c r="AK685" t="s">
        <v>40</v>
      </c>
    </row>
    <row r="686" spans="1:37" x14ac:dyDescent="0.3">
      <c r="A686">
        <v>2019</v>
      </c>
      <c r="B686">
        <v>6</v>
      </c>
      <c r="C686" t="str">
        <f t="shared" si="20"/>
        <v>6/01/2019</v>
      </c>
      <c r="D686" s="1" t="str">
        <f t="shared" si="21"/>
        <v>6/01/2019</v>
      </c>
      <c r="E686" t="s">
        <v>55</v>
      </c>
      <c r="F686" t="s">
        <v>51</v>
      </c>
      <c r="G686" t="s">
        <v>44</v>
      </c>
      <c r="H686">
        <v>208</v>
      </c>
      <c r="I686">
        <v>167</v>
      </c>
      <c r="K686">
        <v>64</v>
      </c>
      <c r="M686">
        <v>0</v>
      </c>
      <c r="P686">
        <v>0</v>
      </c>
      <c r="S686">
        <v>44</v>
      </c>
      <c r="T686">
        <v>16</v>
      </c>
      <c r="U686">
        <v>0</v>
      </c>
      <c r="V686">
        <v>0</v>
      </c>
      <c r="W686" s="1">
        <v>44160</v>
      </c>
      <c r="AA686" t="s">
        <v>40</v>
      </c>
      <c r="AC686" t="s">
        <v>40</v>
      </c>
      <c r="AE686" t="s">
        <v>40</v>
      </c>
      <c r="AF686" t="s">
        <v>40</v>
      </c>
      <c r="AH686" t="s">
        <v>40</v>
      </c>
      <c r="AI686" t="s">
        <v>40</v>
      </c>
    </row>
    <row r="687" spans="1:37" x14ac:dyDescent="0.3">
      <c r="A687">
        <v>2019</v>
      </c>
      <c r="B687">
        <v>6</v>
      </c>
      <c r="C687" t="str">
        <f t="shared" si="20"/>
        <v>6/01/2019</v>
      </c>
      <c r="D687" s="1" t="str">
        <f t="shared" si="21"/>
        <v>6/01/2019</v>
      </c>
      <c r="E687" t="s">
        <v>55</v>
      </c>
      <c r="F687" t="s">
        <v>51</v>
      </c>
      <c r="G687" t="s">
        <v>45</v>
      </c>
      <c r="H687">
        <v>12</v>
      </c>
      <c r="J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 s="1">
        <v>44160</v>
      </c>
      <c r="Z687" t="s">
        <v>40</v>
      </c>
      <c r="AB687" t="s">
        <v>40</v>
      </c>
    </row>
    <row r="688" spans="1:37" x14ac:dyDescent="0.3">
      <c r="A688">
        <v>2019</v>
      </c>
      <c r="B688">
        <v>6</v>
      </c>
      <c r="C688" t="str">
        <f t="shared" si="20"/>
        <v>6/01/2019</v>
      </c>
      <c r="D688" s="1" t="str">
        <f t="shared" si="21"/>
        <v>6/01/2019</v>
      </c>
      <c r="E688" t="s">
        <v>55</v>
      </c>
      <c r="F688" t="s">
        <v>51</v>
      </c>
      <c r="G688" t="s">
        <v>46</v>
      </c>
      <c r="H688">
        <v>380</v>
      </c>
      <c r="I688">
        <v>342</v>
      </c>
      <c r="K688">
        <v>132</v>
      </c>
      <c r="L688">
        <v>16</v>
      </c>
      <c r="S688">
        <v>95</v>
      </c>
      <c r="T688">
        <v>24</v>
      </c>
      <c r="U688">
        <v>0</v>
      </c>
      <c r="V688">
        <v>0</v>
      </c>
      <c r="W688" s="1">
        <v>44160</v>
      </c>
      <c r="AA688" t="s">
        <v>40</v>
      </c>
      <c r="AD688" t="s">
        <v>40</v>
      </c>
      <c r="AE688" t="s">
        <v>40</v>
      </c>
      <c r="AF688" t="s">
        <v>40</v>
      </c>
      <c r="AG688" t="s">
        <v>40</v>
      </c>
      <c r="AH688" t="s">
        <v>40</v>
      </c>
      <c r="AI688" t="s">
        <v>40</v>
      </c>
    </row>
    <row r="689" spans="1:37" x14ac:dyDescent="0.3">
      <c r="A689">
        <v>2019</v>
      </c>
      <c r="B689">
        <v>6</v>
      </c>
      <c r="C689" t="str">
        <f t="shared" si="20"/>
        <v>6/01/2019</v>
      </c>
      <c r="D689" s="1" t="str">
        <f t="shared" si="21"/>
        <v>6/01/2019</v>
      </c>
      <c r="E689" t="s">
        <v>55</v>
      </c>
      <c r="F689" t="s">
        <v>51</v>
      </c>
      <c r="G689" t="s">
        <v>47</v>
      </c>
      <c r="H689">
        <v>601</v>
      </c>
      <c r="I689">
        <v>568</v>
      </c>
      <c r="K689">
        <v>195</v>
      </c>
      <c r="L689">
        <v>34</v>
      </c>
      <c r="O689">
        <v>13</v>
      </c>
      <c r="P689">
        <v>10</v>
      </c>
      <c r="Q689">
        <v>13</v>
      </c>
      <c r="S689">
        <v>147</v>
      </c>
      <c r="T689">
        <v>45</v>
      </c>
      <c r="U689">
        <v>0</v>
      </c>
      <c r="V689">
        <v>0</v>
      </c>
      <c r="W689" s="1">
        <v>44160</v>
      </c>
      <c r="AA689" t="s">
        <v>40</v>
      </c>
      <c r="AD689" t="s">
        <v>40</v>
      </c>
      <c r="AE689" t="s">
        <v>40</v>
      </c>
      <c r="AI689" t="s">
        <v>40</v>
      </c>
    </row>
    <row r="690" spans="1:37" x14ac:dyDescent="0.3">
      <c r="A690">
        <v>2019</v>
      </c>
      <c r="B690">
        <v>6</v>
      </c>
      <c r="C690" t="str">
        <f t="shared" si="20"/>
        <v>6/01/2019</v>
      </c>
      <c r="D690" s="1" t="str">
        <f t="shared" si="21"/>
        <v>6/01/2019</v>
      </c>
      <c r="E690" t="s">
        <v>55</v>
      </c>
      <c r="F690" t="s">
        <v>51</v>
      </c>
      <c r="G690" t="s">
        <v>48</v>
      </c>
      <c r="H690">
        <v>701</v>
      </c>
      <c r="I690">
        <v>675</v>
      </c>
      <c r="K690">
        <v>167</v>
      </c>
      <c r="L690">
        <v>29</v>
      </c>
      <c r="M690">
        <v>14</v>
      </c>
      <c r="N690">
        <v>11</v>
      </c>
      <c r="O690">
        <v>40</v>
      </c>
      <c r="P690">
        <v>15</v>
      </c>
      <c r="Q690">
        <v>21</v>
      </c>
      <c r="R690">
        <v>0</v>
      </c>
      <c r="S690">
        <v>181</v>
      </c>
      <c r="T690">
        <v>47</v>
      </c>
      <c r="U690">
        <v>0</v>
      </c>
      <c r="V690">
        <v>0</v>
      </c>
      <c r="W690" s="1">
        <v>44160</v>
      </c>
      <c r="AA690" t="s">
        <v>40</v>
      </c>
    </row>
    <row r="691" spans="1:37" x14ac:dyDescent="0.3">
      <c r="A691">
        <v>2019</v>
      </c>
      <c r="B691">
        <v>6</v>
      </c>
      <c r="C691" t="str">
        <f t="shared" si="20"/>
        <v>6/01/2019</v>
      </c>
      <c r="D691" s="1" t="str">
        <f t="shared" si="21"/>
        <v>6/01/2019</v>
      </c>
      <c r="E691" t="s">
        <v>55</v>
      </c>
      <c r="F691" t="s">
        <v>51</v>
      </c>
      <c r="G691" t="s">
        <v>49</v>
      </c>
      <c r="H691">
        <v>675</v>
      </c>
      <c r="I691">
        <v>649</v>
      </c>
      <c r="K691">
        <v>108</v>
      </c>
      <c r="L691">
        <v>25</v>
      </c>
      <c r="M691">
        <v>41</v>
      </c>
      <c r="N691">
        <v>31</v>
      </c>
      <c r="O691">
        <v>26</v>
      </c>
      <c r="P691">
        <v>14</v>
      </c>
      <c r="Q691">
        <v>12</v>
      </c>
      <c r="S691">
        <v>185</v>
      </c>
      <c r="T691">
        <v>47</v>
      </c>
      <c r="U691">
        <v>0</v>
      </c>
      <c r="V691">
        <v>0</v>
      </c>
      <c r="W691" s="1">
        <v>44160</v>
      </c>
      <c r="AA691" t="s">
        <v>40</v>
      </c>
      <c r="AI691" t="s">
        <v>40</v>
      </c>
    </row>
    <row r="692" spans="1:37" x14ac:dyDescent="0.3">
      <c r="A692">
        <v>2019</v>
      </c>
      <c r="B692">
        <v>6</v>
      </c>
      <c r="C692" t="str">
        <f t="shared" si="20"/>
        <v>6/01/2019</v>
      </c>
      <c r="D692" s="1" t="str">
        <f t="shared" si="21"/>
        <v>6/01/2019</v>
      </c>
      <c r="E692" t="s">
        <v>55</v>
      </c>
      <c r="F692" t="s">
        <v>52</v>
      </c>
      <c r="G692" t="s">
        <v>39</v>
      </c>
      <c r="H692">
        <v>344</v>
      </c>
      <c r="I692">
        <v>298</v>
      </c>
      <c r="L692">
        <v>0</v>
      </c>
      <c r="M692">
        <v>0</v>
      </c>
      <c r="O692">
        <v>0</v>
      </c>
      <c r="R692">
        <v>48</v>
      </c>
      <c r="U692">
        <v>0</v>
      </c>
      <c r="V692">
        <v>0</v>
      </c>
      <c r="W692" s="1">
        <v>44160</v>
      </c>
      <c r="AA692" t="s">
        <v>40</v>
      </c>
      <c r="AB692" t="s">
        <v>40</v>
      </c>
      <c r="AE692" t="s">
        <v>40</v>
      </c>
      <c r="AG692" t="s">
        <v>40</v>
      </c>
      <c r="AH692" t="s">
        <v>40</v>
      </c>
      <c r="AJ692" t="s">
        <v>40</v>
      </c>
      <c r="AK692" t="s">
        <v>40</v>
      </c>
    </row>
    <row r="693" spans="1:37" x14ac:dyDescent="0.3">
      <c r="A693">
        <v>2019</v>
      </c>
      <c r="B693">
        <v>6</v>
      </c>
      <c r="C693" t="str">
        <f t="shared" si="20"/>
        <v>6/01/2019</v>
      </c>
      <c r="D693" s="1" t="str">
        <f t="shared" si="21"/>
        <v>6/01/2019</v>
      </c>
      <c r="E693" t="s">
        <v>55</v>
      </c>
      <c r="F693" t="s">
        <v>52</v>
      </c>
      <c r="G693" t="s">
        <v>41</v>
      </c>
      <c r="H693">
        <v>471</v>
      </c>
      <c r="I693">
        <v>74</v>
      </c>
      <c r="K693">
        <v>10</v>
      </c>
      <c r="M693">
        <v>0</v>
      </c>
      <c r="Q693">
        <v>0</v>
      </c>
      <c r="S693">
        <v>12</v>
      </c>
      <c r="U693">
        <v>0</v>
      </c>
      <c r="V693">
        <v>0</v>
      </c>
      <c r="W693" s="1">
        <v>44160</v>
      </c>
      <c r="AA693" t="s">
        <v>40</v>
      </c>
      <c r="AC693" t="s">
        <v>40</v>
      </c>
      <c r="AE693" t="s">
        <v>40</v>
      </c>
      <c r="AF693" t="s">
        <v>40</v>
      </c>
      <c r="AG693" t="s">
        <v>40</v>
      </c>
      <c r="AI693" t="s">
        <v>40</v>
      </c>
      <c r="AK693" t="s">
        <v>40</v>
      </c>
    </row>
    <row r="694" spans="1:37" x14ac:dyDescent="0.3">
      <c r="A694">
        <v>2019</v>
      </c>
      <c r="B694">
        <v>6</v>
      </c>
      <c r="C694" t="str">
        <f t="shared" si="20"/>
        <v>6/01/2019</v>
      </c>
      <c r="D694" s="1" t="str">
        <f t="shared" si="21"/>
        <v>6/01/2019</v>
      </c>
      <c r="E694" t="s">
        <v>55</v>
      </c>
      <c r="F694" t="s">
        <v>52</v>
      </c>
      <c r="G694" t="s">
        <v>42</v>
      </c>
      <c r="H694">
        <v>789</v>
      </c>
      <c r="I694">
        <v>228</v>
      </c>
      <c r="K694">
        <v>17</v>
      </c>
      <c r="L694">
        <v>12</v>
      </c>
      <c r="M694">
        <v>0</v>
      </c>
      <c r="O694">
        <v>12</v>
      </c>
      <c r="R694">
        <v>16</v>
      </c>
      <c r="S694">
        <v>58</v>
      </c>
      <c r="U694">
        <v>0</v>
      </c>
      <c r="V694">
        <v>0</v>
      </c>
      <c r="W694" s="1">
        <v>44160</v>
      </c>
      <c r="AA694" t="s">
        <v>40</v>
      </c>
      <c r="AE694" t="s">
        <v>40</v>
      </c>
      <c r="AG694" t="s">
        <v>40</v>
      </c>
      <c r="AH694" t="s">
        <v>40</v>
      </c>
      <c r="AK694" t="s">
        <v>40</v>
      </c>
    </row>
    <row r="695" spans="1:37" x14ac:dyDescent="0.3">
      <c r="A695">
        <v>2019</v>
      </c>
      <c r="B695">
        <v>6</v>
      </c>
      <c r="C695" t="str">
        <f t="shared" si="20"/>
        <v>6/01/2019</v>
      </c>
      <c r="D695" s="1" t="str">
        <f t="shared" si="21"/>
        <v>6/01/2019</v>
      </c>
      <c r="E695" t="s">
        <v>55</v>
      </c>
      <c r="F695" t="s">
        <v>52</v>
      </c>
      <c r="G695" t="s">
        <v>43</v>
      </c>
      <c r="H695">
        <v>837</v>
      </c>
      <c r="I695">
        <v>428</v>
      </c>
      <c r="K695">
        <v>57</v>
      </c>
      <c r="L695">
        <v>19</v>
      </c>
      <c r="M695">
        <v>0</v>
      </c>
      <c r="R695">
        <v>12</v>
      </c>
      <c r="S695">
        <v>158</v>
      </c>
      <c r="T695">
        <v>21</v>
      </c>
      <c r="U695">
        <v>0</v>
      </c>
      <c r="V695">
        <v>0</v>
      </c>
      <c r="W695" s="1">
        <v>44160</v>
      </c>
      <c r="AA695" t="s">
        <v>40</v>
      </c>
      <c r="AE695" t="s">
        <v>40</v>
      </c>
      <c r="AF695" t="s">
        <v>40</v>
      </c>
      <c r="AG695" t="s">
        <v>40</v>
      </c>
      <c r="AH695" t="s">
        <v>40</v>
      </c>
    </row>
    <row r="696" spans="1:37" x14ac:dyDescent="0.3">
      <c r="A696">
        <v>2019</v>
      </c>
      <c r="B696">
        <v>6</v>
      </c>
      <c r="C696" t="str">
        <f t="shared" si="20"/>
        <v>6/01/2019</v>
      </c>
      <c r="D696" s="1" t="str">
        <f t="shared" si="21"/>
        <v>6/01/2019</v>
      </c>
      <c r="E696" t="s">
        <v>55</v>
      </c>
      <c r="F696" t="s">
        <v>52</v>
      </c>
      <c r="G696" t="s">
        <v>44</v>
      </c>
      <c r="H696" s="2">
        <v>1476</v>
      </c>
      <c r="I696" s="2">
        <v>1138</v>
      </c>
      <c r="J696">
        <v>23</v>
      </c>
      <c r="K696">
        <v>200</v>
      </c>
      <c r="L696">
        <v>72</v>
      </c>
      <c r="M696">
        <v>0</v>
      </c>
      <c r="N696">
        <v>15</v>
      </c>
      <c r="O696">
        <v>17</v>
      </c>
      <c r="P696">
        <v>11</v>
      </c>
      <c r="Q696">
        <v>35</v>
      </c>
      <c r="R696">
        <v>13</v>
      </c>
      <c r="S696">
        <v>406</v>
      </c>
      <c r="T696">
        <v>66</v>
      </c>
      <c r="U696">
        <v>0</v>
      </c>
      <c r="V696">
        <v>0</v>
      </c>
      <c r="W696" s="1">
        <v>44160</v>
      </c>
    </row>
    <row r="697" spans="1:37" x14ac:dyDescent="0.3">
      <c r="A697">
        <v>2019</v>
      </c>
      <c r="B697">
        <v>6</v>
      </c>
      <c r="C697" t="str">
        <f t="shared" si="20"/>
        <v>6/01/2019</v>
      </c>
      <c r="D697" s="1" t="str">
        <f t="shared" si="21"/>
        <v>6/01/2019</v>
      </c>
      <c r="E697" t="s">
        <v>55</v>
      </c>
      <c r="F697" t="s">
        <v>52</v>
      </c>
      <c r="G697" t="s">
        <v>45</v>
      </c>
      <c r="H697">
        <v>69</v>
      </c>
      <c r="I697">
        <v>27</v>
      </c>
      <c r="K697">
        <v>10</v>
      </c>
      <c r="L697">
        <v>0</v>
      </c>
      <c r="M697">
        <v>0</v>
      </c>
      <c r="N697">
        <v>0</v>
      </c>
      <c r="Q697">
        <v>0</v>
      </c>
      <c r="R697">
        <v>0</v>
      </c>
      <c r="T697">
        <v>0</v>
      </c>
      <c r="U697">
        <v>0</v>
      </c>
      <c r="V697">
        <v>0</v>
      </c>
      <c r="W697" s="1">
        <v>44160</v>
      </c>
      <c r="AA697" t="s">
        <v>40</v>
      </c>
      <c r="AF697" t="s">
        <v>40</v>
      </c>
      <c r="AG697" t="s">
        <v>40</v>
      </c>
      <c r="AJ697" t="s">
        <v>40</v>
      </c>
    </row>
    <row r="698" spans="1:37" x14ac:dyDescent="0.3">
      <c r="A698">
        <v>2019</v>
      </c>
      <c r="B698">
        <v>6</v>
      </c>
      <c r="C698" t="str">
        <f t="shared" si="20"/>
        <v>6/01/2019</v>
      </c>
      <c r="D698" s="1" t="str">
        <f t="shared" si="21"/>
        <v>6/01/2019</v>
      </c>
      <c r="E698" t="s">
        <v>55</v>
      </c>
      <c r="F698" t="s">
        <v>52</v>
      </c>
      <c r="G698" t="s">
        <v>46</v>
      </c>
      <c r="H698" s="2">
        <v>2982</v>
      </c>
      <c r="I698" s="2">
        <v>2662</v>
      </c>
      <c r="J698">
        <v>49</v>
      </c>
      <c r="K698">
        <v>786</v>
      </c>
      <c r="L698">
        <v>140</v>
      </c>
      <c r="N698">
        <v>44</v>
      </c>
      <c r="O698">
        <v>73</v>
      </c>
      <c r="P698">
        <v>24</v>
      </c>
      <c r="Q698">
        <v>60</v>
      </c>
      <c r="R698">
        <v>33</v>
      </c>
      <c r="S698">
        <v>786</v>
      </c>
      <c r="T698">
        <v>144</v>
      </c>
      <c r="U698">
        <v>0</v>
      </c>
      <c r="V698">
        <v>0</v>
      </c>
      <c r="W698" s="1">
        <v>44160</v>
      </c>
      <c r="AD698" t="s">
        <v>40</v>
      </c>
    </row>
    <row r="699" spans="1:37" x14ac:dyDescent="0.3">
      <c r="A699">
        <v>2019</v>
      </c>
      <c r="B699">
        <v>6</v>
      </c>
      <c r="C699" t="str">
        <f t="shared" si="20"/>
        <v>6/01/2019</v>
      </c>
      <c r="D699" s="1" t="str">
        <f t="shared" si="21"/>
        <v>6/01/2019</v>
      </c>
      <c r="E699" t="s">
        <v>55</v>
      </c>
      <c r="F699" t="s">
        <v>52</v>
      </c>
      <c r="G699" t="s">
        <v>47</v>
      </c>
      <c r="H699" s="2">
        <v>3454</v>
      </c>
      <c r="I699" s="2">
        <v>3288</v>
      </c>
      <c r="J699">
        <v>79</v>
      </c>
      <c r="K699">
        <v>934</v>
      </c>
      <c r="L699">
        <v>178</v>
      </c>
      <c r="M699">
        <v>25</v>
      </c>
      <c r="N699">
        <v>52</v>
      </c>
      <c r="O699">
        <v>142</v>
      </c>
      <c r="P699">
        <v>41</v>
      </c>
      <c r="Q699">
        <v>91</v>
      </c>
      <c r="R699">
        <v>22</v>
      </c>
      <c r="S699">
        <v>941</v>
      </c>
      <c r="T699">
        <v>189</v>
      </c>
      <c r="U699">
        <v>0</v>
      </c>
      <c r="V699">
        <v>0</v>
      </c>
      <c r="W699" s="1">
        <v>44160</v>
      </c>
    </row>
    <row r="700" spans="1:37" x14ac:dyDescent="0.3">
      <c r="A700">
        <v>2019</v>
      </c>
      <c r="B700">
        <v>6</v>
      </c>
      <c r="C700" t="str">
        <f t="shared" si="20"/>
        <v>6/01/2019</v>
      </c>
      <c r="D700" s="1" t="str">
        <f t="shared" si="21"/>
        <v>6/01/2019</v>
      </c>
      <c r="E700" t="s">
        <v>55</v>
      </c>
      <c r="F700" t="s">
        <v>52</v>
      </c>
      <c r="G700" t="s">
        <v>48</v>
      </c>
      <c r="H700" s="2">
        <v>2562</v>
      </c>
      <c r="I700" s="2">
        <v>2506</v>
      </c>
      <c r="J700">
        <v>56</v>
      </c>
      <c r="K700">
        <v>645</v>
      </c>
      <c r="L700">
        <v>123</v>
      </c>
      <c r="M700">
        <v>85</v>
      </c>
      <c r="N700">
        <v>36</v>
      </c>
      <c r="O700">
        <v>115</v>
      </c>
      <c r="P700">
        <v>40</v>
      </c>
      <c r="Q700">
        <v>88</v>
      </c>
      <c r="R700">
        <v>19</v>
      </c>
      <c r="S700">
        <v>640</v>
      </c>
      <c r="T700">
        <v>176</v>
      </c>
      <c r="U700">
        <v>0</v>
      </c>
      <c r="V700">
        <v>0</v>
      </c>
      <c r="W700" s="1">
        <v>44160</v>
      </c>
    </row>
    <row r="701" spans="1:37" x14ac:dyDescent="0.3">
      <c r="A701">
        <v>2019</v>
      </c>
      <c r="B701">
        <v>6</v>
      </c>
      <c r="C701" t="str">
        <f t="shared" si="20"/>
        <v>6/01/2019</v>
      </c>
      <c r="D701" s="1" t="str">
        <f t="shared" si="21"/>
        <v>6/01/2019</v>
      </c>
      <c r="E701" t="s">
        <v>55</v>
      </c>
      <c r="F701" t="s">
        <v>52</v>
      </c>
      <c r="G701" t="s">
        <v>49</v>
      </c>
      <c r="H701" s="2">
        <v>1563</v>
      </c>
      <c r="I701" s="2">
        <v>1522</v>
      </c>
      <c r="J701">
        <v>28</v>
      </c>
      <c r="K701">
        <v>290</v>
      </c>
      <c r="L701">
        <v>47</v>
      </c>
      <c r="M701">
        <v>93</v>
      </c>
      <c r="N701">
        <v>34</v>
      </c>
      <c r="O701">
        <v>53</v>
      </c>
      <c r="P701">
        <v>14</v>
      </c>
      <c r="Q701">
        <v>49</v>
      </c>
      <c r="R701">
        <v>15</v>
      </c>
      <c r="S701">
        <v>419</v>
      </c>
      <c r="T701">
        <v>111</v>
      </c>
      <c r="U701">
        <v>0</v>
      </c>
      <c r="V701">
        <v>0</v>
      </c>
      <c r="W701" s="1">
        <v>44160</v>
      </c>
    </row>
    <row r="702" spans="1:37" x14ac:dyDescent="0.3">
      <c r="A702">
        <v>2019</v>
      </c>
      <c r="B702">
        <v>6</v>
      </c>
      <c r="C702" t="str">
        <f t="shared" si="20"/>
        <v>6/01/2019</v>
      </c>
      <c r="D702" s="1" t="str">
        <f t="shared" si="21"/>
        <v>6/01/2019</v>
      </c>
      <c r="E702" t="s">
        <v>55</v>
      </c>
      <c r="F702" t="s">
        <v>53</v>
      </c>
      <c r="G702" t="s">
        <v>39</v>
      </c>
      <c r="H702">
        <v>526</v>
      </c>
      <c r="I702">
        <v>431</v>
      </c>
      <c r="K702">
        <v>10</v>
      </c>
      <c r="L702">
        <v>0</v>
      </c>
      <c r="M702">
        <v>0</v>
      </c>
      <c r="O702">
        <v>0</v>
      </c>
      <c r="R702">
        <v>54</v>
      </c>
      <c r="S702">
        <v>11</v>
      </c>
      <c r="U702">
        <v>0</v>
      </c>
      <c r="V702">
        <v>0</v>
      </c>
      <c r="W702" s="1">
        <v>44160</v>
      </c>
      <c r="AA702" t="s">
        <v>40</v>
      </c>
      <c r="AE702" t="s">
        <v>40</v>
      </c>
      <c r="AG702" t="s">
        <v>40</v>
      </c>
      <c r="AH702" t="s">
        <v>40</v>
      </c>
      <c r="AK702" t="s">
        <v>40</v>
      </c>
    </row>
    <row r="703" spans="1:37" x14ac:dyDescent="0.3">
      <c r="A703">
        <v>2019</v>
      </c>
      <c r="B703">
        <v>6</v>
      </c>
      <c r="C703" t="str">
        <f t="shared" si="20"/>
        <v>6/01/2019</v>
      </c>
      <c r="D703" s="1" t="str">
        <f t="shared" si="21"/>
        <v>6/01/2019</v>
      </c>
      <c r="E703" t="s">
        <v>55</v>
      </c>
      <c r="F703" t="s">
        <v>53</v>
      </c>
      <c r="G703" t="s">
        <v>41</v>
      </c>
      <c r="H703">
        <v>879</v>
      </c>
      <c r="I703">
        <v>156</v>
      </c>
      <c r="K703">
        <v>39</v>
      </c>
      <c r="M703">
        <v>0</v>
      </c>
      <c r="S703">
        <v>19</v>
      </c>
      <c r="U703">
        <v>0</v>
      </c>
      <c r="V703">
        <v>0</v>
      </c>
      <c r="W703" s="1">
        <v>44160</v>
      </c>
      <c r="AA703" t="s">
        <v>40</v>
      </c>
      <c r="AC703" t="s">
        <v>40</v>
      </c>
      <c r="AE703" t="s">
        <v>40</v>
      </c>
      <c r="AF703" t="s">
        <v>40</v>
      </c>
      <c r="AG703" t="s">
        <v>40</v>
      </c>
      <c r="AH703" t="s">
        <v>40</v>
      </c>
      <c r="AI703" t="s">
        <v>40</v>
      </c>
      <c r="AK703" t="s">
        <v>40</v>
      </c>
    </row>
    <row r="704" spans="1:37" x14ac:dyDescent="0.3">
      <c r="A704">
        <v>2019</v>
      </c>
      <c r="B704">
        <v>6</v>
      </c>
      <c r="C704" t="str">
        <f t="shared" si="20"/>
        <v>6/01/2019</v>
      </c>
      <c r="D704" s="1" t="str">
        <f t="shared" si="21"/>
        <v>6/01/2019</v>
      </c>
      <c r="E704" t="s">
        <v>55</v>
      </c>
      <c r="F704" t="s">
        <v>53</v>
      </c>
      <c r="G704" t="s">
        <v>42</v>
      </c>
      <c r="H704" s="2">
        <v>1932</v>
      </c>
      <c r="I704">
        <v>466</v>
      </c>
      <c r="J704">
        <v>13</v>
      </c>
      <c r="K704">
        <v>73</v>
      </c>
      <c r="L704">
        <v>24</v>
      </c>
      <c r="M704">
        <v>0</v>
      </c>
      <c r="R704">
        <v>31</v>
      </c>
      <c r="S704">
        <v>90</v>
      </c>
      <c r="U704">
        <v>0</v>
      </c>
      <c r="V704">
        <v>0</v>
      </c>
      <c r="W704" s="1">
        <v>44160</v>
      </c>
      <c r="AE704" t="s">
        <v>40</v>
      </c>
      <c r="AF704" t="s">
        <v>40</v>
      </c>
      <c r="AG704" t="s">
        <v>40</v>
      </c>
      <c r="AH704" t="s">
        <v>40</v>
      </c>
      <c r="AK704" t="s">
        <v>40</v>
      </c>
    </row>
    <row r="705" spans="1:37" x14ac:dyDescent="0.3">
      <c r="A705">
        <v>2019</v>
      </c>
      <c r="B705">
        <v>6</v>
      </c>
      <c r="C705" t="str">
        <f t="shared" si="20"/>
        <v>6/01/2019</v>
      </c>
      <c r="D705" s="1" t="str">
        <f t="shared" si="21"/>
        <v>6/01/2019</v>
      </c>
      <c r="E705" t="s">
        <v>55</v>
      </c>
      <c r="F705" t="s">
        <v>53</v>
      </c>
      <c r="G705" t="s">
        <v>43</v>
      </c>
      <c r="H705" s="2">
        <v>2676</v>
      </c>
      <c r="I705" s="2">
        <v>1218</v>
      </c>
      <c r="J705">
        <v>18</v>
      </c>
      <c r="K705">
        <v>236</v>
      </c>
      <c r="L705">
        <v>43</v>
      </c>
      <c r="M705">
        <v>0</v>
      </c>
      <c r="N705">
        <v>15</v>
      </c>
      <c r="P705">
        <v>15</v>
      </c>
      <c r="Q705">
        <v>16</v>
      </c>
      <c r="R705">
        <v>38</v>
      </c>
      <c r="S705">
        <v>312</v>
      </c>
      <c r="T705">
        <v>40</v>
      </c>
      <c r="U705">
        <v>0</v>
      </c>
      <c r="V705">
        <v>0</v>
      </c>
      <c r="W705" s="1">
        <v>44160</v>
      </c>
      <c r="AF705" t="s">
        <v>40</v>
      </c>
    </row>
    <row r="706" spans="1:37" x14ac:dyDescent="0.3">
      <c r="A706">
        <v>2019</v>
      </c>
      <c r="B706">
        <v>6</v>
      </c>
      <c r="C706" t="str">
        <f t="shared" si="20"/>
        <v>6/01/2019</v>
      </c>
      <c r="D706" s="1" t="str">
        <f t="shared" si="21"/>
        <v>6/01/2019</v>
      </c>
      <c r="E706" t="s">
        <v>55</v>
      </c>
      <c r="F706" t="s">
        <v>53</v>
      </c>
      <c r="G706" t="s">
        <v>44</v>
      </c>
      <c r="H706" s="2">
        <v>5228</v>
      </c>
      <c r="I706" s="2">
        <v>3720</v>
      </c>
      <c r="J706">
        <v>46</v>
      </c>
      <c r="K706">
        <v>937</v>
      </c>
      <c r="L706">
        <v>173</v>
      </c>
      <c r="N706">
        <v>38</v>
      </c>
      <c r="O706">
        <v>115</v>
      </c>
      <c r="P706">
        <v>45</v>
      </c>
      <c r="Q706">
        <v>57</v>
      </c>
      <c r="R706">
        <v>47</v>
      </c>
      <c r="S706" s="2">
        <v>1117</v>
      </c>
      <c r="T706">
        <v>98</v>
      </c>
      <c r="U706">
        <v>0</v>
      </c>
      <c r="V706">
        <v>0</v>
      </c>
      <c r="W706" s="1">
        <v>44160</v>
      </c>
      <c r="AD706" t="s">
        <v>40</v>
      </c>
    </row>
    <row r="707" spans="1:37" x14ac:dyDescent="0.3">
      <c r="A707">
        <v>2019</v>
      </c>
      <c r="B707">
        <v>6</v>
      </c>
      <c r="C707" t="str">
        <f t="shared" ref="C707:C770" si="22">CONCATENATE(B707,"/01/",A707)</f>
        <v>6/01/2019</v>
      </c>
      <c r="D707" s="1" t="str">
        <f t="shared" ref="D707:D770" si="23">C707</f>
        <v>6/01/2019</v>
      </c>
      <c r="E707" t="s">
        <v>55</v>
      </c>
      <c r="F707" t="s">
        <v>53</v>
      </c>
      <c r="G707" t="s">
        <v>45</v>
      </c>
      <c r="H707">
        <v>142</v>
      </c>
      <c r="I707">
        <v>62</v>
      </c>
      <c r="K707">
        <v>21</v>
      </c>
      <c r="L707">
        <v>0</v>
      </c>
      <c r="M707">
        <v>0</v>
      </c>
      <c r="N707">
        <v>0</v>
      </c>
      <c r="Q707">
        <v>0</v>
      </c>
      <c r="U707">
        <v>0</v>
      </c>
      <c r="V707">
        <v>0</v>
      </c>
      <c r="W707" s="1">
        <v>44160</v>
      </c>
      <c r="AA707" t="s">
        <v>40</v>
      </c>
      <c r="AF707" t="s">
        <v>40</v>
      </c>
      <c r="AG707" t="s">
        <v>40</v>
      </c>
      <c r="AI707" t="s">
        <v>40</v>
      </c>
      <c r="AJ707" t="s">
        <v>40</v>
      </c>
      <c r="AK707" t="s">
        <v>40</v>
      </c>
    </row>
    <row r="708" spans="1:37" x14ac:dyDescent="0.3">
      <c r="A708">
        <v>2019</v>
      </c>
      <c r="B708">
        <v>6</v>
      </c>
      <c r="C708" t="str">
        <f t="shared" si="22"/>
        <v>6/01/2019</v>
      </c>
      <c r="D708" s="1" t="str">
        <f t="shared" si="23"/>
        <v>6/01/2019</v>
      </c>
      <c r="E708" t="s">
        <v>55</v>
      </c>
      <c r="F708" t="s">
        <v>53</v>
      </c>
      <c r="G708" t="s">
        <v>46</v>
      </c>
      <c r="H708" s="2">
        <v>12989</v>
      </c>
      <c r="I708" s="2">
        <v>11327</v>
      </c>
      <c r="J708">
        <v>122</v>
      </c>
      <c r="K708" s="2">
        <v>3620</v>
      </c>
      <c r="L708">
        <v>464</v>
      </c>
      <c r="M708">
        <v>39</v>
      </c>
      <c r="N708">
        <v>113</v>
      </c>
      <c r="O708">
        <v>559</v>
      </c>
      <c r="P708">
        <v>161</v>
      </c>
      <c r="Q708">
        <v>148</v>
      </c>
      <c r="R708">
        <v>124</v>
      </c>
      <c r="S708" s="2">
        <v>3118</v>
      </c>
      <c r="T708">
        <v>346</v>
      </c>
      <c r="U708">
        <v>0</v>
      </c>
      <c r="V708">
        <v>0</v>
      </c>
      <c r="W708" s="1">
        <v>44160</v>
      </c>
    </row>
    <row r="709" spans="1:37" x14ac:dyDescent="0.3">
      <c r="A709">
        <v>2019</v>
      </c>
      <c r="B709">
        <v>6</v>
      </c>
      <c r="C709" t="str">
        <f t="shared" si="22"/>
        <v>6/01/2019</v>
      </c>
      <c r="D709" s="1" t="str">
        <f t="shared" si="23"/>
        <v>6/01/2019</v>
      </c>
      <c r="E709" t="s">
        <v>55</v>
      </c>
      <c r="F709" t="s">
        <v>53</v>
      </c>
      <c r="G709" t="s">
        <v>47</v>
      </c>
      <c r="H709" s="2">
        <v>19394</v>
      </c>
      <c r="I709" s="2">
        <v>18309</v>
      </c>
      <c r="J709">
        <v>258</v>
      </c>
      <c r="K709" s="2">
        <v>5882</v>
      </c>
      <c r="L709">
        <v>731</v>
      </c>
      <c r="M709">
        <v>203</v>
      </c>
      <c r="N709">
        <v>233</v>
      </c>
      <c r="O709" s="2">
        <v>1365</v>
      </c>
      <c r="P709">
        <v>371</v>
      </c>
      <c r="Q709">
        <v>296</v>
      </c>
      <c r="R709">
        <v>129</v>
      </c>
      <c r="S709" s="2">
        <v>4787</v>
      </c>
      <c r="T709">
        <v>672</v>
      </c>
      <c r="U709">
        <v>0</v>
      </c>
      <c r="V709">
        <v>0</v>
      </c>
      <c r="W709" s="1">
        <v>44160</v>
      </c>
    </row>
    <row r="710" spans="1:37" x14ac:dyDescent="0.3">
      <c r="A710">
        <v>2019</v>
      </c>
      <c r="B710">
        <v>6</v>
      </c>
      <c r="C710" t="str">
        <f t="shared" si="22"/>
        <v>6/01/2019</v>
      </c>
      <c r="D710" s="1" t="str">
        <f t="shared" si="23"/>
        <v>6/01/2019</v>
      </c>
      <c r="E710" t="s">
        <v>55</v>
      </c>
      <c r="F710" t="s">
        <v>53</v>
      </c>
      <c r="G710" t="s">
        <v>48</v>
      </c>
      <c r="H710" s="2">
        <v>22615</v>
      </c>
      <c r="I710" s="2">
        <v>21652</v>
      </c>
      <c r="J710">
        <v>326</v>
      </c>
      <c r="K710" s="2">
        <v>5697</v>
      </c>
      <c r="L710">
        <v>712</v>
      </c>
      <c r="M710">
        <v>793</v>
      </c>
      <c r="N710">
        <v>367</v>
      </c>
      <c r="O710" s="2">
        <v>1650</v>
      </c>
      <c r="P710">
        <v>481</v>
      </c>
      <c r="Q710">
        <v>430</v>
      </c>
      <c r="R710">
        <v>169</v>
      </c>
      <c r="S710" s="2">
        <v>5532</v>
      </c>
      <c r="T710" s="2">
        <v>1098</v>
      </c>
      <c r="U710">
        <v>0</v>
      </c>
      <c r="V710">
        <v>0</v>
      </c>
      <c r="W710" s="1">
        <v>44160</v>
      </c>
    </row>
    <row r="711" spans="1:37" x14ac:dyDescent="0.3">
      <c r="A711">
        <v>2019</v>
      </c>
      <c r="B711">
        <v>6</v>
      </c>
      <c r="C711" t="str">
        <f t="shared" si="22"/>
        <v>6/01/2019</v>
      </c>
      <c r="D711" s="1" t="str">
        <f t="shared" si="23"/>
        <v>6/01/2019</v>
      </c>
      <c r="E711" t="s">
        <v>55</v>
      </c>
      <c r="F711" t="s">
        <v>53</v>
      </c>
      <c r="G711" t="s">
        <v>49</v>
      </c>
      <c r="H711" s="2">
        <v>22261</v>
      </c>
      <c r="I711" s="2">
        <v>21397</v>
      </c>
      <c r="J711">
        <v>253</v>
      </c>
      <c r="K711" s="2">
        <v>3385</v>
      </c>
      <c r="L711">
        <v>463</v>
      </c>
      <c r="M711" s="2">
        <v>1477</v>
      </c>
      <c r="N711">
        <v>478</v>
      </c>
      <c r="O711" s="2">
        <v>1139</v>
      </c>
      <c r="P711">
        <v>397</v>
      </c>
      <c r="Q711">
        <v>497</v>
      </c>
      <c r="R711">
        <v>283</v>
      </c>
      <c r="S711" s="2">
        <v>6860</v>
      </c>
      <c r="T711" s="2">
        <v>1293</v>
      </c>
      <c r="U711">
        <v>0</v>
      </c>
      <c r="V711">
        <v>0</v>
      </c>
      <c r="W711" s="1">
        <v>44160</v>
      </c>
    </row>
    <row r="712" spans="1:37" x14ac:dyDescent="0.3">
      <c r="A712">
        <v>2019</v>
      </c>
      <c r="B712">
        <v>6</v>
      </c>
      <c r="C712" t="str">
        <f t="shared" si="22"/>
        <v>6/01/2019</v>
      </c>
      <c r="D712" s="1" t="str">
        <f t="shared" si="23"/>
        <v>6/01/2019</v>
      </c>
      <c r="E712" t="s">
        <v>55</v>
      </c>
      <c r="F712" t="s">
        <v>54</v>
      </c>
      <c r="G712" t="s">
        <v>39</v>
      </c>
      <c r="H712">
        <v>52</v>
      </c>
      <c r="I712">
        <v>46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T712">
        <v>0</v>
      </c>
      <c r="U712">
        <v>0</v>
      </c>
      <c r="V712">
        <v>0</v>
      </c>
      <c r="W712" s="1">
        <v>44160</v>
      </c>
      <c r="AA712" t="s">
        <v>40</v>
      </c>
      <c r="AB712" t="s">
        <v>40</v>
      </c>
      <c r="AI712" t="s">
        <v>40</v>
      </c>
      <c r="AJ712" t="s">
        <v>40</v>
      </c>
    </row>
    <row r="713" spans="1:37" x14ac:dyDescent="0.3">
      <c r="A713">
        <v>2019</v>
      </c>
      <c r="B713">
        <v>6</v>
      </c>
      <c r="C713" t="str">
        <f t="shared" si="22"/>
        <v>6/01/2019</v>
      </c>
      <c r="D713" s="1" t="str">
        <f t="shared" si="23"/>
        <v>6/01/2019</v>
      </c>
      <c r="E713" t="s">
        <v>55</v>
      </c>
      <c r="F713" t="s">
        <v>54</v>
      </c>
      <c r="G713" t="s">
        <v>41</v>
      </c>
      <c r="H713">
        <v>54</v>
      </c>
      <c r="J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T713">
        <v>0</v>
      </c>
      <c r="U713">
        <v>0</v>
      </c>
      <c r="V713">
        <v>0</v>
      </c>
      <c r="W713" s="1">
        <v>44160</v>
      </c>
      <c r="Z713" t="s">
        <v>40</v>
      </c>
      <c r="AB713" t="s">
        <v>40</v>
      </c>
      <c r="AI713" t="s">
        <v>40</v>
      </c>
      <c r="AJ713" t="s">
        <v>40</v>
      </c>
    </row>
    <row r="714" spans="1:37" x14ac:dyDescent="0.3">
      <c r="A714">
        <v>2019</v>
      </c>
      <c r="B714">
        <v>6</v>
      </c>
      <c r="C714" t="str">
        <f t="shared" si="22"/>
        <v>6/01/2019</v>
      </c>
      <c r="D714" s="1" t="str">
        <f t="shared" si="23"/>
        <v>6/01/2019</v>
      </c>
      <c r="E714" t="s">
        <v>55</v>
      </c>
      <c r="F714" t="s">
        <v>54</v>
      </c>
      <c r="G714" t="s">
        <v>42</v>
      </c>
      <c r="H714">
        <v>63</v>
      </c>
      <c r="I714">
        <v>18</v>
      </c>
      <c r="L714">
        <v>0</v>
      </c>
      <c r="M714">
        <v>0</v>
      </c>
      <c r="N714">
        <v>0</v>
      </c>
      <c r="P714">
        <v>0</v>
      </c>
      <c r="Q714">
        <v>0</v>
      </c>
      <c r="U714">
        <v>0</v>
      </c>
      <c r="V714">
        <v>0</v>
      </c>
      <c r="W714" s="1">
        <v>44160</v>
      </c>
      <c r="AA714" t="s">
        <v>40</v>
      </c>
      <c r="AB714" t="s">
        <v>40</v>
      </c>
      <c r="AF714" t="s">
        <v>40</v>
      </c>
      <c r="AI714" t="s">
        <v>40</v>
      </c>
      <c r="AJ714" t="s">
        <v>40</v>
      </c>
      <c r="AK714" t="s">
        <v>40</v>
      </c>
    </row>
    <row r="715" spans="1:37" x14ac:dyDescent="0.3">
      <c r="A715">
        <v>2019</v>
      </c>
      <c r="B715">
        <v>6</v>
      </c>
      <c r="C715" t="str">
        <f t="shared" si="22"/>
        <v>6/01/2019</v>
      </c>
      <c r="D715" s="1" t="str">
        <f t="shared" si="23"/>
        <v>6/01/2019</v>
      </c>
      <c r="E715" t="s">
        <v>55</v>
      </c>
      <c r="F715" t="s">
        <v>54</v>
      </c>
      <c r="G715" t="s">
        <v>43</v>
      </c>
      <c r="H715">
        <v>67</v>
      </c>
      <c r="I715">
        <v>33</v>
      </c>
      <c r="M715">
        <v>0</v>
      </c>
      <c r="O715">
        <v>0</v>
      </c>
      <c r="P715">
        <v>0</v>
      </c>
      <c r="S715">
        <v>13</v>
      </c>
      <c r="U715">
        <v>0</v>
      </c>
      <c r="V715">
        <v>0</v>
      </c>
      <c r="W715" s="1">
        <v>44160</v>
      </c>
      <c r="AA715" t="s">
        <v>40</v>
      </c>
      <c r="AB715" t="s">
        <v>40</v>
      </c>
      <c r="AC715" t="s">
        <v>40</v>
      </c>
      <c r="AE715" t="s">
        <v>40</v>
      </c>
      <c r="AH715" t="s">
        <v>40</v>
      </c>
      <c r="AI715" t="s">
        <v>40</v>
      </c>
      <c r="AK715" t="s">
        <v>40</v>
      </c>
    </row>
    <row r="716" spans="1:37" x14ac:dyDescent="0.3">
      <c r="A716">
        <v>2019</v>
      </c>
      <c r="B716">
        <v>6</v>
      </c>
      <c r="C716" t="str">
        <f t="shared" si="22"/>
        <v>6/01/2019</v>
      </c>
      <c r="D716" s="1" t="str">
        <f t="shared" si="23"/>
        <v>6/01/2019</v>
      </c>
      <c r="E716" t="s">
        <v>55</v>
      </c>
      <c r="F716" t="s">
        <v>54</v>
      </c>
      <c r="G716" t="s">
        <v>44</v>
      </c>
      <c r="H716">
        <v>132</v>
      </c>
      <c r="I716">
        <v>95</v>
      </c>
      <c r="K716">
        <v>15</v>
      </c>
      <c r="M716">
        <v>0</v>
      </c>
      <c r="N716">
        <v>0</v>
      </c>
      <c r="P716">
        <v>0</v>
      </c>
      <c r="S716">
        <v>34</v>
      </c>
      <c r="U716">
        <v>0</v>
      </c>
      <c r="V716">
        <v>0</v>
      </c>
      <c r="W716" s="1">
        <v>44160</v>
      </c>
      <c r="AA716" t="s">
        <v>40</v>
      </c>
      <c r="AC716" t="s">
        <v>40</v>
      </c>
      <c r="AF716" t="s">
        <v>40</v>
      </c>
      <c r="AH716" t="s">
        <v>40</v>
      </c>
      <c r="AI716" t="s">
        <v>40</v>
      </c>
      <c r="AK716" t="s">
        <v>40</v>
      </c>
    </row>
    <row r="717" spans="1:37" x14ac:dyDescent="0.3">
      <c r="A717">
        <v>2019</v>
      </c>
      <c r="B717">
        <v>6</v>
      </c>
      <c r="C717" t="str">
        <f t="shared" si="22"/>
        <v>6/01/2019</v>
      </c>
      <c r="D717" s="1" t="str">
        <f t="shared" si="23"/>
        <v>6/01/2019</v>
      </c>
      <c r="E717" t="s">
        <v>55</v>
      </c>
      <c r="F717" t="s">
        <v>54</v>
      </c>
      <c r="G717" t="s">
        <v>45</v>
      </c>
      <c r="H717">
        <v>11</v>
      </c>
      <c r="J717">
        <v>0</v>
      </c>
      <c r="L717">
        <v>0</v>
      </c>
      <c r="M717">
        <v>0</v>
      </c>
      <c r="N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 s="1">
        <v>44160</v>
      </c>
      <c r="Z717" t="s">
        <v>40</v>
      </c>
      <c r="AB717" t="s">
        <v>40</v>
      </c>
      <c r="AF717" t="s">
        <v>40</v>
      </c>
    </row>
    <row r="718" spans="1:37" x14ac:dyDescent="0.3">
      <c r="A718">
        <v>2019</v>
      </c>
      <c r="B718">
        <v>6</v>
      </c>
      <c r="C718" t="str">
        <f t="shared" si="22"/>
        <v>6/01/2019</v>
      </c>
      <c r="D718" s="1" t="str">
        <f t="shared" si="23"/>
        <v>6/01/2019</v>
      </c>
      <c r="E718" t="s">
        <v>55</v>
      </c>
      <c r="F718" t="s">
        <v>54</v>
      </c>
      <c r="G718" t="s">
        <v>46</v>
      </c>
      <c r="H718">
        <v>232</v>
      </c>
      <c r="I718">
        <v>197</v>
      </c>
      <c r="K718">
        <v>60</v>
      </c>
      <c r="L718">
        <v>14</v>
      </c>
      <c r="M718">
        <v>0</v>
      </c>
      <c r="O718">
        <v>13</v>
      </c>
      <c r="S718">
        <v>51</v>
      </c>
      <c r="U718">
        <v>0</v>
      </c>
      <c r="V718">
        <v>0</v>
      </c>
      <c r="W718" s="1">
        <v>44160</v>
      </c>
      <c r="AA718" t="s">
        <v>40</v>
      </c>
      <c r="AE718" t="s">
        <v>40</v>
      </c>
      <c r="AG718" t="s">
        <v>40</v>
      </c>
      <c r="AH718" t="s">
        <v>40</v>
      </c>
      <c r="AI718" t="s">
        <v>40</v>
      </c>
      <c r="AK718" t="s">
        <v>40</v>
      </c>
    </row>
    <row r="719" spans="1:37" x14ac:dyDescent="0.3">
      <c r="A719">
        <v>2019</v>
      </c>
      <c r="B719">
        <v>6</v>
      </c>
      <c r="C719" t="str">
        <f t="shared" si="22"/>
        <v>6/01/2019</v>
      </c>
      <c r="D719" s="1" t="str">
        <f t="shared" si="23"/>
        <v>6/01/2019</v>
      </c>
      <c r="E719" t="s">
        <v>55</v>
      </c>
      <c r="F719" t="s">
        <v>54</v>
      </c>
      <c r="G719" t="s">
        <v>47</v>
      </c>
      <c r="H719">
        <v>234</v>
      </c>
      <c r="I719">
        <v>224</v>
      </c>
      <c r="K719">
        <v>56</v>
      </c>
      <c r="L719">
        <v>10</v>
      </c>
      <c r="O719">
        <v>13</v>
      </c>
      <c r="S719">
        <v>73</v>
      </c>
      <c r="T719">
        <v>13</v>
      </c>
      <c r="U719">
        <v>0</v>
      </c>
      <c r="V719">
        <v>0</v>
      </c>
      <c r="W719" s="1">
        <v>44160</v>
      </c>
      <c r="AA719" t="s">
        <v>40</v>
      </c>
      <c r="AD719" t="s">
        <v>40</v>
      </c>
      <c r="AE719" t="s">
        <v>40</v>
      </c>
      <c r="AG719" t="s">
        <v>40</v>
      </c>
      <c r="AH719" t="s">
        <v>40</v>
      </c>
      <c r="AI719" t="s">
        <v>40</v>
      </c>
    </row>
    <row r="720" spans="1:37" x14ac:dyDescent="0.3">
      <c r="A720">
        <v>2019</v>
      </c>
      <c r="B720">
        <v>6</v>
      </c>
      <c r="C720" t="str">
        <f t="shared" si="22"/>
        <v>6/01/2019</v>
      </c>
      <c r="D720" s="1" t="str">
        <f t="shared" si="23"/>
        <v>6/01/2019</v>
      </c>
      <c r="E720" t="s">
        <v>55</v>
      </c>
      <c r="F720" t="s">
        <v>54</v>
      </c>
      <c r="G720" t="s">
        <v>48</v>
      </c>
      <c r="H720">
        <v>168</v>
      </c>
      <c r="I720">
        <v>166</v>
      </c>
      <c r="K720">
        <v>37</v>
      </c>
      <c r="L720">
        <v>11</v>
      </c>
      <c r="O720">
        <v>11</v>
      </c>
      <c r="R720">
        <v>0</v>
      </c>
      <c r="S720">
        <v>49</v>
      </c>
      <c r="T720">
        <v>10</v>
      </c>
      <c r="U720">
        <v>0</v>
      </c>
      <c r="V720">
        <v>0</v>
      </c>
      <c r="W720" s="1">
        <v>44160</v>
      </c>
      <c r="AA720" t="s">
        <v>40</v>
      </c>
      <c r="AD720" t="s">
        <v>40</v>
      </c>
      <c r="AE720" t="s">
        <v>40</v>
      </c>
      <c r="AG720" t="s">
        <v>40</v>
      </c>
      <c r="AH720" t="s">
        <v>40</v>
      </c>
    </row>
    <row r="721" spans="1:37" x14ac:dyDescent="0.3">
      <c r="A721">
        <v>2019</v>
      </c>
      <c r="B721">
        <v>6</v>
      </c>
      <c r="C721" t="str">
        <f t="shared" si="22"/>
        <v>6/01/2019</v>
      </c>
      <c r="D721" s="1" t="str">
        <f t="shared" si="23"/>
        <v>6/01/2019</v>
      </c>
      <c r="E721" t="s">
        <v>55</v>
      </c>
      <c r="F721" t="s">
        <v>54</v>
      </c>
      <c r="G721" t="s">
        <v>49</v>
      </c>
      <c r="H721">
        <v>111</v>
      </c>
      <c r="I721">
        <v>106</v>
      </c>
      <c r="K721">
        <v>16</v>
      </c>
      <c r="R721">
        <v>0</v>
      </c>
      <c r="S721">
        <v>32</v>
      </c>
      <c r="U721">
        <v>0</v>
      </c>
      <c r="V721">
        <v>0</v>
      </c>
      <c r="W721" s="1">
        <v>44160</v>
      </c>
      <c r="AA721" t="s">
        <v>40</v>
      </c>
      <c r="AC721" t="s">
        <v>40</v>
      </c>
      <c r="AD721" t="s">
        <v>40</v>
      </c>
      <c r="AE721" t="s">
        <v>40</v>
      </c>
      <c r="AF721" t="s">
        <v>40</v>
      </c>
      <c r="AG721" t="s">
        <v>40</v>
      </c>
      <c r="AH721" t="s">
        <v>40</v>
      </c>
      <c r="AK721" t="s">
        <v>40</v>
      </c>
    </row>
    <row r="722" spans="1:37" x14ac:dyDescent="0.3">
      <c r="A722">
        <v>2019</v>
      </c>
      <c r="B722">
        <v>7</v>
      </c>
      <c r="C722" t="str">
        <f t="shared" si="22"/>
        <v>7/01/2019</v>
      </c>
      <c r="D722" s="1" t="str">
        <f t="shared" si="23"/>
        <v>7/01/2019</v>
      </c>
      <c r="E722" t="s">
        <v>37</v>
      </c>
      <c r="F722" t="s">
        <v>38</v>
      </c>
      <c r="G722" t="s">
        <v>39</v>
      </c>
      <c r="H722">
        <v>193</v>
      </c>
      <c r="I722">
        <v>159</v>
      </c>
      <c r="J722">
        <v>0</v>
      </c>
      <c r="L722">
        <v>0</v>
      </c>
      <c r="M722">
        <v>0</v>
      </c>
      <c r="O722">
        <v>0</v>
      </c>
      <c r="P722">
        <v>0</v>
      </c>
      <c r="R722">
        <v>16</v>
      </c>
      <c r="U722">
        <v>0</v>
      </c>
      <c r="V722">
        <v>0</v>
      </c>
      <c r="W722" s="1">
        <v>44160</v>
      </c>
      <c r="AB722" t="s">
        <v>40</v>
      </c>
      <c r="AE722" t="s">
        <v>40</v>
      </c>
      <c r="AH722" t="s">
        <v>40</v>
      </c>
      <c r="AJ722" t="s">
        <v>40</v>
      </c>
      <c r="AK722" t="s">
        <v>40</v>
      </c>
    </row>
    <row r="723" spans="1:37" x14ac:dyDescent="0.3">
      <c r="A723">
        <v>2019</v>
      </c>
      <c r="B723">
        <v>7</v>
      </c>
      <c r="C723" t="str">
        <f t="shared" si="22"/>
        <v>7/01/2019</v>
      </c>
      <c r="D723" s="1" t="str">
        <f t="shared" si="23"/>
        <v>7/01/2019</v>
      </c>
      <c r="E723" t="s">
        <v>37</v>
      </c>
      <c r="F723" t="s">
        <v>38</v>
      </c>
      <c r="G723" t="s">
        <v>41</v>
      </c>
      <c r="H723">
        <v>121</v>
      </c>
      <c r="I723">
        <v>48</v>
      </c>
      <c r="J723">
        <v>0</v>
      </c>
      <c r="K723">
        <v>13</v>
      </c>
      <c r="L723">
        <v>0</v>
      </c>
      <c r="M723">
        <v>0</v>
      </c>
      <c r="N723">
        <v>0</v>
      </c>
      <c r="O723">
        <v>0</v>
      </c>
      <c r="Q723">
        <v>0</v>
      </c>
      <c r="U723">
        <v>0</v>
      </c>
      <c r="V723">
        <v>0</v>
      </c>
      <c r="W723" s="1">
        <v>44160</v>
      </c>
      <c r="AG723" t="s">
        <v>40</v>
      </c>
      <c r="AI723" t="s">
        <v>40</v>
      </c>
      <c r="AJ723" t="s">
        <v>40</v>
      </c>
      <c r="AK723" t="s">
        <v>40</v>
      </c>
    </row>
    <row r="724" spans="1:37" x14ac:dyDescent="0.3">
      <c r="A724">
        <v>2019</v>
      </c>
      <c r="B724">
        <v>7</v>
      </c>
      <c r="C724" t="str">
        <f t="shared" si="22"/>
        <v>7/01/2019</v>
      </c>
      <c r="D724" s="1" t="str">
        <f t="shared" si="23"/>
        <v>7/01/2019</v>
      </c>
      <c r="E724" t="s">
        <v>37</v>
      </c>
      <c r="F724" t="s">
        <v>38</v>
      </c>
      <c r="G724" t="s">
        <v>42</v>
      </c>
      <c r="H724">
        <v>212</v>
      </c>
      <c r="I724">
        <v>98</v>
      </c>
      <c r="K724">
        <v>38</v>
      </c>
      <c r="M724">
        <v>0</v>
      </c>
      <c r="U724">
        <v>0</v>
      </c>
      <c r="V724">
        <v>0</v>
      </c>
      <c r="W724" s="1">
        <v>44160</v>
      </c>
      <c r="AA724" t="s">
        <v>40</v>
      </c>
      <c r="AC724" t="s">
        <v>40</v>
      </c>
      <c r="AE724" t="s">
        <v>40</v>
      </c>
      <c r="AF724" t="s">
        <v>40</v>
      </c>
      <c r="AG724" t="s">
        <v>40</v>
      </c>
      <c r="AH724" t="s">
        <v>40</v>
      </c>
      <c r="AI724" t="s">
        <v>40</v>
      </c>
      <c r="AJ724" t="s">
        <v>40</v>
      </c>
      <c r="AK724" t="s">
        <v>40</v>
      </c>
    </row>
    <row r="725" spans="1:37" x14ac:dyDescent="0.3">
      <c r="A725">
        <v>2019</v>
      </c>
      <c r="B725">
        <v>7</v>
      </c>
      <c r="C725" t="str">
        <f t="shared" si="22"/>
        <v>7/01/2019</v>
      </c>
      <c r="D725" s="1" t="str">
        <f t="shared" si="23"/>
        <v>7/01/2019</v>
      </c>
      <c r="E725" t="s">
        <v>37</v>
      </c>
      <c r="F725" t="s">
        <v>38</v>
      </c>
      <c r="G725" t="s">
        <v>43</v>
      </c>
      <c r="H725">
        <v>336</v>
      </c>
      <c r="I725">
        <v>252</v>
      </c>
      <c r="K725">
        <v>96</v>
      </c>
      <c r="L725">
        <v>10</v>
      </c>
      <c r="S725">
        <v>29</v>
      </c>
      <c r="T725">
        <v>14</v>
      </c>
      <c r="U725">
        <v>0</v>
      </c>
      <c r="V725">
        <v>0</v>
      </c>
      <c r="W725" s="1">
        <v>44160</v>
      </c>
      <c r="AA725" t="s">
        <v>40</v>
      </c>
      <c r="AD725" t="s">
        <v>40</v>
      </c>
      <c r="AE725" t="s">
        <v>40</v>
      </c>
      <c r="AF725" t="s">
        <v>40</v>
      </c>
      <c r="AG725" t="s">
        <v>40</v>
      </c>
      <c r="AH725" t="s">
        <v>40</v>
      </c>
      <c r="AI725" t="s">
        <v>40</v>
      </c>
    </row>
    <row r="726" spans="1:37" x14ac:dyDescent="0.3">
      <c r="A726">
        <v>2019</v>
      </c>
      <c r="B726">
        <v>7</v>
      </c>
      <c r="C726" t="str">
        <f t="shared" si="22"/>
        <v>7/01/2019</v>
      </c>
      <c r="D726" s="1" t="str">
        <f t="shared" si="23"/>
        <v>7/01/2019</v>
      </c>
      <c r="E726" t="s">
        <v>37</v>
      </c>
      <c r="F726" t="s">
        <v>38</v>
      </c>
      <c r="G726" t="s">
        <v>44</v>
      </c>
      <c r="H726">
        <v>571</v>
      </c>
      <c r="I726">
        <v>480</v>
      </c>
      <c r="K726">
        <v>216</v>
      </c>
      <c r="L726">
        <v>16</v>
      </c>
      <c r="S726">
        <v>51</v>
      </c>
      <c r="T726">
        <v>30</v>
      </c>
      <c r="U726">
        <v>0</v>
      </c>
      <c r="V726">
        <v>0</v>
      </c>
      <c r="W726" s="1">
        <v>44160</v>
      </c>
      <c r="AA726" t="s">
        <v>40</v>
      </c>
      <c r="AD726" t="s">
        <v>40</v>
      </c>
      <c r="AE726" t="s">
        <v>40</v>
      </c>
      <c r="AF726" t="s">
        <v>40</v>
      </c>
      <c r="AG726" t="s">
        <v>40</v>
      </c>
      <c r="AH726" t="s">
        <v>40</v>
      </c>
      <c r="AI726" t="s">
        <v>40</v>
      </c>
    </row>
    <row r="727" spans="1:37" x14ac:dyDescent="0.3">
      <c r="A727">
        <v>2019</v>
      </c>
      <c r="B727">
        <v>7</v>
      </c>
      <c r="C727" t="str">
        <f t="shared" si="22"/>
        <v>7/01/2019</v>
      </c>
      <c r="D727" s="1" t="str">
        <f t="shared" si="23"/>
        <v>7/01/2019</v>
      </c>
      <c r="E727" t="s">
        <v>37</v>
      </c>
      <c r="F727" t="s">
        <v>38</v>
      </c>
      <c r="G727" t="s">
        <v>45</v>
      </c>
      <c r="H727">
        <v>50</v>
      </c>
      <c r="I727">
        <v>24</v>
      </c>
      <c r="J727">
        <v>0</v>
      </c>
      <c r="M727">
        <v>0</v>
      </c>
      <c r="O727">
        <v>0</v>
      </c>
      <c r="P727">
        <v>0</v>
      </c>
      <c r="R727">
        <v>0</v>
      </c>
      <c r="U727">
        <v>0</v>
      </c>
      <c r="V727">
        <v>0</v>
      </c>
      <c r="W727" s="1">
        <v>44160</v>
      </c>
      <c r="AB727" t="s">
        <v>40</v>
      </c>
      <c r="AC727" t="s">
        <v>40</v>
      </c>
      <c r="AE727" t="s">
        <v>40</v>
      </c>
      <c r="AH727" t="s">
        <v>40</v>
      </c>
      <c r="AJ727" t="s">
        <v>40</v>
      </c>
      <c r="AK727" t="s">
        <v>40</v>
      </c>
    </row>
    <row r="728" spans="1:37" x14ac:dyDescent="0.3">
      <c r="A728">
        <v>2019</v>
      </c>
      <c r="B728">
        <v>7</v>
      </c>
      <c r="C728" t="str">
        <f t="shared" si="22"/>
        <v>7/01/2019</v>
      </c>
      <c r="D728" s="1" t="str">
        <f t="shared" si="23"/>
        <v>7/01/2019</v>
      </c>
      <c r="E728" t="s">
        <v>37</v>
      </c>
      <c r="F728" t="s">
        <v>38</v>
      </c>
      <c r="G728" t="s">
        <v>46</v>
      </c>
      <c r="H728">
        <v>937</v>
      </c>
      <c r="I728">
        <v>877</v>
      </c>
      <c r="J728">
        <v>10</v>
      </c>
      <c r="K728">
        <v>343</v>
      </c>
      <c r="L728">
        <v>57</v>
      </c>
      <c r="O728">
        <v>16</v>
      </c>
      <c r="P728">
        <v>24</v>
      </c>
      <c r="Q728">
        <v>22</v>
      </c>
      <c r="S728">
        <v>139</v>
      </c>
      <c r="T728">
        <v>59</v>
      </c>
      <c r="U728">
        <v>0</v>
      </c>
      <c r="V728">
        <v>0</v>
      </c>
      <c r="W728" s="1">
        <v>44160</v>
      </c>
      <c r="AD728" t="s">
        <v>40</v>
      </c>
      <c r="AE728" t="s">
        <v>40</v>
      </c>
      <c r="AI728" t="s">
        <v>40</v>
      </c>
    </row>
    <row r="729" spans="1:37" x14ac:dyDescent="0.3">
      <c r="A729">
        <v>2019</v>
      </c>
      <c r="B729">
        <v>7</v>
      </c>
      <c r="C729" t="str">
        <f t="shared" si="22"/>
        <v>7/01/2019</v>
      </c>
      <c r="D729" s="1" t="str">
        <f t="shared" si="23"/>
        <v>7/01/2019</v>
      </c>
      <c r="E729" t="s">
        <v>37</v>
      </c>
      <c r="F729" t="s">
        <v>38</v>
      </c>
      <c r="G729" t="s">
        <v>47</v>
      </c>
      <c r="H729" s="2">
        <v>1327</v>
      </c>
      <c r="I729" s="2">
        <v>1284</v>
      </c>
      <c r="J729">
        <v>23</v>
      </c>
      <c r="K729">
        <v>427</v>
      </c>
      <c r="L729">
        <v>89</v>
      </c>
      <c r="M729">
        <v>22</v>
      </c>
      <c r="N729">
        <v>12</v>
      </c>
      <c r="O729">
        <v>35</v>
      </c>
      <c r="P729">
        <v>20</v>
      </c>
      <c r="Q729">
        <v>34</v>
      </c>
      <c r="S729">
        <v>234</v>
      </c>
      <c r="T729">
        <v>61</v>
      </c>
      <c r="U729">
        <v>0</v>
      </c>
      <c r="V729">
        <v>0</v>
      </c>
      <c r="W729" s="1">
        <v>44160</v>
      </c>
      <c r="AI729" t="s">
        <v>40</v>
      </c>
    </row>
    <row r="730" spans="1:37" x14ac:dyDescent="0.3">
      <c r="A730">
        <v>2019</v>
      </c>
      <c r="B730">
        <v>7</v>
      </c>
      <c r="C730" t="str">
        <f t="shared" si="22"/>
        <v>7/01/2019</v>
      </c>
      <c r="D730" s="1" t="str">
        <f t="shared" si="23"/>
        <v>7/01/2019</v>
      </c>
      <c r="E730" t="s">
        <v>37</v>
      </c>
      <c r="F730" t="s">
        <v>38</v>
      </c>
      <c r="G730" t="s">
        <v>48</v>
      </c>
      <c r="H730" s="2">
        <v>1715</v>
      </c>
      <c r="I730" s="2">
        <v>1669</v>
      </c>
      <c r="J730">
        <v>32</v>
      </c>
      <c r="K730">
        <v>390</v>
      </c>
      <c r="L730">
        <v>85</v>
      </c>
      <c r="M730">
        <v>91</v>
      </c>
      <c r="N730">
        <v>20</v>
      </c>
      <c r="O730">
        <v>63</v>
      </c>
      <c r="P730">
        <v>42</v>
      </c>
      <c r="Q730">
        <v>61</v>
      </c>
      <c r="S730">
        <v>379</v>
      </c>
      <c r="T730">
        <v>152</v>
      </c>
      <c r="U730">
        <v>0</v>
      </c>
      <c r="V730">
        <v>0</v>
      </c>
      <c r="W730" s="1">
        <v>44160</v>
      </c>
      <c r="AI730" t="s">
        <v>40</v>
      </c>
    </row>
    <row r="731" spans="1:37" x14ac:dyDescent="0.3">
      <c r="A731">
        <v>2019</v>
      </c>
      <c r="B731">
        <v>7</v>
      </c>
      <c r="C731" t="str">
        <f t="shared" si="22"/>
        <v>7/01/2019</v>
      </c>
      <c r="D731" s="1" t="str">
        <f t="shared" si="23"/>
        <v>7/01/2019</v>
      </c>
      <c r="E731" t="s">
        <v>37</v>
      </c>
      <c r="F731" t="s">
        <v>38</v>
      </c>
      <c r="G731" t="s">
        <v>49</v>
      </c>
      <c r="H731" s="2">
        <v>2312</v>
      </c>
      <c r="I731" s="2">
        <v>2265</v>
      </c>
      <c r="J731">
        <v>27</v>
      </c>
      <c r="K731">
        <v>259</v>
      </c>
      <c r="L731">
        <v>87</v>
      </c>
      <c r="M731">
        <v>322</v>
      </c>
      <c r="N731">
        <v>40</v>
      </c>
      <c r="O731">
        <v>88</v>
      </c>
      <c r="P731">
        <v>39</v>
      </c>
      <c r="Q731">
        <v>46</v>
      </c>
      <c r="R731">
        <v>23</v>
      </c>
      <c r="S731">
        <v>582</v>
      </c>
      <c r="T731">
        <v>226</v>
      </c>
      <c r="U731">
        <v>0</v>
      </c>
      <c r="V731">
        <v>0</v>
      </c>
      <c r="W731" s="1">
        <v>44160</v>
      </c>
    </row>
    <row r="732" spans="1:37" x14ac:dyDescent="0.3">
      <c r="A732">
        <v>2019</v>
      </c>
      <c r="B732">
        <v>7</v>
      </c>
      <c r="C732" t="str">
        <f t="shared" si="22"/>
        <v>7/01/2019</v>
      </c>
      <c r="D732" s="1" t="str">
        <f t="shared" si="23"/>
        <v>7/01/2019</v>
      </c>
      <c r="E732" t="s">
        <v>37</v>
      </c>
      <c r="F732" t="s">
        <v>50</v>
      </c>
      <c r="G732" t="s">
        <v>39</v>
      </c>
      <c r="H732">
        <v>12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S732">
        <v>0</v>
      </c>
      <c r="T732">
        <v>0</v>
      </c>
      <c r="U732">
        <v>0</v>
      </c>
      <c r="V732">
        <v>0</v>
      </c>
      <c r="W732" s="1">
        <v>44160</v>
      </c>
      <c r="Z732" t="s">
        <v>40</v>
      </c>
      <c r="AI732" t="s">
        <v>40</v>
      </c>
    </row>
    <row r="733" spans="1:37" x14ac:dyDescent="0.3">
      <c r="A733">
        <v>2019</v>
      </c>
      <c r="B733">
        <v>7</v>
      </c>
      <c r="C733" t="str">
        <f t="shared" si="22"/>
        <v>7/01/2019</v>
      </c>
      <c r="D733" s="1" t="str">
        <f t="shared" si="23"/>
        <v>7/01/2019</v>
      </c>
      <c r="E733" t="s">
        <v>37</v>
      </c>
      <c r="F733" t="s">
        <v>50</v>
      </c>
      <c r="G733" t="s">
        <v>41</v>
      </c>
      <c r="H733">
        <v>11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 s="1">
        <v>44160</v>
      </c>
      <c r="Z733" t="s">
        <v>40</v>
      </c>
    </row>
    <row r="734" spans="1:37" x14ac:dyDescent="0.3">
      <c r="A734">
        <v>2019</v>
      </c>
      <c r="B734">
        <v>7</v>
      </c>
      <c r="C734" t="str">
        <f t="shared" si="22"/>
        <v>7/01/2019</v>
      </c>
      <c r="D734" s="1" t="str">
        <f t="shared" si="23"/>
        <v>7/01/2019</v>
      </c>
      <c r="E734" t="s">
        <v>37</v>
      </c>
      <c r="F734" t="s">
        <v>50</v>
      </c>
      <c r="G734" t="s">
        <v>42</v>
      </c>
      <c r="H734">
        <v>37</v>
      </c>
      <c r="I734">
        <v>20</v>
      </c>
      <c r="J734">
        <v>0</v>
      </c>
      <c r="M734">
        <v>0</v>
      </c>
      <c r="O734">
        <v>0</v>
      </c>
      <c r="P734">
        <v>0</v>
      </c>
      <c r="Q734">
        <v>0</v>
      </c>
      <c r="R734">
        <v>0</v>
      </c>
      <c r="U734">
        <v>0</v>
      </c>
      <c r="V734">
        <v>0</v>
      </c>
      <c r="W734" s="1">
        <v>44160</v>
      </c>
      <c r="AB734" t="s">
        <v>40</v>
      </c>
      <c r="AC734" t="s">
        <v>40</v>
      </c>
      <c r="AE734" t="s">
        <v>40</v>
      </c>
      <c r="AJ734" t="s">
        <v>40</v>
      </c>
      <c r="AK734" t="s">
        <v>40</v>
      </c>
    </row>
    <row r="735" spans="1:37" x14ac:dyDescent="0.3">
      <c r="A735">
        <v>2019</v>
      </c>
      <c r="B735">
        <v>7</v>
      </c>
      <c r="C735" t="str">
        <f t="shared" si="22"/>
        <v>7/01/2019</v>
      </c>
      <c r="D735" s="1" t="str">
        <f t="shared" si="23"/>
        <v>7/01/2019</v>
      </c>
      <c r="E735" t="s">
        <v>37</v>
      </c>
      <c r="F735" t="s">
        <v>50</v>
      </c>
      <c r="G735" t="s">
        <v>43</v>
      </c>
      <c r="H735">
        <v>35</v>
      </c>
      <c r="I735">
        <v>25</v>
      </c>
      <c r="J735">
        <v>0</v>
      </c>
      <c r="M735">
        <v>0</v>
      </c>
      <c r="N735">
        <v>0</v>
      </c>
      <c r="O735">
        <v>0</v>
      </c>
      <c r="R735">
        <v>0</v>
      </c>
      <c r="U735">
        <v>0</v>
      </c>
      <c r="V735">
        <v>0</v>
      </c>
      <c r="W735" s="1">
        <v>44160</v>
      </c>
      <c r="AB735" t="s">
        <v>40</v>
      </c>
      <c r="AC735" t="s">
        <v>40</v>
      </c>
      <c r="AG735" t="s">
        <v>40</v>
      </c>
      <c r="AH735" t="s">
        <v>40</v>
      </c>
      <c r="AJ735" t="s">
        <v>40</v>
      </c>
      <c r="AK735" t="s">
        <v>40</v>
      </c>
    </row>
    <row r="736" spans="1:37" x14ac:dyDescent="0.3">
      <c r="A736">
        <v>2019</v>
      </c>
      <c r="B736">
        <v>7</v>
      </c>
      <c r="C736" t="str">
        <f t="shared" si="22"/>
        <v>7/01/2019</v>
      </c>
      <c r="D736" s="1" t="str">
        <f t="shared" si="23"/>
        <v>7/01/2019</v>
      </c>
      <c r="E736" t="s">
        <v>37</v>
      </c>
      <c r="F736" t="s">
        <v>50</v>
      </c>
      <c r="G736" t="s">
        <v>44</v>
      </c>
      <c r="H736">
        <v>66</v>
      </c>
      <c r="I736">
        <v>52</v>
      </c>
      <c r="M736">
        <v>0</v>
      </c>
      <c r="N736">
        <v>0</v>
      </c>
      <c r="U736">
        <v>0</v>
      </c>
      <c r="V736">
        <v>0</v>
      </c>
      <c r="W736" s="1">
        <v>44160</v>
      </c>
      <c r="AA736" t="s">
        <v>40</v>
      </c>
      <c r="AB736" t="s">
        <v>40</v>
      </c>
      <c r="AC736" t="s">
        <v>40</v>
      </c>
      <c r="AF736" t="s">
        <v>40</v>
      </c>
      <c r="AG736" t="s">
        <v>40</v>
      </c>
      <c r="AH736" t="s">
        <v>40</v>
      </c>
      <c r="AI736" t="s">
        <v>40</v>
      </c>
      <c r="AJ736" t="s">
        <v>40</v>
      </c>
      <c r="AK736" t="s">
        <v>40</v>
      </c>
    </row>
    <row r="737" spans="1:37" x14ac:dyDescent="0.3">
      <c r="A737">
        <v>2019</v>
      </c>
      <c r="B737">
        <v>7</v>
      </c>
      <c r="C737" t="str">
        <f t="shared" si="22"/>
        <v>7/01/2019</v>
      </c>
      <c r="D737" s="1" t="str">
        <f t="shared" si="23"/>
        <v>7/01/2019</v>
      </c>
      <c r="E737" t="s">
        <v>37</v>
      </c>
      <c r="F737" t="s">
        <v>50</v>
      </c>
      <c r="G737" t="s">
        <v>45</v>
      </c>
      <c r="J737">
        <v>0</v>
      </c>
      <c r="K737">
        <v>0</v>
      </c>
      <c r="L737">
        <v>0</v>
      </c>
      <c r="M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 s="1">
        <v>44160</v>
      </c>
      <c r="Y737" t="s">
        <v>40</v>
      </c>
      <c r="Z737" t="s">
        <v>40</v>
      </c>
      <c r="AE737" t="s">
        <v>40</v>
      </c>
    </row>
    <row r="738" spans="1:37" x14ac:dyDescent="0.3">
      <c r="A738">
        <v>2019</v>
      </c>
      <c r="B738">
        <v>7</v>
      </c>
      <c r="C738" t="str">
        <f t="shared" si="22"/>
        <v>7/01/2019</v>
      </c>
      <c r="D738" s="1" t="str">
        <f t="shared" si="23"/>
        <v>7/01/2019</v>
      </c>
      <c r="E738" t="s">
        <v>37</v>
      </c>
      <c r="F738" t="s">
        <v>50</v>
      </c>
      <c r="G738" t="s">
        <v>46</v>
      </c>
      <c r="H738">
        <v>115</v>
      </c>
      <c r="I738">
        <v>110</v>
      </c>
      <c r="K738">
        <v>35</v>
      </c>
      <c r="M738">
        <v>0</v>
      </c>
      <c r="P738">
        <v>0</v>
      </c>
      <c r="S738">
        <v>17</v>
      </c>
      <c r="U738">
        <v>0</v>
      </c>
      <c r="V738">
        <v>0</v>
      </c>
      <c r="W738" s="1">
        <v>44160</v>
      </c>
      <c r="AA738" t="s">
        <v>40</v>
      </c>
      <c r="AC738" t="s">
        <v>40</v>
      </c>
      <c r="AE738" t="s">
        <v>40</v>
      </c>
      <c r="AF738" t="s">
        <v>40</v>
      </c>
      <c r="AH738" t="s">
        <v>40</v>
      </c>
      <c r="AI738" t="s">
        <v>40</v>
      </c>
      <c r="AK738" t="s">
        <v>40</v>
      </c>
    </row>
    <row r="739" spans="1:37" x14ac:dyDescent="0.3">
      <c r="A739">
        <v>2019</v>
      </c>
      <c r="B739">
        <v>7</v>
      </c>
      <c r="C739" t="str">
        <f t="shared" si="22"/>
        <v>7/01/2019</v>
      </c>
      <c r="D739" s="1" t="str">
        <f t="shared" si="23"/>
        <v>7/01/2019</v>
      </c>
      <c r="E739" t="s">
        <v>37</v>
      </c>
      <c r="F739" t="s">
        <v>50</v>
      </c>
      <c r="G739" t="s">
        <v>47</v>
      </c>
      <c r="H739">
        <v>125</v>
      </c>
      <c r="I739">
        <v>121</v>
      </c>
      <c r="K739">
        <v>29</v>
      </c>
      <c r="L739">
        <v>11</v>
      </c>
      <c r="R739">
        <v>0</v>
      </c>
      <c r="S739">
        <v>25</v>
      </c>
      <c r="U739">
        <v>0</v>
      </c>
      <c r="V739">
        <v>0</v>
      </c>
      <c r="W739" s="1">
        <v>44160</v>
      </c>
      <c r="AA739" t="s">
        <v>40</v>
      </c>
      <c r="AD739" t="s">
        <v>40</v>
      </c>
      <c r="AE739" t="s">
        <v>40</v>
      </c>
      <c r="AF739" t="s">
        <v>40</v>
      </c>
      <c r="AG739" t="s">
        <v>40</v>
      </c>
      <c r="AH739" t="s">
        <v>40</v>
      </c>
      <c r="AK739" t="s">
        <v>40</v>
      </c>
    </row>
    <row r="740" spans="1:37" x14ac:dyDescent="0.3">
      <c r="A740">
        <v>2019</v>
      </c>
      <c r="B740">
        <v>7</v>
      </c>
      <c r="C740" t="str">
        <f t="shared" si="22"/>
        <v>7/01/2019</v>
      </c>
      <c r="D740" s="1" t="str">
        <f t="shared" si="23"/>
        <v>7/01/2019</v>
      </c>
      <c r="E740" t="s">
        <v>37</v>
      </c>
      <c r="F740" t="s">
        <v>50</v>
      </c>
      <c r="G740" t="s">
        <v>48</v>
      </c>
      <c r="H740">
        <v>135</v>
      </c>
      <c r="I740">
        <v>131</v>
      </c>
      <c r="K740">
        <v>30</v>
      </c>
      <c r="O740">
        <v>10</v>
      </c>
      <c r="R740">
        <v>0</v>
      </c>
      <c r="S740">
        <v>28</v>
      </c>
      <c r="U740">
        <v>0</v>
      </c>
      <c r="V740">
        <v>0</v>
      </c>
      <c r="W740" s="1">
        <v>44160</v>
      </c>
      <c r="AA740" t="s">
        <v>40</v>
      </c>
      <c r="AC740" t="s">
        <v>40</v>
      </c>
      <c r="AD740" t="s">
        <v>40</v>
      </c>
      <c r="AE740" t="s">
        <v>40</v>
      </c>
      <c r="AG740" t="s">
        <v>40</v>
      </c>
      <c r="AH740" t="s">
        <v>40</v>
      </c>
      <c r="AK740" t="s">
        <v>40</v>
      </c>
    </row>
    <row r="741" spans="1:37" x14ac:dyDescent="0.3">
      <c r="A741">
        <v>2019</v>
      </c>
      <c r="B741">
        <v>7</v>
      </c>
      <c r="C741" t="str">
        <f t="shared" si="22"/>
        <v>7/01/2019</v>
      </c>
      <c r="D741" s="1" t="str">
        <f t="shared" si="23"/>
        <v>7/01/2019</v>
      </c>
      <c r="E741" t="s">
        <v>37</v>
      </c>
      <c r="F741" t="s">
        <v>50</v>
      </c>
      <c r="G741" t="s">
        <v>49</v>
      </c>
      <c r="H741">
        <v>112</v>
      </c>
      <c r="I741">
        <v>108</v>
      </c>
      <c r="K741">
        <v>11</v>
      </c>
      <c r="M741">
        <v>14</v>
      </c>
      <c r="S741">
        <v>24</v>
      </c>
      <c r="U741">
        <v>0</v>
      </c>
      <c r="V741">
        <v>0</v>
      </c>
      <c r="W741" s="1">
        <v>44160</v>
      </c>
      <c r="AA741" t="s">
        <v>40</v>
      </c>
      <c r="AC741" t="s">
        <v>40</v>
      </c>
      <c r="AE741" t="s">
        <v>40</v>
      </c>
      <c r="AF741" t="s">
        <v>40</v>
      </c>
      <c r="AG741" t="s">
        <v>40</v>
      </c>
      <c r="AH741" t="s">
        <v>40</v>
      </c>
      <c r="AI741" t="s">
        <v>40</v>
      </c>
      <c r="AK741" t="s">
        <v>40</v>
      </c>
    </row>
    <row r="742" spans="1:37" x14ac:dyDescent="0.3">
      <c r="A742">
        <v>2019</v>
      </c>
      <c r="B742">
        <v>7</v>
      </c>
      <c r="C742" t="str">
        <f t="shared" si="22"/>
        <v>7/01/2019</v>
      </c>
      <c r="D742" s="1" t="str">
        <f t="shared" si="23"/>
        <v>7/01/2019</v>
      </c>
      <c r="E742" t="s">
        <v>37</v>
      </c>
      <c r="F742" t="s">
        <v>51</v>
      </c>
      <c r="G742" t="s">
        <v>39</v>
      </c>
      <c r="H742">
        <v>35</v>
      </c>
      <c r="I742">
        <v>33</v>
      </c>
      <c r="J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S742">
        <v>0</v>
      </c>
      <c r="T742">
        <v>0</v>
      </c>
      <c r="U742">
        <v>0</v>
      </c>
      <c r="V742">
        <v>0</v>
      </c>
      <c r="W742" s="1">
        <v>44160</v>
      </c>
      <c r="AB742" t="s">
        <v>40</v>
      </c>
      <c r="AI742" t="s">
        <v>40</v>
      </c>
    </row>
    <row r="743" spans="1:37" x14ac:dyDescent="0.3">
      <c r="A743">
        <v>2019</v>
      </c>
      <c r="B743">
        <v>7</v>
      </c>
      <c r="C743" t="str">
        <f t="shared" si="22"/>
        <v>7/01/2019</v>
      </c>
      <c r="D743" s="1" t="str">
        <f t="shared" si="23"/>
        <v>7/01/2019</v>
      </c>
      <c r="E743" t="s">
        <v>37</v>
      </c>
      <c r="F743" t="s">
        <v>51</v>
      </c>
      <c r="G743" t="s">
        <v>41</v>
      </c>
      <c r="H743">
        <v>20</v>
      </c>
      <c r="J743">
        <v>0</v>
      </c>
      <c r="L743">
        <v>0</v>
      </c>
      <c r="M743">
        <v>0</v>
      </c>
      <c r="N743">
        <v>0</v>
      </c>
      <c r="O743">
        <v>0</v>
      </c>
      <c r="Q743">
        <v>0</v>
      </c>
      <c r="S743">
        <v>0</v>
      </c>
      <c r="T743">
        <v>0</v>
      </c>
      <c r="U743">
        <v>0</v>
      </c>
      <c r="V743">
        <v>0</v>
      </c>
      <c r="W743" s="1">
        <v>44160</v>
      </c>
      <c r="Z743" t="s">
        <v>40</v>
      </c>
      <c r="AB743" t="s">
        <v>40</v>
      </c>
      <c r="AG743" t="s">
        <v>40</v>
      </c>
      <c r="AI743" t="s">
        <v>40</v>
      </c>
    </row>
    <row r="744" spans="1:37" x14ac:dyDescent="0.3">
      <c r="A744">
        <v>2019</v>
      </c>
      <c r="B744">
        <v>7</v>
      </c>
      <c r="C744" t="str">
        <f t="shared" si="22"/>
        <v>7/01/2019</v>
      </c>
      <c r="D744" s="1" t="str">
        <f t="shared" si="23"/>
        <v>7/01/2019</v>
      </c>
      <c r="E744" t="s">
        <v>37</v>
      </c>
      <c r="F744" t="s">
        <v>51</v>
      </c>
      <c r="G744" t="s">
        <v>42</v>
      </c>
      <c r="H744">
        <v>34</v>
      </c>
      <c r="I744">
        <v>10</v>
      </c>
      <c r="L744">
        <v>0</v>
      </c>
      <c r="M744">
        <v>0</v>
      </c>
      <c r="P744">
        <v>0</v>
      </c>
      <c r="S744">
        <v>0</v>
      </c>
      <c r="T744">
        <v>0</v>
      </c>
      <c r="U744">
        <v>0</v>
      </c>
      <c r="V744">
        <v>0</v>
      </c>
      <c r="W744" s="1">
        <v>44160</v>
      </c>
      <c r="AA744" t="s">
        <v>40</v>
      </c>
      <c r="AB744" t="s">
        <v>40</v>
      </c>
      <c r="AE744" t="s">
        <v>40</v>
      </c>
      <c r="AF744" t="s">
        <v>40</v>
      </c>
      <c r="AH744" t="s">
        <v>40</v>
      </c>
      <c r="AI744" t="s">
        <v>40</v>
      </c>
    </row>
    <row r="745" spans="1:37" x14ac:dyDescent="0.3">
      <c r="A745">
        <v>2019</v>
      </c>
      <c r="B745">
        <v>7</v>
      </c>
      <c r="C745" t="str">
        <f t="shared" si="22"/>
        <v>7/01/2019</v>
      </c>
      <c r="D745" s="1" t="str">
        <f t="shared" si="23"/>
        <v>7/01/2019</v>
      </c>
      <c r="E745" t="s">
        <v>37</v>
      </c>
      <c r="F745" t="s">
        <v>51</v>
      </c>
      <c r="G745" t="s">
        <v>43</v>
      </c>
      <c r="H745">
        <v>58</v>
      </c>
      <c r="I745">
        <v>46</v>
      </c>
      <c r="J745">
        <v>0</v>
      </c>
      <c r="K745">
        <v>23</v>
      </c>
      <c r="M745">
        <v>0</v>
      </c>
      <c r="O745">
        <v>0</v>
      </c>
      <c r="T745">
        <v>0</v>
      </c>
      <c r="U745">
        <v>0</v>
      </c>
      <c r="V745">
        <v>0</v>
      </c>
      <c r="W745" s="1">
        <v>44160</v>
      </c>
      <c r="AC745" t="s">
        <v>40</v>
      </c>
      <c r="AE745" t="s">
        <v>40</v>
      </c>
      <c r="AG745" t="s">
        <v>40</v>
      </c>
      <c r="AH745" t="s">
        <v>40</v>
      </c>
      <c r="AI745" t="s">
        <v>40</v>
      </c>
      <c r="AJ745" t="s">
        <v>40</v>
      </c>
    </row>
    <row r="746" spans="1:37" x14ac:dyDescent="0.3">
      <c r="A746">
        <v>2019</v>
      </c>
      <c r="B746">
        <v>7</v>
      </c>
      <c r="C746" t="str">
        <f t="shared" si="22"/>
        <v>7/01/2019</v>
      </c>
      <c r="D746" s="1" t="str">
        <f t="shared" si="23"/>
        <v>7/01/2019</v>
      </c>
      <c r="E746" t="s">
        <v>37</v>
      </c>
      <c r="F746" t="s">
        <v>51</v>
      </c>
      <c r="G746" t="s">
        <v>44</v>
      </c>
      <c r="H746">
        <v>151</v>
      </c>
      <c r="I746">
        <v>133</v>
      </c>
      <c r="K746">
        <v>80</v>
      </c>
      <c r="M746">
        <v>0</v>
      </c>
      <c r="O746">
        <v>0</v>
      </c>
      <c r="S746">
        <v>13</v>
      </c>
      <c r="T746">
        <v>10</v>
      </c>
      <c r="U746">
        <v>0</v>
      </c>
      <c r="V746">
        <v>0</v>
      </c>
      <c r="W746" s="1">
        <v>44160</v>
      </c>
      <c r="AA746" t="s">
        <v>40</v>
      </c>
      <c r="AC746" t="s">
        <v>40</v>
      </c>
      <c r="AE746" t="s">
        <v>40</v>
      </c>
      <c r="AG746" t="s">
        <v>40</v>
      </c>
      <c r="AH746" t="s">
        <v>40</v>
      </c>
      <c r="AI746" t="s">
        <v>40</v>
      </c>
    </row>
    <row r="747" spans="1:37" x14ac:dyDescent="0.3">
      <c r="A747">
        <v>2019</v>
      </c>
      <c r="B747">
        <v>7</v>
      </c>
      <c r="C747" t="str">
        <f t="shared" si="22"/>
        <v>7/01/2019</v>
      </c>
      <c r="D747" s="1" t="str">
        <f t="shared" si="23"/>
        <v>7/01/2019</v>
      </c>
      <c r="E747" t="s">
        <v>37</v>
      </c>
      <c r="F747" t="s">
        <v>51</v>
      </c>
      <c r="G747" t="s">
        <v>45</v>
      </c>
      <c r="J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T747">
        <v>0</v>
      </c>
      <c r="U747">
        <v>0</v>
      </c>
      <c r="V747">
        <v>0</v>
      </c>
      <c r="W747" s="1">
        <v>44160</v>
      </c>
      <c r="Y747" t="s">
        <v>40</v>
      </c>
      <c r="Z747" t="s">
        <v>40</v>
      </c>
      <c r="AB747" t="s">
        <v>40</v>
      </c>
      <c r="AJ747" t="s">
        <v>40</v>
      </c>
    </row>
    <row r="748" spans="1:37" x14ac:dyDescent="0.3">
      <c r="A748">
        <v>2019</v>
      </c>
      <c r="B748">
        <v>7</v>
      </c>
      <c r="C748" t="str">
        <f t="shared" si="22"/>
        <v>7/01/2019</v>
      </c>
      <c r="D748" s="1" t="str">
        <f t="shared" si="23"/>
        <v>7/01/2019</v>
      </c>
      <c r="E748" t="s">
        <v>37</v>
      </c>
      <c r="F748" t="s">
        <v>51</v>
      </c>
      <c r="G748" t="s">
        <v>46</v>
      </c>
      <c r="H748">
        <v>273</v>
      </c>
      <c r="I748">
        <v>254</v>
      </c>
      <c r="K748">
        <v>146</v>
      </c>
      <c r="M748">
        <v>0</v>
      </c>
      <c r="S748">
        <v>35</v>
      </c>
      <c r="T748">
        <v>16</v>
      </c>
      <c r="U748">
        <v>0</v>
      </c>
      <c r="V748">
        <v>0</v>
      </c>
      <c r="W748" s="1">
        <v>44160</v>
      </c>
      <c r="AA748" t="s">
        <v>40</v>
      </c>
      <c r="AC748" t="s">
        <v>40</v>
      </c>
      <c r="AE748" t="s">
        <v>40</v>
      </c>
      <c r="AF748" t="s">
        <v>40</v>
      </c>
      <c r="AG748" t="s">
        <v>40</v>
      </c>
      <c r="AH748" t="s">
        <v>40</v>
      </c>
      <c r="AI748" t="s">
        <v>40</v>
      </c>
    </row>
    <row r="749" spans="1:37" x14ac:dyDescent="0.3">
      <c r="A749">
        <v>2019</v>
      </c>
      <c r="B749">
        <v>7</v>
      </c>
      <c r="C749" t="str">
        <f t="shared" si="22"/>
        <v>7/01/2019</v>
      </c>
      <c r="D749" s="1" t="str">
        <f t="shared" si="23"/>
        <v>7/01/2019</v>
      </c>
      <c r="E749" t="s">
        <v>37</v>
      </c>
      <c r="F749" t="s">
        <v>51</v>
      </c>
      <c r="G749" t="s">
        <v>47</v>
      </c>
      <c r="H749">
        <v>469</v>
      </c>
      <c r="I749">
        <v>451</v>
      </c>
      <c r="K749">
        <v>194</v>
      </c>
      <c r="L749">
        <v>20</v>
      </c>
      <c r="S749">
        <v>79</v>
      </c>
      <c r="T749">
        <v>35</v>
      </c>
      <c r="U749">
        <v>0</v>
      </c>
      <c r="V749">
        <v>0</v>
      </c>
      <c r="W749" s="1">
        <v>44160</v>
      </c>
      <c r="AA749" t="s">
        <v>40</v>
      </c>
      <c r="AD749" t="s">
        <v>40</v>
      </c>
      <c r="AE749" t="s">
        <v>40</v>
      </c>
      <c r="AF749" t="s">
        <v>40</v>
      </c>
      <c r="AG749" t="s">
        <v>40</v>
      </c>
      <c r="AH749" t="s">
        <v>40</v>
      </c>
      <c r="AI749" t="s">
        <v>40</v>
      </c>
    </row>
    <row r="750" spans="1:37" x14ac:dyDescent="0.3">
      <c r="A750">
        <v>2019</v>
      </c>
      <c r="B750">
        <v>7</v>
      </c>
      <c r="C750" t="str">
        <f t="shared" si="22"/>
        <v>7/01/2019</v>
      </c>
      <c r="D750" s="1" t="str">
        <f t="shared" si="23"/>
        <v>7/01/2019</v>
      </c>
      <c r="E750" t="s">
        <v>37</v>
      </c>
      <c r="F750" t="s">
        <v>51</v>
      </c>
      <c r="G750" t="s">
        <v>48</v>
      </c>
      <c r="H750">
        <v>643</v>
      </c>
      <c r="I750">
        <v>629</v>
      </c>
      <c r="K750">
        <v>165</v>
      </c>
      <c r="L750">
        <v>42</v>
      </c>
      <c r="M750">
        <v>26</v>
      </c>
      <c r="N750">
        <v>15</v>
      </c>
      <c r="O750">
        <v>15</v>
      </c>
      <c r="P750">
        <v>12</v>
      </c>
      <c r="Q750">
        <v>17</v>
      </c>
      <c r="S750">
        <v>128</v>
      </c>
      <c r="T750">
        <v>54</v>
      </c>
      <c r="U750">
        <v>0</v>
      </c>
      <c r="V750">
        <v>0</v>
      </c>
      <c r="W750" s="1">
        <v>44160</v>
      </c>
      <c r="AA750" t="s">
        <v>40</v>
      </c>
      <c r="AI750" t="s">
        <v>40</v>
      </c>
    </row>
    <row r="751" spans="1:37" x14ac:dyDescent="0.3">
      <c r="A751">
        <v>2019</v>
      </c>
      <c r="B751">
        <v>7</v>
      </c>
      <c r="C751" t="str">
        <f t="shared" si="22"/>
        <v>7/01/2019</v>
      </c>
      <c r="D751" s="1" t="str">
        <f t="shared" si="23"/>
        <v>7/01/2019</v>
      </c>
      <c r="E751" t="s">
        <v>37</v>
      </c>
      <c r="F751" t="s">
        <v>51</v>
      </c>
      <c r="G751" t="s">
        <v>49</v>
      </c>
      <c r="H751" s="2">
        <v>1133</v>
      </c>
      <c r="I751" s="2">
        <v>1113</v>
      </c>
      <c r="K751">
        <v>147</v>
      </c>
      <c r="L751">
        <v>37</v>
      </c>
      <c r="M751">
        <v>130</v>
      </c>
      <c r="N751">
        <v>33</v>
      </c>
      <c r="O751">
        <v>36</v>
      </c>
      <c r="P751">
        <v>16</v>
      </c>
      <c r="Q751">
        <v>19</v>
      </c>
      <c r="R751">
        <v>14</v>
      </c>
      <c r="S751">
        <v>269</v>
      </c>
      <c r="T751">
        <v>118</v>
      </c>
      <c r="U751">
        <v>0</v>
      </c>
      <c r="V751">
        <v>0</v>
      </c>
      <c r="W751" s="1">
        <v>44160</v>
      </c>
      <c r="AA751" t="s">
        <v>40</v>
      </c>
    </row>
    <row r="752" spans="1:37" x14ac:dyDescent="0.3">
      <c r="A752">
        <v>2019</v>
      </c>
      <c r="B752">
        <v>7</v>
      </c>
      <c r="C752" t="str">
        <f t="shared" si="22"/>
        <v>7/01/2019</v>
      </c>
      <c r="D752" s="1" t="str">
        <f t="shared" si="23"/>
        <v>7/01/2019</v>
      </c>
      <c r="E752" t="s">
        <v>37</v>
      </c>
      <c r="F752" t="s">
        <v>52</v>
      </c>
      <c r="G752" t="s">
        <v>39</v>
      </c>
      <c r="H752">
        <v>252</v>
      </c>
      <c r="I752">
        <v>220</v>
      </c>
      <c r="L752">
        <v>0</v>
      </c>
      <c r="M752">
        <v>0</v>
      </c>
      <c r="N752">
        <v>0</v>
      </c>
      <c r="O752">
        <v>0</v>
      </c>
      <c r="Q752">
        <v>0</v>
      </c>
      <c r="R752">
        <v>25</v>
      </c>
      <c r="U752">
        <v>0</v>
      </c>
      <c r="V752">
        <v>0</v>
      </c>
      <c r="W752" s="1">
        <v>44160</v>
      </c>
      <c r="AA752" t="s">
        <v>40</v>
      </c>
      <c r="AB752" t="s">
        <v>40</v>
      </c>
      <c r="AG752" t="s">
        <v>40</v>
      </c>
      <c r="AJ752" t="s">
        <v>40</v>
      </c>
      <c r="AK752" t="s">
        <v>40</v>
      </c>
    </row>
    <row r="753" spans="1:37" x14ac:dyDescent="0.3">
      <c r="A753">
        <v>2019</v>
      </c>
      <c r="B753">
        <v>7</v>
      </c>
      <c r="C753" t="str">
        <f t="shared" si="22"/>
        <v>7/01/2019</v>
      </c>
      <c r="D753" s="1" t="str">
        <f t="shared" si="23"/>
        <v>7/01/2019</v>
      </c>
      <c r="E753" t="s">
        <v>37</v>
      </c>
      <c r="F753" t="s">
        <v>52</v>
      </c>
      <c r="G753" t="s">
        <v>41</v>
      </c>
      <c r="H753">
        <v>138</v>
      </c>
      <c r="I753">
        <v>49</v>
      </c>
      <c r="M753">
        <v>0</v>
      </c>
      <c r="Q753">
        <v>0</v>
      </c>
      <c r="S753">
        <v>10</v>
      </c>
      <c r="U753">
        <v>0</v>
      </c>
      <c r="V753">
        <v>0</v>
      </c>
      <c r="W753" s="1">
        <v>44160</v>
      </c>
      <c r="AA753" t="s">
        <v>40</v>
      </c>
      <c r="AB753" t="s">
        <v>40</v>
      </c>
      <c r="AC753" t="s">
        <v>40</v>
      </c>
      <c r="AE753" t="s">
        <v>40</v>
      </c>
      <c r="AF753" t="s">
        <v>40</v>
      </c>
      <c r="AG753" t="s">
        <v>40</v>
      </c>
      <c r="AI753" t="s">
        <v>40</v>
      </c>
      <c r="AK753" t="s">
        <v>40</v>
      </c>
    </row>
    <row r="754" spans="1:37" x14ac:dyDescent="0.3">
      <c r="A754">
        <v>2019</v>
      </c>
      <c r="B754">
        <v>7</v>
      </c>
      <c r="C754" t="str">
        <f t="shared" si="22"/>
        <v>7/01/2019</v>
      </c>
      <c r="D754" s="1" t="str">
        <f t="shared" si="23"/>
        <v>7/01/2019</v>
      </c>
      <c r="E754" t="s">
        <v>37</v>
      </c>
      <c r="F754" t="s">
        <v>52</v>
      </c>
      <c r="G754" t="s">
        <v>42</v>
      </c>
      <c r="H754">
        <v>322</v>
      </c>
      <c r="I754">
        <v>183</v>
      </c>
      <c r="K754">
        <v>27</v>
      </c>
      <c r="L754">
        <v>12</v>
      </c>
      <c r="M754">
        <v>0</v>
      </c>
      <c r="R754">
        <v>10</v>
      </c>
      <c r="S754">
        <v>34</v>
      </c>
      <c r="U754">
        <v>0</v>
      </c>
      <c r="V754">
        <v>0</v>
      </c>
      <c r="W754" s="1">
        <v>44160</v>
      </c>
      <c r="AA754" t="s">
        <v>40</v>
      </c>
      <c r="AE754" t="s">
        <v>40</v>
      </c>
      <c r="AF754" t="s">
        <v>40</v>
      </c>
      <c r="AG754" t="s">
        <v>40</v>
      </c>
      <c r="AH754" t="s">
        <v>40</v>
      </c>
      <c r="AK754" t="s">
        <v>40</v>
      </c>
    </row>
    <row r="755" spans="1:37" x14ac:dyDescent="0.3">
      <c r="A755">
        <v>2019</v>
      </c>
      <c r="B755">
        <v>7</v>
      </c>
      <c r="C755" t="str">
        <f t="shared" si="22"/>
        <v>7/01/2019</v>
      </c>
      <c r="D755" s="1" t="str">
        <f t="shared" si="23"/>
        <v>7/01/2019</v>
      </c>
      <c r="E755" t="s">
        <v>37</v>
      </c>
      <c r="F755" t="s">
        <v>52</v>
      </c>
      <c r="G755" t="s">
        <v>43</v>
      </c>
      <c r="H755">
        <v>532</v>
      </c>
      <c r="I755">
        <v>415</v>
      </c>
      <c r="J755">
        <v>11</v>
      </c>
      <c r="K755">
        <v>101</v>
      </c>
      <c r="L755">
        <v>19</v>
      </c>
      <c r="M755">
        <v>0</v>
      </c>
      <c r="Q755">
        <v>15</v>
      </c>
      <c r="R755">
        <v>13</v>
      </c>
      <c r="S755">
        <v>98</v>
      </c>
      <c r="T755">
        <v>19</v>
      </c>
      <c r="U755">
        <v>0</v>
      </c>
      <c r="V755">
        <v>0</v>
      </c>
      <c r="W755" s="1">
        <v>44160</v>
      </c>
      <c r="AE755" t="s">
        <v>40</v>
      </c>
      <c r="AF755" t="s">
        <v>40</v>
      </c>
      <c r="AG755" t="s">
        <v>40</v>
      </c>
    </row>
    <row r="756" spans="1:37" x14ac:dyDescent="0.3">
      <c r="A756">
        <v>2019</v>
      </c>
      <c r="B756">
        <v>7</v>
      </c>
      <c r="C756" t="str">
        <f t="shared" si="22"/>
        <v>7/01/2019</v>
      </c>
      <c r="D756" s="1" t="str">
        <f t="shared" si="23"/>
        <v>7/01/2019</v>
      </c>
      <c r="E756" t="s">
        <v>37</v>
      </c>
      <c r="F756" t="s">
        <v>52</v>
      </c>
      <c r="G756" t="s">
        <v>44</v>
      </c>
      <c r="H756" s="2">
        <v>1075</v>
      </c>
      <c r="I756">
        <v>943</v>
      </c>
      <c r="J756">
        <v>23</v>
      </c>
      <c r="K756">
        <v>285</v>
      </c>
      <c r="L756">
        <v>50</v>
      </c>
      <c r="M756">
        <v>0</v>
      </c>
      <c r="O756">
        <v>22</v>
      </c>
      <c r="P756">
        <v>22</v>
      </c>
      <c r="Q756">
        <v>22</v>
      </c>
      <c r="R756">
        <v>16</v>
      </c>
      <c r="S756">
        <v>214</v>
      </c>
      <c r="T756">
        <v>48</v>
      </c>
      <c r="U756">
        <v>0</v>
      </c>
      <c r="V756">
        <v>0</v>
      </c>
      <c r="W756" s="1">
        <v>44160</v>
      </c>
      <c r="AE756" t="s">
        <v>40</v>
      </c>
    </row>
    <row r="757" spans="1:37" x14ac:dyDescent="0.3">
      <c r="A757">
        <v>2019</v>
      </c>
      <c r="B757">
        <v>7</v>
      </c>
      <c r="C757" t="str">
        <f t="shared" si="22"/>
        <v>7/01/2019</v>
      </c>
      <c r="D757" s="1" t="str">
        <f t="shared" si="23"/>
        <v>7/01/2019</v>
      </c>
      <c r="E757" t="s">
        <v>37</v>
      </c>
      <c r="F757" t="s">
        <v>52</v>
      </c>
      <c r="G757" t="s">
        <v>45</v>
      </c>
      <c r="H757">
        <v>38</v>
      </c>
      <c r="I757">
        <v>23</v>
      </c>
      <c r="J757">
        <v>0</v>
      </c>
      <c r="L757">
        <v>0</v>
      </c>
      <c r="M757">
        <v>0</v>
      </c>
      <c r="P757">
        <v>0</v>
      </c>
      <c r="Q757">
        <v>0</v>
      </c>
      <c r="T757">
        <v>0</v>
      </c>
      <c r="U757">
        <v>0</v>
      </c>
      <c r="V757">
        <v>0</v>
      </c>
      <c r="W757" s="1">
        <v>44160</v>
      </c>
      <c r="AB757" t="s">
        <v>40</v>
      </c>
      <c r="AE757" t="s">
        <v>40</v>
      </c>
      <c r="AF757" t="s">
        <v>40</v>
      </c>
      <c r="AI757" t="s">
        <v>40</v>
      </c>
      <c r="AJ757" t="s">
        <v>40</v>
      </c>
    </row>
    <row r="758" spans="1:37" x14ac:dyDescent="0.3">
      <c r="A758">
        <v>2019</v>
      </c>
      <c r="B758">
        <v>7</v>
      </c>
      <c r="C758" t="str">
        <f t="shared" si="22"/>
        <v>7/01/2019</v>
      </c>
      <c r="D758" s="1" t="str">
        <f t="shared" si="23"/>
        <v>7/01/2019</v>
      </c>
      <c r="E758" t="s">
        <v>37</v>
      </c>
      <c r="F758" t="s">
        <v>52</v>
      </c>
      <c r="G758" t="s">
        <v>46</v>
      </c>
      <c r="H758" s="2">
        <v>2164</v>
      </c>
      <c r="I758" s="2">
        <v>2056</v>
      </c>
      <c r="J758">
        <v>43</v>
      </c>
      <c r="K758">
        <v>674</v>
      </c>
      <c r="L758">
        <v>118</v>
      </c>
      <c r="N758">
        <v>29</v>
      </c>
      <c r="O758">
        <v>85</v>
      </c>
      <c r="P758">
        <v>40</v>
      </c>
      <c r="Q758">
        <v>53</v>
      </c>
      <c r="R758">
        <v>12</v>
      </c>
      <c r="S758">
        <v>478</v>
      </c>
      <c r="T758">
        <v>103</v>
      </c>
      <c r="U758">
        <v>0</v>
      </c>
      <c r="V758">
        <v>0</v>
      </c>
      <c r="W758" s="1">
        <v>44160</v>
      </c>
      <c r="AD758" t="s">
        <v>40</v>
      </c>
    </row>
    <row r="759" spans="1:37" x14ac:dyDescent="0.3">
      <c r="A759">
        <v>2019</v>
      </c>
      <c r="B759">
        <v>7</v>
      </c>
      <c r="C759" t="str">
        <f t="shared" si="22"/>
        <v>7/01/2019</v>
      </c>
      <c r="D759" s="1" t="str">
        <f t="shared" si="23"/>
        <v>7/01/2019</v>
      </c>
      <c r="E759" t="s">
        <v>37</v>
      </c>
      <c r="F759" t="s">
        <v>52</v>
      </c>
      <c r="G759" t="s">
        <v>47</v>
      </c>
      <c r="H759" s="2">
        <v>2621</v>
      </c>
      <c r="I759" s="2">
        <v>2556</v>
      </c>
      <c r="J759">
        <v>56</v>
      </c>
      <c r="K759">
        <v>785</v>
      </c>
      <c r="L759">
        <v>138</v>
      </c>
      <c r="M759">
        <v>44</v>
      </c>
      <c r="N759">
        <v>31</v>
      </c>
      <c r="O759">
        <v>120</v>
      </c>
      <c r="P759">
        <v>35</v>
      </c>
      <c r="Q759">
        <v>103</v>
      </c>
      <c r="R759">
        <v>18</v>
      </c>
      <c r="S759">
        <v>571</v>
      </c>
      <c r="T759">
        <v>163</v>
      </c>
      <c r="U759">
        <v>0</v>
      </c>
      <c r="V759">
        <v>0</v>
      </c>
      <c r="W759" s="1">
        <v>44160</v>
      </c>
    </row>
    <row r="760" spans="1:37" x14ac:dyDescent="0.3">
      <c r="A760">
        <v>2019</v>
      </c>
      <c r="B760">
        <v>7</v>
      </c>
      <c r="C760" t="str">
        <f t="shared" si="22"/>
        <v>7/01/2019</v>
      </c>
      <c r="D760" s="1" t="str">
        <f t="shared" si="23"/>
        <v>7/01/2019</v>
      </c>
      <c r="E760" t="s">
        <v>37</v>
      </c>
      <c r="F760" t="s">
        <v>52</v>
      </c>
      <c r="G760" t="s">
        <v>48</v>
      </c>
      <c r="H760" s="2">
        <v>2871</v>
      </c>
      <c r="I760" s="2">
        <v>2821</v>
      </c>
      <c r="J760">
        <v>57</v>
      </c>
      <c r="K760">
        <v>609</v>
      </c>
      <c r="L760">
        <v>149</v>
      </c>
      <c r="M760">
        <v>149</v>
      </c>
      <c r="N760">
        <v>40</v>
      </c>
      <c r="O760">
        <v>125</v>
      </c>
      <c r="P760">
        <v>39</v>
      </c>
      <c r="Q760">
        <v>115</v>
      </c>
      <c r="R760">
        <v>20</v>
      </c>
      <c r="S760">
        <v>719</v>
      </c>
      <c r="T760">
        <v>221</v>
      </c>
      <c r="U760">
        <v>0</v>
      </c>
      <c r="V760">
        <v>0</v>
      </c>
      <c r="W760" s="1">
        <v>44160</v>
      </c>
    </row>
    <row r="761" spans="1:37" x14ac:dyDescent="0.3">
      <c r="A761">
        <v>2019</v>
      </c>
      <c r="B761">
        <v>7</v>
      </c>
      <c r="C761" t="str">
        <f t="shared" si="22"/>
        <v>7/01/2019</v>
      </c>
      <c r="D761" s="1" t="str">
        <f t="shared" si="23"/>
        <v>7/01/2019</v>
      </c>
      <c r="E761" t="s">
        <v>37</v>
      </c>
      <c r="F761" t="s">
        <v>52</v>
      </c>
      <c r="G761" t="s">
        <v>49</v>
      </c>
      <c r="H761" s="2">
        <v>3163</v>
      </c>
      <c r="I761" s="2">
        <v>3125</v>
      </c>
      <c r="J761">
        <v>38</v>
      </c>
      <c r="K761">
        <v>353</v>
      </c>
      <c r="L761">
        <v>119</v>
      </c>
      <c r="M761">
        <v>292</v>
      </c>
      <c r="N761">
        <v>51</v>
      </c>
      <c r="O761">
        <v>73</v>
      </c>
      <c r="P761">
        <v>25</v>
      </c>
      <c r="Q761">
        <v>96</v>
      </c>
      <c r="R761">
        <v>34</v>
      </c>
      <c r="S761">
        <v>903</v>
      </c>
      <c r="T761">
        <v>295</v>
      </c>
      <c r="U761">
        <v>0</v>
      </c>
      <c r="V761">
        <v>0</v>
      </c>
      <c r="W761" s="1">
        <v>44160</v>
      </c>
    </row>
    <row r="762" spans="1:37" x14ac:dyDescent="0.3">
      <c r="A762">
        <v>2019</v>
      </c>
      <c r="B762">
        <v>7</v>
      </c>
      <c r="C762" t="str">
        <f t="shared" si="22"/>
        <v>7/01/2019</v>
      </c>
      <c r="D762" s="1" t="str">
        <f t="shared" si="23"/>
        <v>7/01/2019</v>
      </c>
      <c r="E762" t="s">
        <v>37</v>
      </c>
      <c r="F762" t="s">
        <v>53</v>
      </c>
      <c r="G762" t="s">
        <v>39</v>
      </c>
      <c r="H762">
        <v>359</v>
      </c>
      <c r="I762">
        <v>301</v>
      </c>
      <c r="L762">
        <v>0</v>
      </c>
      <c r="M762">
        <v>0</v>
      </c>
      <c r="O762">
        <v>0</v>
      </c>
      <c r="R762">
        <v>32</v>
      </c>
      <c r="U762">
        <v>0</v>
      </c>
      <c r="V762">
        <v>0</v>
      </c>
      <c r="W762" s="1">
        <v>44160</v>
      </c>
      <c r="AA762" t="s">
        <v>40</v>
      </c>
      <c r="AB762" t="s">
        <v>40</v>
      </c>
      <c r="AE762" t="s">
        <v>40</v>
      </c>
      <c r="AG762" t="s">
        <v>40</v>
      </c>
      <c r="AH762" t="s">
        <v>40</v>
      </c>
      <c r="AJ762" t="s">
        <v>40</v>
      </c>
      <c r="AK762" t="s">
        <v>40</v>
      </c>
    </row>
    <row r="763" spans="1:37" x14ac:dyDescent="0.3">
      <c r="A763">
        <v>2019</v>
      </c>
      <c r="B763">
        <v>7</v>
      </c>
      <c r="C763" t="str">
        <f t="shared" si="22"/>
        <v>7/01/2019</v>
      </c>
      <c r="D763" s="1" t="str">
        <f t="shared" si="23"/>
        <v>7/01/2019</v>
      </c>
      <c r="E763" t="s">
        <v>37</v>
      </c>
      <c r="F763" t="s">
        <v>53</v>
      </c>
      <c r="G763" t="s">
        <v>41</v>
      </c>
      <c r="H763">
        <v>368</v>
      </c>
      <c r="I763">
        <v>110</v>
      </c>
      <c r="K763">
        <v>22</v>
      </c>
      <c r="M763">
        <v>0</v>
      </c>
      <c r="Q763">
        <v>0</v>
      </c>
      <c r="S763">
        <v>14</v>
      </c>
      <c r="U763">
        <v>0</v>
      </c>
      <c r="V763">
        <v>0</v>
      </c>
      <c r="W763" s="1">
        <v>44160</v>
      </c>
      <c r="AA763" t="s">
        <v>40</v>
      </c>
      <c r="AC763" t="s">
        <v>40</v>
      </c>
      <c r="AE763" t="s">
        <v>40</v>
      </c>
      <c r="AF763" t="s">
        <v>40</v>
      </c>
      <c r="AG763" t="s">
        <v>40</v>
      </c>
      <c r="AI763" t="s">
        <v>40</v>
      </c>
      <c r="AK763" t="s">
        <v>40</v>
      </c>
    </row>
    <row r="764" spans="1:37" x14ac:dyDescent="0.3">
      <c r="A764">
        <v>2019</v>
      </c>
      <c r="B764">
        <v>7</v>
      </c>
      <c r="C764" t="str">
        <f t="shared" si="22"/>
        <v>7/01/2019</v>
      </c>
      <c r="D764" s="1" t="str">
        <f t="shared" si="23"/>
        <v>7/01/2019</v>
      </c>
      <c r="E764" t="s">
        <v>37</v>
      </c>
      <c r="F764" t="s">
        <v>53</v>
      </c>
      <c r="G764" t="s">
        <v>42</v>
      </c>
      <c r="H764">
        <v>905</v>
      </c>
      <c r="I764">
        <v>367</v>
      </c>
      <c r="J764">
        <v>10</v>
      </c>
      <c r="K764">
        <v>72</v>
      </c>
      <c r="M764">
        <v>0</v>
      </c>
      <c r="R764">
        <v>21</v>
      </c>
      <c r="S764">
        <v>57</v>
      </c>
      <c r="T764">
        <v>10</v>
      </c>
      <c r="U764">
        <v>0</v>
      </c>
      <c r="V764">
        <v>0</v>
      </c>
      <c r="W764" s="1">
        <v>44160</v>
      </c>
      <c r="AC764" t="s">
        <v>40</v>
      </c>
      <c r="AE764" t="s">
        <v>40</v>
      </c>
      <c r="AF764" t="s">
        <v>40</v>
      </c>
      <c r="AG764" t="s">
        <v>40</v>
      </c>
      <c r="AH764" t="s">
        <v>40</v>
      </c>
    </row>
    <row r="765" spans="1:37" x14ac:dyDescent="0.3">
      <c r="A765">
        <v>2019</v>
      </c>
      <c r="B765">
        <v>7</v>
      </c>
      <c r="C765" t="str">
        <f t="shared" si="22"/>
        <v>7/01/2019</v>
      </c>
      <c r="D765" s="1" t="str">
        <f t="shared" si="23"/>
        <v>7/01/2019</v>
      </c>
      <c r="E765" t="s">
        <v>37</v>
      </c>
      <c r="F765" t="s">
        <v>53</v>
      </c>
      <c r="G765" t="s">
        <v>43</v>
      </c>
      <c r="H765" s="2">
        <v>1437</v>
      </c>
      <c r="I765">
        <v>865</v>
      </c>
      <c r="J765">
        <v>19</v>
      </c>
      <c r="K765">
        <v>254</v>
      </c>
      <c r="L765">
        <v>29</v>
      </c>
      <c r="M765">
        <v>0</v>
      </c>
      <c r="N765">
        <v>11</v>
      </c>
      <c r="O765">
        <v>17</v>
      </c>
      <c r="P765">
        <v>11</v>
      </c>
      <c r="R765">
        <v>26</v>
      </c>
      <c r="S765">
        <v>139</v>
      </c>
      <c r="T765">
        <v>31</v>
      </c>
      <c r="U765">
        <v>0</v>
      </c>
      <c r="V765">
        <v>0</v>
      </c>
      <c r="W765" s="1">
        <v>44160</v>
      </c>
      <c r="AH765" t="s">
        <v>40</v>
      </c>
    </row>
    <row r="766" spans="1:37" x14ac:dyDescent="0.3">
      <c r="A766">
        <v>2019</v>
      </c>
      <c r="B766">
        <v>7</v>
      </c>
      <c r="C766" t="str">
        <f t="shared" si="22"/>
        <v>7/01/2019</v>
      </c>
      <c r="D766" s="1" t="str">
        <f t="shared" si="23"/>
        <v>7/01/2019</v>
      </c>
      <c r="E766" t="s">
        <v>37</v>
      </c>
      <c r="F766" t="s">
        <v>53</v>
      </c>
      <c r="G766" t="s">
        <v>44</v>
      </c>
      <c r="H766" s="2">
        <v>3281</v>
      </c>
      <c r="I766" s="2">
        <v>2656</v>
      </c>
      <c r="J766">
        <v>51</v>
      </c>
      <c r="K766" s="2">
        <v>1024</v>
      </c>
      <c r="L766">
        <v>75</v>
      </c>
      <c r="M766">
        <v>0</v>
      </c>
      <c r="N766">
        <v>30</v>
      </c>
      <c r="O766">
        <v>111</v>
      </c>
      <c r="P766">
        <v>31</v>
      </c>
      <c r="Q766">
        <v>39</v>
      </c>
      <c r="R766">
        <v>27</v>
      </c>
      <c r="S766">
        <v>455</v>
      </c>
      <c r="T766">
        <v>86</v>
      </c>
      <c r="U766">
        <v>0</v>
      </c>
      <c r="V766">
        <v>0</v>
      </c>
      <c r="W766" s="1">
        <v>44160</v>
      </c>
    </row>
    <row r="767" spans="1:37" x14ac:dyDescent="0.3">
      <c r="A767">
        <v>2019</v>
      </c>
      <c r="B767">
        <v>7</v>
      </c>
      <c r="C767" t="str">
        <f t="shared" si="22"/>
        <v>7/01/2019</v>
      </c>
      <c r="D767" s="1" t="str">
        <f t="shared" si="23"/>
        <v>7/01/2019</v>
      </c>
      <c r="E767" t="s">
        <v>37</v>
      </c>
      <c r="F767" t="s">
        <v>53</v>
      </c>
      <c r="G767" t="s">
        <v>45</v>
      </c>
      <c r="H767">
        <v>109</v>
      </c>
      <c r="I767">
        <v>54</v>
      </c>
      <c r="K767">
        <v>19</v>
      </c>
      <c r="L767">
        <v>0</v>
      </c>
      <c r="M767">
        <v>0</v>
      </c>
      <c r="N767">
        <v>0</v>
      </c>
      <c r="P767">
        <v>0</v>
      </c>
      <c r="Q767">
        <v>0</v>
      </c>
      <c r="U767">
        <v>0</v>
      </c>
      <c r="V767">
        <v>0</v>
      </c>
      <c r="W767" s="1">
        <v>44160</v>
      </c>
      <c r="AA767" t="s">
        <v>40</v>
      </c>
      <c r="AF767" t="s">
        <v>40</v>
      </c>
      <c r="AI767" t="s">
        <v>40</v>
      </c>
      <c r="AJ767" t="s">
        <v>40</v>
      </c>
      <c r="AK767" t="s">
        <v>40</v>
      </c>
    </row>
    <row r="768" spans="1:37" x14ac:dyDescent="0.3">
      <c r="A768">
        <v>2019</v>
      </c>
      <c r="B768">
        <v>7</v>
      </c>
      <c r="C768" t="str">
        <f t="shared" si="22"/>
        <v>7/01/2019</v>
      </c>
      <c r="D768" s="1" t="str">
        <f t="shared" si="23"/>
        <v>7/01/2019</v>
      </c>
      <c r="E768" t="s">
        <v>37</v>
      </c>
      <c r="F768" t="s">
        <v>53</v>
      </c>
      <c r="G768" t="s">
        <v>46</v>
      </c>
      <c r="H768" s="2">
        <v>8258</v>
      </c>
      <c r="I768" s="2">
        <v>7594</v>
      </c>
      <c r="J768">
        <v>135</v>
      </c>
      <c r="K768" s="2">
        <v>3081</v>
      </c>
      <c r="L768">
        <v>234</v>
      </c>
      <c r="M768">
        <v>37</v>
      </c>
      <c r="N768">
        <v>90</v>
      </c>
      <c r="O768">
        <v>575</v>
      </c>
      <c r="P768">
        <v>99</v>
      </c>
      <c r="Q768">
        <v>101</v>
      </c>
      <c r="R768">
        <v>75</v>
      </c>
      <c r="S768" s="2">
        <v>1348</v>
      </c>
      <c r="T768">
        <v>226</v>
      </c>
      <c r="U768">
        <v>0</v>
      </c>
      <c r="V768">
        <v>0</v>
      </c>
      <c r="W768" s="1">
        <v>44160</v>
      </c>
    </row>
    <row r="769" spans="1:37" x14ac:dyDescent="0.3">
      <c r="A769">
        <v>2019</v>
      </c>
      <c r="B769">
        <v>7</v>
      </c>
      <c r="C769" t="str">
        <f t="shared" si="22"/>
        <v>7/01/2019</v>
      </c>
      <c r="D769" s="1" t="str">
        <f t="shared" si="23"/>
        <v>7/01/2019</v>
      </c>
      <c r="E769" t="s">
        <v>37</v>
      </c>
      <c r="F769" t="s">
        <v>53</v>
      </c>
      <c r="G769" t="s">
        <v>47</v>
      </c>
      <c r="H769" s="2">
        <v>14030</v>
      </c>
      <c r="I769" s="2">
        <v>13514</v>
      </c>
      <c r="J769">
        <v>263</v>
      </c>
      <c r="K769" s="2">
        <v>4910</v>
      </c>
      <c r="L769">
        <v>461</v>
      </c>
      <c r="M769">
        <v>298</v>
      </c>
      <c r="N769">
        <v>165</v>
      </c>
      <c r="O769" s="2">
        <v>1168</v>
      </c>
      <c r="P769">
        <v>241</v>
      </c>
      <c r="Q769">
        <v>245</v>
      </c>
      <c r="R769">
        <v>129</v>
      </c>
      <c r="S769" s="2">
        <v>2508</v>
      </c>
      <c r="T769">
        <v>557</v>
      </c>
      <c r="U769">
        <v>0</v>
      </c>
      <c r="V769">
        <v>0</v>
      </c>
      <c r="W769" s="1">
        <v>44160</v>
      </c>
    </row>
    <row r="770" spans="1:37" x14ac:dyDescent="0.3">
      <c r="A770">
        <v>2019</v>
      </c>
      <c r="B770">
        <v>7</v>
      </c>
      <c r="C770" t="str">
        <f t="shared" si="22"/>
        <v>7/01/2019</v>
      </c>
      <c r="D770" s="1" t="str">
        <f t="shared" si="23"/>
        <v>7/01/2019</v>
      </c>
      <c r="E770" t="s">
        <v>37</v>
      </c>
      <c r="F770" t="s">
        <v>53</v>
      </c>
      <c r="G770" t="s">
        <v>48</v>
      </c>
      <c r="H770" s="2">
        <v>20807</v>
      </c>
      <c r="I770" s="2">
        <v>20160</v>
      </c>
      <c r="J770">
        <v>333</v>
      </c>
      <c r="K770" s="2">
        <v>4860</v>
      </c>
      <c r="L770">
        <v>524</v>
      </c>
      <c r="M770" s="2">
        <v>1294</v>
      </c>
      <c r="N770">
        <v>290</v>
      </c>
      <c r="O770" s="2">
        <v>1824</v>
      </c>
      <c r="P770">
        <v>411</v>
      </c>
      <c r="Q770">
        <v>397</v>
      </c>
      <c r="R770">
        <v>207</v>
      </c>
      <c r="S770" s="2">
        <v>4253</v>
      </c>
      <c r="T770" s="2">
        <v>1275</v>
      </c>
      <c r="U770">
        <v>0</v>
      </c>
      <c r="V770">
        <v>0</v>
      </c>
      <c r="W770" s="1">
        <v>44160</v>
      </c>
    </row>
    <row r="771" spans="1:37" x14ac:dyDescent="0.3">
      <c r="A771">
        <v>2019</v>
      </c>
      <c r="B771">
        <v>7</v>
      </c>
      <c r="C771" t="str">
        <f t="shared" ref="C771:C834" si="24">CONCATENATE(B771,"/01/",A771)</f>
        <v>7/01/2019</v>
      </c>
      <c r="D771" s="1" t="str">
        <f t="shared" ref="D771:D834" si="25">C771</f>
        <v>7/01/2019</v>
      </c>
      <c r="E771" t="s">
        <v>37</v>
      </c>
      <c r="F771" t="s">
        <v>53</v>
      </c>
      <c r="G771" t="s">
        <v>49</v>
      </c>
      <c r="H771" s="2">
        <v>35016</v>
      </c>
      <c r="I771" s="2">
        <v>33983</v>
      </c>
      <c r="J771">
        <v>339</v>
      </c>
      <c r="K771" s="2">
        <v>3718</v>
      </c>
      <c r="L771">
        <v>533</v>
      </c>
      <c r="M771" s="2">
        <v>3717</v>
      </c>
      <c r="N771">
        <v>553</v>
      </c>
      <c r="O771" s="2">
        <v>1733</v>
      </c>
      <c r="P771">
        <v>499</v>
      </c>
      <c r="Q771">
        <v>531</v>
      </c>
      <c r="R771">
        <v>506</v>
      </c>
      <c r="S771" s="2">
        <v>9901</v>
      </c>
      <c r="T771" s="2">
        <v>2833</v>
      </c>
      <c r="U771">
        <v>0</v>
      </c>
      <c r="V771">
        <v>0</v>
      </c>
      <c r="W771" s="1">
        <v>44160</v>
      </c>
    </row>
    <row r="772" spans="1:37" x14ac:dyDescent="0.3">
      <c r="A772">
        <v>2019</v>
      </c>
      <c r="B772">
        <v>7</v>
      </c>
      <c r="C772" t="str">
        <f t="shared" si="24"/>
        <v>7/01/2019</v>
      </c>
      <c r="D772" s="1" t="str">
        <f t="shared" si="25"/>
        <v>7/01/2019</v>
      </c>
      <c r="E772" t="s">
        <v>37</v>
      </c>
      <c r="F772" t="s">
        <v>54</v>
      </c>
      <c r="G772" t="s">
        <v>39</v>
      </c>
      <c r="H772">
        <v>47</v>
      </c>
      <c r="I772">
        <v>41</v>
      </c>
      <c r="J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S772">
        <v>0</v>
      </c>
      <c r="T772">
        <v>0</v>
      </c>
      <c r="U772">
        <v>0</v>
      </c>
      <c r="V772">
        <v>0</v>
      </c>
      <c r="W772" s="1">
        <v>44160</v>
      </c>
      <c r="AB772" t="s">
        <v>40</v>
      </c>
      <c r="AI772" t="s">
        <v>40</v>
      </c>
    </row>
    <row r="773" spans="1:37" x14ac:dyDescent="0.3">
      <c r="A773">
        <v>2019</v>
      </c>
      <c r="B773">
        <v>7</v>
      </c>
      <c r="C773" t="str">
        <f t="shared" si="24"/>
        <v>7/01/2019</v>
      </c>
      <c r="D773" s="1" t="str">
        <f t="shared" si="25"/>
        <v>7/01/2019</v>
      </c>
      <c r="E773" t="s">
        <v>37</v>
      </c>
      <c r="F773" t="s">
        <v>54</v>
      </c>
      <c r="G773" t="s">
        <v>41</v>
      </c>
      <c r="H773">
        <v>21</v>
      </c>
      <c r="J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T773">
        <v>0</v>
      </c>
      <c r="U773">
        <v>0</v>
      </c>
      <c r="V773">
        <v>0</v>
      </c>
      <c r="W773" s="1">
        <v>44160</v>
      </c>
      <c r="Z773" t="s">
        <v>40</v>
      </c>
      <c r="AB773" t="s">
        <v>40</v>
      </c>
      <c r="AJ773" t="s">
        <v>40</v>
      </c>
    </row>
    <row r="774" spans="1:37" x14ac:dyDescent="0.3">
      <c r="A774">
        <v>2019</v>
      </c>
      <c r="B774">
        <v>7</v>
      </c>
      <c r="C774" t="str">
        <f t="shared" si="24"/>
        <v>7/01/2019</v>
      </c>
      <c r="D774" s="1" t="str">
        <f t="shared" si="25"/>
        <v>7/01/2019</v>
      </c>
      <c r="E774" t="s">
        <v>37</v>
      </c>
      <c r="F774" t="s">
        <v>54</v>
      </c>
      <c r="G774" t="s">
        <v>42</v>
      </c>
      <c r="H774">
        <v>30</v>
      </c>
      <c r="I774">
        <v>14</v>
      </c>
      <c r="L774">
        <v>0</v>
      </c>
      <c r="M774">
        <v>0</v>
      </c>
      <c r="N774">
        <v>0</v>
      </c>
      <c r="P774">
        <v>0</v>
      </c>
      <c r="Q774">
        <v>0</v>
      </c>
      <c r="U774">
        <v>0</v>
      </c>
      <c r="V774">
        <v>0</v>
      </c>
      <c r="W774" s="1">
        <v>44160</v>
      </c>
      <c r="AA774" t="s">
        <v>40</v>
      </c>
      <c r="AB774" t="s">
        <v>40</v>
      </c>
      <c r="AF774" t="s">
        <v>40</v>
      </c>
      <c r="AI774" t="s">
        <v>40</v>
      </c>
      <c r="AJ774" t="s">
        <v>40</v>
      </c>
      <c r="AK774" t="s">
        <v>40</v>
      </c>
    </row>
    <row r="775" spans="1:37" x14ac:dyDescent="0.3">
      <c r="A775">
        <v>2019</v>
      </c>
      <c r="B775">
        <v>7</v>
      </c>
      <c r="C775" t="str">
        <f t="shared" si="24"/>
        <v>7/01/2019</v>
      </c>
      <c r="D775" s="1" t="str">
        <f t="shared" si="25"/>
        <v>7/01/2019</v>
      </c>
      <c r="E775" t="s">
        <v>37</v>
      </c>
      <c r="F775" t="s">
        <v>54</v>
      </c>
      <c r="G775" t="s">
        <v>43</v>
      </c>
      <c r="H775">
        <v>34</v>
      </c>
      <c r="I775">
        <v>20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T775">
        <v>0</v>
      </c>
      <c r="U775">
        <v>0</v>
      </c>
      <c r="V775">
        <v>0</v>
      </c>
      <c r="W775" s="1">
        <v>44160</v>
      </c>
      <c r="AA775" t="s">
        <v>40</v>
      </c>
      <c r="AB775" t="s">
        <v>40</v>
      </c>
      <c r="AC775" t="s">
        <v>40</v>
      </c>
      <c r="AJ775" t="s">
        <v>40</v>
      </c>
    </row>
    <row r="776" spans="1:37" x14ac:dyDescent="0.3">
      <c r="A776">
        <v>2019</v>
      </c>
      <c r="B776">
        <v>7</v>
      </c>
      <c r="C776" t="str">
        <f t="shared" si="24"/>
        <v>7/01/2019</v>
      </c>
      <c r="D776" s="1" t="str">
        <f t="shared" si="25"/>
        <v>7/01/2019</v>
      </c>
      <c r="E776" t="s">
        <v>37</v>
      </c>
      <c r="F776" t="s">
        <v>54</v>
      </c>
      <c r="G776" t="s">
        <v>44</v>
      </c>
      <c r="H776">
        <v>55</v>
      </c>
      <c r="I776">
        <v>48</v>
      </c>
      <c r="K776">
        <v>14</v>
      </c>
      <c r="M776">
        <v>0</v>
      </c>
      <c r="U776">
        <v>0</v>
      </c>
      <c r="V776">
        <v>0</v>
      </c>
      <c r="W776" s="1">
        <v>44160</v>
      </c>
      <c r="AA776" t="s">
        <v>40</v>
      </c>
      <c r="AC776" t="s">
        <v>40</v>
      </c>
      <c r="AE776" t="s">
        <v>40</v>
      </c>
      <c r="AF776" t="s">
        <v>40</v>
      </c>
      <c r="AG776" t="s">
        <v>40</v>
      </c>
      <c r="AH776" t="s">
        <v>40</v>
      </c>
      <c r="AI776" t="s">
        <v>40</v>
      </c>
      <c r="AJ776" t="s">
        <v>40</v>
      </c>
      <c r="AK776" t="s">
        <v>40</v>
      </c>
    </row>
    <row r="777" spans="1:37" x14ac:dyDescent="0.3">
      <c r="A777">
        <v>2019</v>
      </c>
      <c r="B777">
        <v>7</v>
      </c>
      <c r="C777" t="str">
        <f t="shared" si="24"/>
        <v>7/01/2019</v>
      </c>
      <c r="D777" s="1" t="str">
        <f t="shared" si="25"/>
        <v>7/01/2019</v>
      </c>
      <c r="E777" t="s">
        <v>37</v>
      </c>
      <c r="F777" t="s">
        <v>54</v>
      </c>
      <c r="G777" t="s">
        <v>45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Q777">
        <v>0</v>
      </c>
      <c r="R777">
        <v>0</v>
      </c>
      <c r="T777">
        <v>0</v>
      </c>
      <c r="U777">
        <v>0</v>
      </c>
      <c r="V777">
        <v>0</v>
      </c>
      <c r="W777" s="1">
        <v>44160</v>
      </c>
      <c r="Y777" t="s">
        <v>40</v>
      </c>
      <c r="Z777" t="s">
        <v>40</v>
      </c>
      <c r="AG777" t="s">
        <v>40</v>
      </c>
      <c r="AJ777" t="s">
        <v>40</v>
      </c>
    </row>
    <row r="778" spans="1:37" x14ac:dyDescent="0.3">
      <c r="A778">
        <v>2019</v>
      </c>
      <c r="B778">
        <v>7</v>
      </c>
      <c r="C778" t="str">
        <f t="shared" si="24"/>
        <v>7/01/2019</v>
      </c>
      <c r="D778" s="1" t="str">
        <f t="shared" si="25"/>
        <v>7/01/2019</v>
      </c>
      <c r="E778" t="s">
        <v>37</v>
      </c>
      <c r="F778" t="s">
        <v>54</v>
      </c>
      <c r="G778" t="s">
        <v>46</v>
      </c>
      <c r="H778">
        <v>129</v>
      </c>
      <c r="I778">
        <v>115</v>
      </c>
      <c r="J778">
        <v>0</v>
      </c>
      <c r="K778">
        <v>39</v>
      </c>
      <c r="M778">
        <v>0</v>
      </c>
      <c r="P778">
        <v>0</v>
      </c>
      <c r="S778">
        <v>22</v>
      </c>
      <c r="U778">
        <v>0</v>
      </c>
      <c r="V778">
        <v>0</v>
      </c>
      <c r="W778" s="1">
        <v>44160</v>
      </c>
      <c r="AC778" t="s">
        <v>40</v>
      </c>
      <c r="AE778" t="s">
        <v>40</v>
      </c>
      <c r="AF778" t="s">
        <v>40</v>
      </c>
      <c r="AH778" t="s">
        <v>40</v>
      </c>
      <c r="AI778" t="s">
        <v>40</v>
      </c>
      <c r="AK778" t="s">
        <v>40</v>
      </c>
    </row>
    <row r="779" spans="1:37" x14ac:dyDescent="0.3">
      <c r="A779">
        <v>2019</v>
      </c>
      <c r="B779">
        <v>7</v>
      </c>
      <c r="C779" t="str">
        <f t="shared" si="24"/>
        <v>7/01/2019</v>
      </c>
      <c r="D779" s="1" t="str">
        <f t="shared" si="25"/>
        <v>7/01/2019</v>
      </c>
      <c r="E779" t="s">
        <v>37</v>
      </c>
      <c r="F779" t="s">
        <v>54</v>
      </c>
      <c r="G779" t="s">
        <v>47</v>
      </c>
      <c r="H779">
        <v>161</v>
      </c>
      <c r="I779">
        <v>155</v>
      </c>
      <c r="K779">
        <v>47</v>
      </c>
      <c r="O779">
        <v>15</v>
      </c>
      <c r="S779">
        <v>35</v>
      </c>
      <c r="U779">
        <v>0</v>
      </c>
      <c r="V779">
        <v>0</v>
      </c>
      <c r="W779" s="1">
        <v>44160</v>
      </c>
      <c r="AA779" t="s">
        <v>40</v>
      </c>
      <c r="AC779" t="s">
        <v>40</v>
      </c>
      <c r="AD779" t="s">
        <v>40</v>
      </c>
      <c r="AE779" t="s">
        <v>40</v>
      </c>
      <c r="AG779" t="s">
        <v>40</v>
      </c>
      <c r="AH779" t="s">
        <v>40</v>
      </c>
      <c r="AI779" t="s">
        <v>40</v>
      </c>
      <c r="AK779" t="s">
        <v>40</v>
      </c>
    </row>
    <row r="780" spans="1:37" x14ac:dyDescent="0.3">
      <c r="A780">
        <v>2019</v>
      </c>
      <c r="B780">
        <v>7</v>
      </c>
      <c r="C780" t="str">
        <f t="shared" si="24"/>
        <v>7/01/2019</v>
      </c>
      <c r="D780" s="1" t="str">
        <f t="shared" si="25"/>
        <v>7/01/2019</v>
      </c>
      <c r="E780" t="s">
        <v>37</v>
      </c>
      <c r="F780" t="s">
        <v>54</v>
      </c>
      <c r="G780" t="s">
        <v>48</v>
      </c>
      <c r="H780">
        <v>152</v>
      </c>
      <c r="I780">
        <v>149</v>
      </c>
      <c r="J780">
        <v>0</v>
      </c>
      <c r="K780">
        <v>42</v>
      </c>
      <c r="O780">
        <v>12</v>
      </c>
      <c r="S780">
        <v>33</v>
      </c>
      <c r="T780">
        <v>16</v>
      </c>
      <c r="U780">
        <v>0</v>
      </c>
      <c r="V780">
        <v>0</v>
      </c>
      <c r="W780" s="1">
        <v>44160</v>
      </c>
      <c r="AC780" t="s">
        <v>40</v>
      </c>
      <c r="AD780" t="s">
        <v>40</v>
      </c>
      <c r="AE780" t="s">
        <v>40</v>
      </c>
      <c r="AG780" t="s">
        <v>40</v>
      </c>
      <c r="AH780" t="s">
        <v>40</v>
      </c>
      <c r="AI780" t="s">
        <v>40</v>
      </c>
    </row>
    <row r="781" spans="1:37" x14ac:dyDescent="0.3">
      <c r="A781">
        <v>2019</v>
      </c>
      <c r="B781">
        <v>7</v>
      </c>
      <c r="C781" t="str">
        <f t="shared" si="24"/>
        <v>7/01/2019</v>
      </c>
      <c r="D781" s="1" t="str">
        <f t="shared" si="25"/>
        <v>7/01/2019</v>
      </c>
      <c r="E781" t="s">
        <v>37</v>
      </c>
      <c r="F781" t="s">
        <v>54</v>
      </c>
      <c r="G781" t="s">
        <v>49</v>
      </c>
      <c r="H781">
        <v>149</v>
      </c>
      <c r="I781">
        <v>147</v>
      </c>
      <c r="K781">
        <v>21</v>
      </c>
      <c r="M781">
        <v>13</v>
      </c>
      <c r="Q781">
        <v>0</v>
      </c>
      <c r="S781">
        <v>50</v>
      </c>
      <c r="T781">
        <v>11</v>
      </c>
      <c r="U781">
        <v>0</v>
      </c>
      <c r="V781">
        <v>0</v>
      </c>
      <c r="W781" s="1">
        <v>44160</v>
      </c>
      <c r="AA781" t="s">
        <v>40</v>
      </c>
      <c r="AC781" t="s">
        <v>40</v>
      </c>
      <c r="AE781" t="s">
        <v>40</v>
      </c>
      <c r="AF781" t="s">
        <v>40</v>
      </c>
      <c r="AG781" t="s">
        <v>40</v>
      </c>
      <c r="AI781" t="s">
        <v>40</v>
      </c>
    </row>
    <row r="782" spans="1:37" x14ac:dyDescent="0.3">
      <c r="A782">
        <v>2019</v>
      </c>
      <c r="B782">
        <v>7</v>
      </c>
      <c r="C782" t="str">
        <f t="shared" si="24"/>
        <v>7/01/2019</v>
      </c>
      <c r="D782" s="1" t="str">
        <f t="shared" si="25"/>
        <v>7/01/2019</v>
      </c>
      <c r="E782" t="s">
        <v>55</v>
      </c>
      <c r="F782" t="s">
        <v>38</v>
      </c>
      <c r="G782" t="s">
        <v>39</v>
      </c>
      <c r="H782">
        <v>263</v>
      </c>
      <c r="I782">
        <v>219</v>
      </c>
      <c r="J782">
        <v>0</v>
      </c>
      <c r="L782">
        <v>0</v>
      </c>
      <c r="M782">
        <v>0</v>
      </c>
      <c r="N782">
        <v>0</v>
      </c>
      <c r="O782">
        <v>0</v>
      </c>
      <c r="R782">
        <v>22</v>
      </c>
      <c r="U782">
        <v>0</v>
      </c>
      <c r="V782">
        <v>0</v>
      </c>
      <c r="W782" s="1">
        <v>44160</v>
      </c>
      <c r="AB782" t="s">
        <v>40</v>
      </c>
      <c r="AG782" t="s">
        <v>40</v>
      </c>
      <c r="AH782" t="s">
        <v>40</v>
      </c>
      <c r="AJ782" t="s">
        <v>40</v>
      </c>
      <c r="AK782" t="s">
        <v>40</v>
      </c>
    </row>
    <row r="783" spans="1:37" x14ac:dyDescent="0.3">
      <c r="A783">
        <v>2019</v>
      </c>
      <c r="B783">
        <v>7</v>
      </c>
      <c r="C783" t="str">
        <f t="shared" si="24"/>
        <v>7/01/2019</v>
      </c>
      <c r="D783" s="1" t="str">
        <f t="shared" si="25"/>
        <v>7/01/2019</v>
      </c>
      <c r="E783" t="s">
        <v>55</v>
      </c>
      <c r="F783" t="s">
        <v>38</v>
      </c>
      <c r="G783" t="s">
        <v>41</v>
      </c>
      <c r="H783">
        <v>424</v>
      </c>
      <c r="I783">
        <v>61</v>
      </c>
      <c r="K783">
        <v>18</v>
      </c>
      <c r="L783">
        <v>0</v>
      </c>
      <c r="M783">
        <v>0</v>
      </c>
      <c r="P783">
        <v>0</v>
      </c>
      <c r="S783">
        <v>10</v>
      </c>
      <c r="U783">
        <v>0</v>
      </c>
      <c r="V783">
        <v>0</v>
      </c>
      <c r="W783" s="1">
        <v>44160</v>
      </c>
      <c r="AA783" t="s">
        <v>40</v>
      </c>
      <c r="AE783" t="s">
        <v>40</v>
      </c>
      <c r="AF783" t="s">
        <v>40</v>
      </c>
      <c r="AH783" t="s">
        <v>40</v>
      </c>
      <c r="AI783" t="s">
        <v>40</v>
      </c>
      <c r="AK783" t="s">
        <v>40</v>
      </c>
    </row>
    <row r="784" spans="1:37" x14ac:dyDescent="0.3">
      <c r="A784">
        <v>2019</v>
      </c>
      <c r="B784">
        <v>7</v>
      </c>
      <c r="C784" t="str">
        <f t="shared" si="24"/>
        <v>7/01/2019</v>
      </c>
      <c r="D784" s="1" t="str">
        <f t="shared" si="25"/>
        <v>7/01/2019</v>
      </c>
      <c r="E784" t="s">
        <v>55</v>
      </c>
      <c r="F784" t="s">
        <v>38</v>
      </c>
      <c r="G784" t="s">
        <v>42</v>
      </c>
      <c r="H784">
        <v>635</v>
      </c>
      <c r="I784">
        <v>184</v>
      </c>
      <c r="K784">
        <v>46</v>
      </c>
      <c r="L784">
        <v>11</v>
      </c>
      <c r="M784">
        <v>0</v>
      </c>
      <c r="R784">
        <v>12</v>
      </c>
      <c r="S784">
        <v>26</v>
      </c>
      <c r="U784">
        <v>0</v>
      </c>
      <c r="V784">
        <v>0</v>
      </c>
      <c r="W784" s="1">
        <v>44160</v>
      </c>
      <c r="AA784" t="s">
        <v>40</v>
      </c>
      <c r="AE784" t="s">
        <v>40</v>
      </c>
      <c r="AF784" t="s">
        <v>40</v>
      </c>
      <c r="AG784" t="s">
        <v>40</v>
      </c>
      <c r="AH784" t="s">
        <v>40</v>
      </c>
      <c r="AK784" t="s">
        <v>40</v>
      </c>
    </row>
    <row r="785" spans="1:37" x14ac:dyDescent="0.3">
      <c r="A785">
        <v>2019</v>
      </c>
      <c r="B785">
        <v>7</v>
      </c>
      <c r="C785" t="str">
        <f t="shared" si="24"/>
        <v>7/01/2019</v>
      </c>
      <c r="D785" s="1" t="str">
        <f t="shared" si="25"/>
        <v>7/01/2019</v>
      </c>
      <c r="E785" t="s">
        <v>55</v>
      </c>
      <c r="F785" t="s">
        <v>38</v>
      </c>
      <c r="G785" t="s">
        <v>43</v>
      </c>
      <c r="H785">
        <v>714</v>
      </c>
      <c r="I785">
        <v>328</v>
      </c>
      <c r="K785">
        <v>60</v>
      </c>
      <c r="L785">
        <v>11</v>
      </c>
      <c r="M785">
        <v>0</v>
      </c>
      <c r="S785">
        <v>72</v>
      </c>
      <c r="T785">
        <v>14</v>
      </c>
      <c r="U785">
        <v>0</v>
      </c>
      <c r="V785">
        <v>0</v>
      </c>
      <c r="W785" s="1">
        <v>44160</v>
      </c>
      <c r="AA785" t="s">
        <v>40</v>
      </c>
      <c r="AE785" t="s">
        <v>40</v>
      </c>
      <c r="AF785" t="s">
        <v>40</v>
      </c>
      <c r="AG785" t="s">
        <v>40</v>
      </c>
      <c r="AH785" t="s">
        <v>40</v>
      </c>
      <c r="AI785" t="s">
        <v>40</v>
      </c>
    </row>
    <row r="786" spans="1:37" x14ac:dyDescent="0.3">
      <c r="A786">
        <v>2019</v>
      </c>
      <c r="B786">
        <v>7</v>
      </c>
      <c r="C786" t="str">
        <f t="shared" si="24"/>
        <v>7/01/2019</v>
      </c>
      <c r="D786" s="1" t="str">
        <f t="shared" si="25"/>
        <v>7/01/2019</v>
      </c>
      <c r="E786" t="s">
        <v>55</v>
      </c>
      <c r="F786" t="s">
        <v>38</v>
      </c>
      <c r="G786" t="s">
        <v>44</v>
      </c>
      <c r="H786" s="2">
        <v>1037</v>
      </c>
      <c r="I786">
        <v>761</v>
      </c>
      <c r="J786">
        <v>14</v>
      </c>
      <c r="K786">
        <v>167</v>
      </c>
      <c r="L786">
        <v>56</v>
      </c>
      <c r="N786">
        <v>15</v>
      </c>
      <c r="P786">
        <v>13</v>
      </c>
      <c r="Q786">
        <v>13</v>
      </c>
      <c r="R786">
        <v>11</v>
      </c>
      <c r="S786">
        <v>190</v>
      </c>
      <c r="T786">
        <v>48</v>
      </c>
      <c r="U786">
        <v>0</v>
      </c>
      <c r="V786">
        <v>0</v>
      </c>
      <c r="W786" s="1">
        <v>44160</v>
      </c>
      <c r="AD786" t="s">
        <v>40</v>
      </c>
      <c r="AF786" t="s">
        <v>40</v>
      </c>
    </row>
    <row r="787" spans="1:37" x14ac:dyDescent="0.3">
      <c r="A787">
        <v>2019</v>
      </c>
      <c r="B787">
        <v>7</v>
      </c>
      <c r="C787" t="str">
        <f t="shared" si="24"/>
        <v>7/01/2019</v>
      </c>
      <c r="D787" s="1" t="str">
        <f t="shared" si="25"/>
        <v>7/01/2019</v>
      </c>
      <c r="E787" t="s">
        <v>55</v>
      </c>
      <c r="F787" t="s">
        <v>38</v>
      </c>
      <c r="G787" t="s">
        <v>45</v>
      </c>
      <c r="H787">
        <v>52</v>
      </c>
      <c r="I787">
        <v>25</v>
      </c>
      <c r="J787">
        <v>0</v>
      </c>
      <c r="L787">
        <v>0</v>
      </c>
      <c r="M787">
        <v>0</v>
      </c>
      <c r="O787">
        <v>0</v>
      </c>
      <c r="Q787">
        <v>0</v>
      </c>
      <c r="T787">
        <v>0</v>
      </c>
      <c r="U787">
        <v>0</v>
      </c>
      <c r="V787">
        <v>0</v>
      </c>
      <c r="W787" s="1">
        <v>44160</v>
      </c>
      <c r="AB787" t="s">
        <v>40</v>
      </c>
      <c r="AE787" t="s">
        <v>40</v>
      </c>
      <c r="AG787" t="s">
        <v>40</v>
      </c>
      <c r="AI787" t="s">
        <v>40</v>
      </c>
      <c r="AJ787" t="s">
        <v>40</v>
      </c>
    </row>
    <row r="788" spans="1:37" x14ac:dyDescent="0.3">
      <c r="A788">
        <v>2019</v>
      </c>
      <c r="B788">
        <v>7</v>
      </c>
      <c r="C788" t="str">
        <f t="shared" si="24"/>
        <v>7/01/2019</v>
      </c>
      <c r="D788" s="1" t="str">
        <f t="shared" si="25"/>
        <v>7/01/2019</v>
      </c>
      <c r="E788" t="s">
        <v>55</v>
      </c>
      <c r="F788" t="s">
        <v>38</v>
      </c>
      <c r="G788" t="s">
        <v>46</v>
      </c>
      <c r="H788" s="2">
        <v>1581</v>
      </c>
      <c r="I788" s="2">
        <v>1379</v>
      </c>
      <c r="J788">
        <v>28</v>
      </c>
      <c r="K788">
        <v>371</v>
      </c>
      <c r="L788">
        <v>93</v>
      </c>
      <c r="N788">
        <v>13</v>
      </c>
      <c r="O788">
        <v>21</v>
      </c>
      <c r="P788">
        <v>21</v>
      </c>
      <c r="Q788">
        <v>40</v>
      </c>
      <c r="R788">
        <v>15</v>
      </c>
      <c r="S788">
        <v>368</v>
      </c>
      <c r="T788">
        <v>68</v>
      </c>
      <c r="U788">
        <v>0</v>
      </c>
      <c r="V788">
        <v>0</v>
      </c>
      <c r="W788" s="1">
        <v>44160</v>
      </c>
      <c r="AD788" t="s">
        <v>40</v>
      </c>
    </row>
    <row r="789" spans="1:37" x14ac:dyDescent="0.3">
      <c r="A789">
        <v>2019</v>
      </c>
      <c r="B789">
        <v>7</v>
      </c>
      <c r="C789" t="str">
        <f t="shared" si="24"/>
        <v>7/01/2019</v>
      </c>
      <c r="D789" s="1" t="str">
        <f t="shared" si="25"/>
        <v>7/01/2019</v>
      </c>
      <c r="E789" t="s">
        <v>55</v>
      </c>
      <c r="F789" t="s">
        <v>38</v>
      </c>
      <c r="G789" t="s">
        <v>47</v>
      </c>
      <c r="H789" s="2">
        <v>1776</v>
      </c>
      <c r="I789" s="2">
        <v>1682</v>
      </c>
      <c r="J789">
        <v>22</v>
      </c>
      <c r="K789">
        <v>506</v>
      </c>
      <c r="L789">
        <v>123</v>
      </c>
      <c r="M789">
        <v>22</v>
      </c>
      <c r="N789">
        <v>37</v>
      </c>
      <c r="O789">
        <v>42</v>
      </c>
      <c r="P789">
        <v>29</v>
      </c>
      <c r="Q789">
        <v>48</v>
      </c>
      <c r="S789">
        <v>440</v>
      </c>
      <c r="T789">
        <v>87</v>
      </c>
      <c r="U789">
        <v>0</v>
      </c>
      <c r="V789">
        <v>0</v>
      </c>
      <c r="W789" s="1">
        <v>44160</v>
      </c>
      <c r="AI789" t="s">
        <v>40</v>
      </c>
    </row>
    <row r="790" spans="1:37" x14ac:dyDescent="0.3">
      <c r="A790">
        <v>2019</v>
      </c>
      <c r="B790">
        <v>7</v>
      </c>
      <c r="C790" t="str">
        <f t="shared" si="24"/>
        <v>7/01/2019</v>
      </c>
      <c r="D790" s="1" t="str">
        <f t="shared" si="25"/>
        <v>7/01/2019</v>
      </c>
      <c r="E790" t="s">
        <v>55</v>
      </c>
      <c r="F790" t="s">
        <v>38</v>
      </c>
      <c r="G790" t="s">
        <v>48</v>
      </c>
      <c r="H790" s="2">
        <v>1670</v>
      </c>
      <c r="I790" s="2">
        <v>1617</v>
      </c>
      <c r="J790">
        <v>19</v>
      </c>
      <c r="K790">
        <v>391</v>
      </c>
      <c r="L790">
        <v>94</v>
      </c>
      <c r="M790">
        <v>50</v>
      </c>
      <c r="N790">
        <v>43</v>
      </c>
      <c r="O790">
        <v>57</v>
      </c>
      <c r="P790">
        <v>44</v>
      </c>
      <c r="Q790">
        <v>52</v>
      </c>
      <c r="R790">
        <v>10</v>
      </c>
      <c r="S790">
        <v>426</v>
      </c>
      <c r="T790">
        <v>112</v>
      </c>
      <c r="U790">
        <v>0</v>
      </c>
      <c r="V790">
        <v>0</v>
      </c>
      <c r="W790" s="1">
        <v>44160</v>
      </c>
    </row>
    <row r="791" spans="1:37" x14ac:dyDescent="0.3">
      <c r="A791">
        <v>2019</v>
      </c>
      <c r="B791">
        <v>7</v>
      </c>
      <c r="C791" t="str">
        <f t="shared" si="24"/>
        <v>7/01/2019</v>
      </c>
      <c r="D791" s="1" t="str">
        <f t="shared" si="25"/>
        <v>7/01/2019</v>
      </c>
      <c r="E791" t="s">
        <v>55</v>
      </c>
      <c r="F791" t="s">
        <v>38</v>
      </c>
      <c r="G791" t="s">
        <v>49</v>
      </c>
      <c r="H791" s="2">
        <v>1503</v>
      </c>
      <c r="I791" s="2">
        <v>1449</v>
      </c>
      <c r="J791">
        <v>19</v>
      </c>
      <c r="K791">
        <v>237</v>
      </c>
      <c r="L791">
        <v>51</v>
      </c>
      <c r="M791">
        <v>106</v>
      </c>
      <c r="N791">
        <v>27</v>
      </c>
      <c r="O791">
        <v>64</v>
      </c>
      <c r="P791">
        <v>20</v>
      </c>
      <c r="Q791">
        <v>30</v>
      </c>
      <c r="R791">
        <v>12</v>
      </c>
      <c r="S791">
        <v>427</v>
      </c>
      <c r="T791">
        <v>127</v>
      </c>
      <c r="U791">
        <v>0</v>
      </c>
      <c r="V791">
        <v>0</v>
      </c>
      <c r="W791" s="1">
        <v>44160</v>
      </c>
    </row>
    <row r="792" spans="1:37" x14ac:dyDescent="0.3">
      <c r="A792">
        <v>2019</v>
      </c>
      <c r="B792">
        <v>7</v>
      </c>
      <c r="C792" t="str">
        <f t="shared" si="24"/>
        <v>7/01/2019</v>
      </c>
      <c r="D792" s="1" t="str">
        <f t="shared" si="25"/>
        <v>7/01/2019</v>
      </c>
      <c r="E792" t="s">
        <v>55</v>
      </c>
      <c r="F792" t="s">
        <v>50</v>
      </c>
      <c r="G792" t="s">
        <v>39</v>
      </c>
      <c r="H792">
        <v>15</v>
      </c>
      <c r="I792">
        <v>12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S792">
        <v>0</v>
      </c>
      <c r="U792">
        <v>0</v>
      </c>
      <c r="V792">
        <v>0</v>
      </c>
      <c r="W792" s="1">
        <v>44160</v>
      </c>
      <c r="AI792" t="s">
        <v>40</v>
      </c>
      <c r="AK792" t="s">
        <v>40</v>
      </c>
    </row>
    <row r="793" spans="1:37" x14ac:dyDescent="0.3">
      <c r="A793">
        <v>2019</v>
      </c>
      <c r="B793">
        <v>7</v>
      </c>
      <c r="C793" t="str">
        <f t="shared" si="24"/>
        <v>7/01/2019</v>
      </c>
      <c r="D793" s="1" t="str">
        <f t="shared" si="25"/>
        <v>7/01/2019</v>
      </c>
      <c r="E793" t="s">
        <v>55</v>
      </c>
      <c r="F793" t="s">
        <v>50</v>
      </c>
      <c r="G793" t="s">
        <v>41</v>
      </c>
      <c r="H793">
        <v>37</v>
      </c>
      <c r="J793">
        <v>0</v>
      </c>
      <c r="K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U793">
        <v>0</v>
      </c>
      <c r="V793">
        <v>0</v>
      </c>
      <c r="W793" s="1">
        <v>44160</v>
      </c>
      <c r="Z793" t="s">
        <v>40</v>
      </c>
      <c r="AC793" t="s">
        <v>40</v>
      </c>
      <c r="AK793" t="s">
        <v>40</v>
      </c>
    </row>
    <row r="794" spans="1:37" x14ac:dyDescent="0.3">
      <c r="A794">
        <v>2019</v>
      </c>
      <c r="B794">
        <v>7</v>
      </c>
      <c r="C794" t="str">
        <f t="shared" si="24"/>
        <v>7/01/2019</v>
      </c>
      <c r="D794" s="1" t="str">
        <f t="shared" si="25"/>
        <v>7/01/2019</v>
      </c>
      <c r="E794" t="s">
        <v>55</v>
      </c>
      <c r="F794" t="s">
        <v>50</v>
      </c>
      <c r="G794" t="s">
        <v>42</v>
      </c>
      <c r="H794">
        <v>68</v>
      </c>
      <c r="I794">
        <v>21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T794">
        <v>0</v>
      </c>
      <c r="U794">
        <v>0</v>
      </c>
      <c r="V794">
        <v>0</v>
      </c>
      <c r="W794" s="1">
        <v>44160</v>
      </c>
      <c r="AA794" t="s">
        <v>40</v>
      </c>
      <c r="AI794" t="s">
        <v>40</v>
      </c>
      <c r="AJ794" t="s">
        <v>40</v>
      </c>
    </row>
    <row r="795" spans="1:37" x14ac:dyDescent="0.3">
      <c r="A795">
        <v>2019</v>
      </c>
      <c r="B795">
        <v>7</v>
      </c>
      <c r="C795" t="str">
        <f t="shared" si="24"/>
        <v>7/01/2019</v>
      </c>
      <c r="D795" s="1" t="str">
        <f t="shared" si="25"/>
        <v>7/01/2019</v>
      </c>
      <c r="E795" t="s">
        <v>55</v>
      </c>
      <c r="F795" t="s">
        <v>50</v>
      </c>
      <c r="G795" t="s">
        <v>43</v>
      </c>
      <c r="H795">
        <v>80</v>
      </c>
      <c r="I795">
        <v>48</v>
      </c>
      <c r="M795">
        <v>0</v>
      </c>
      <c r="N795">
        <v>0</v>
      </c>
      <c r="P795">
        <v>0</v>
      </c>
      <c r="Q795">
        <v>0</v>
      </c>
      <c r="S795">
        <v>10</v>
      </c>
      <c r="U795">
        <v>0</v>
      </c>
      <c r="V795">
        <v>0</v>
      </c>
      <c r="W795" s="1">
        <v>44160</v>
      </c>
      <c r="AA795" t="s">
        <v>40</v>
      </c>
      <c r="AB795" t="s">
        <v>40</v>
      </c>
      <c r="AC795" t="s">
        <v>40</v>
      </c>
      <c r="AF795" t="s">
        <v>40</v>
      </c>
      <c r="AI795" t="s">
        <v>40</v>
      </c>
      <c r="AK795" t="s">
        <v>40</v>
      </c>
    </row>
    <row r="796" spans="1:37" x14ac:dyDescent="0.3">
      <c r="A796">
        <v>2019</v>
      </c>
      <c r="B796">
        <v>7</v>
      </c>
      <c r="C796" t="str">
        <f t="shared" si="24"/>
        <v>7/01/2019</v>
      </c>
      <c r="D796" s="1" t="str">
        <f t="shared" si="25"/>
        <v>7/01/2019</v>
      </c>
      <c r="E796" t="s">
        <v>55</v>
      </c>
      <c r="F796" t="s">
        <v>50</v>
      </c>
      <c r="G796" t="s">
        <v>44</v>
      </c>
      <c r="H796">
        <v>122</v>
      </c>
      <c r="I796">
        <v>96</v>
      </c>
      <c r="J796">
        <v>0</v>
      </c>
      <c r="K796">
        <v>11</v>
      </c>
      <c r="L796">
        <v>10</v>
      </c>
      <c r="M796">
        <v>0</v>
      </c>
      <c r="S796">
        <v>25</v>
      </c>
      <c r="U796">
        <v>0</v>
      </c>
      <c r="V796">
        <v>0</v>
      </c>
      <c r="W796" s="1">
        <v>44160</v>
      </c>
      <c r="AE796" t="s">
        <v>40</v>
      </c>
      <c r="AF796" t="s">
        <v>40</v>
      </c>
      <c r="AG796" t="s">
        <v>40</v>
      </c>
      <c r="AH796" t="s">
        <v>40</v>
      </c>
      <c r="AI796" t="s">
        <v>40</v>
      </c>
      <c r="AK796" t="s">
        <v>40</v>
      </c>
    </row>
    <row r="797" spans="1:37" x14ac:dyDescent="0.3">
      <c r="A797">
        <v>2019</v>
      </c>
      <c r="B797">
        <v>7</v>
      </c>
      <c r="C797" t="str">
        <f t="shared" si="24"/>
        <v>7/01/2019</v>
      </c>
      <c r="D797" s="1" t="str">
        <f t="shared" si="25"/>
        <v>7/01/2019</v>
      </c>
      <c r="E797" t="s">
        <v>55</v>
      </c>
      <c r="F797" t="s">
        <v>50</v>
      </c>
      <c r="G797" t="s">
        <v>45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 s="1">
        <v>44160</v>
      </c>
      <c r="Y797" t="s">
        <v>40</v>
      </c>
    </row>
    <row r="798" spans="1:37" x14ac:dyDescent="0.3">
      <c r="A798">
        <v>2019</v>
      </c>
      <c r="B798">
        <v>7</v>
      </c>
      <c r="C798" t="str">
        <f t="shared" si="24"/>
        <v>7/01/2019</v>
      </c>
      <c r="D798" s="1" t="str">
        <f t="shared" si="25"/>
        <v>7/01/2019</v>
      </c>
      <c r="E798" t="s">
        <v>55</v>
      </c>
      <c r="F798" t="s">
        <v>50</v>
      </c>
      <c r="G798" t="s">
        <v>46</v>
      </c>
      <c r="H798">
        <v>143</v>
      </c>
      <c r="I798">
        <v>119</v>
      </c>
      <c r="K798">
        <v>34</v>
      </c>
      <c r="M798">
        <v>0</v>
      </c>
      <c r="N798">
        <v>0</v>
      </c>
      <c r="S798">
        <v>29</v>
      </c>
      <c r="U798">
        <v>0</v>
      </c>
      <c r="V798">
        <v>0</v>
      </c>
      <c r="W798" s="1">
        <v>44160</v>
      </c>
      <c r="AA798" t="s">
        <v>40</v>
      </c>
      <c r="AC798" t="s">
        <v>40</v>
      </c>
      <c r="AF798" t="s">
        <v>40</v>
      </c>
      <c r="AG798" t="s">
        <v>40</v>
      </c>
      <c r="AH798" t="s">
        <v>40</v>
      </c>
      <c r="AI798" t="s">
        <v>40</v>
      </c>
      <c r="AK798" t="s">
        <v>40</v>
      </c>
    </row>
    <row r="799" spans="1:37" x14ac:dyDescent="0.3">
      <c r="A799">
        <v>2019</v>
      </c>
      <c r="B799">
        <v>7</v>
      </c>
      <c r="C799" t="str">
        <f t="shared" si="24"/>
        <v>7/01/2019</v>
      </c>
      <c r="D799" s="1" t="str">
        <f t="shared" si="25"/>
        <v>7/01/2019</v>
      </c>
      <c r="E799" t="s">
        <v>55</v>
      </c>
      <c r="F799" t="s">
        <v>50</v>
      </c>
      <c r="G799" t="s">
        <v>47</v>
      </c>
      <c r="H799">
        <v>138</v>
      </c>
      <c r="I799">
        <v>128</v>
      </c>
      <c r="J799">
        <v>0</v>
      </c>
      <c r="K799">
        <v>33</v>
      </c>
      <c r="L799">
        <v>10</v>
      </c>
      <c r="N799">
        <v>0</v>
      </c>
      <c r="S799">
        <v>31</v>
      </c>
      <c r="T799">
        <v>14</v>
      </c>
      <c r="U799">
        <v>0</v>
      </c>
      <c r="V799">
        <v>0</v>
      </c>
      <c r="W799" s="1">
        <v>44160</v>
      </c>
      <c r="AD799" t="s">
        <v>40</v>
      </c>
      <c r="AF799" t="s">
        <v>40</v>
      </c>
      <c r="AG799" t="s">
        <v>40</v>
      </c>
      <c r="AH799" t="s">
        <v>40</v>
      </c>
      <c r="AI799" t="s">
        <v>40</v>
      </c>
    </row>
    <row r="800" spans="1:37" x14ac:dyDescent="0.3">
      <c r="A800">
        <v>2019</v>
      </c>
      <c r="B800">
        <v>7</v>
      </c>
      <c r="C800" t="str">
        <f t="shared" si="24"/>
        <v>7/01/2019</v>
      </c>
      <c r="D800" s="1" t="str">
        <f t="shared" si="25"/>
        <v>7/01/2019</v>
      </c>
      <c r="E800" t="s">
        <v>55</v>
      </c>
      <c r="F800" t="s">
        <v>50</v>
      </c>
      <c r="G800" t="s">
        <v>48</v>
      </c>
      <c r="H800">
        <v>130</v>
      </c>
      <c r="I800">
        <v>124</v>
      </c>
      <c r="K800">
        <v>27</v>
      </c>
      <c r="O800">
        <v>11</v>
      </c>
      <c r="S800">
        <v>39</v>
      </c>
      <c r="U800">
        <v>0</v>
      </c>
      <c r="V800">
        <v>0</v>
      </c>
      <c r="W800" s="1">
        <v>44160</v>
      </c>
      <c r="AA800" t="s">
        <v>40</v>
      </c>
      <c r="AC800" t="s">
        <v>40</v>
      </c>
      <c r="AD800" t="s">
        <v>40</v>
      </c>
      <c r="AE800" t="s">
        <v>40</v>
      </c>
      <c r="AG800" t="s">
        <v>40</v>
      </c>
      <c r="AH800" t="s">
        <v>40</v>
      </c>
      <c r="AI800" t="s">
        <v>40</v>
      </c>
      <c r="AK800" t="s">
        <v>40</v>
      </c>
    </row>
    <row r="801" spans="1:37" x14ac:dyDescent="0.3">
      <c r="A801">
        <v>2019</v>
      </c>
      <c r="B801">
        <v>7</v>
      </c>
      <c r="C801" t="str">
        <f t="shared" si="24"/>
        <v>7/01/2019</v>
      </c>
      <c r="D801" s="1" t="str">
        <f t="shared" si="25"/>
        <v>7/01/2019</v>
      </c>
      <c r="E801" t="s">
        <v>55</v>
      </c>
      <c r="F801" t="s">
        <v>50</v>
      </c>
      <c r="G801" t="s">
        <v>49</v>
      </c>
      <c r="H801">
        <v>62</v>
      </c>
      <c r="I801">
        <v>60</v>
      </c>
      <c r="K801">
        <v>11</v>
      </c>
      <c r="R801">
        <v>0</v>
      </c>
      <c r="S801">
        <v>16</v>
      </c>
      <c r="U801">
        <v>0</v>
      </c>
      <c r="V801">
        <v>0</v>
      </c>
      <c r="W801" s="1">
        <v>44160</v>
      </c>
      <c r="AA801" t="s">
        <v>40</v>
      </c>
      <c r="AC801" t="s">
        <v>40</v>
      </c>
      <c r="AD801" t="s">
        <v>40</v>
      </c>
      <c r="AE801" t="s">
        <v>40</v>
      </c>
      <c r="AF801" t="s">
        <v>40</v>
      </c>
      <c r="AG801" t="s">
        <v>40</v>
      </c>
      <c r="AH801" t="s">
        <v>40</v>
      </c>
      <c r="AK801" t="s">
        <v>40</v>
      </c>
    </row>
    <row r="802" spans="1:37" x14ac:dyDescent="0.3">
      <c r="A802">
        <v>2019</v>
      </c>
      <c r="B802">
        <v>7</v>
      </c>
      <c r="C802" t="str">
        <f t="shared" si="24"/>
        <v>7/01/2019</v>
      </c>
      <c r="D802" s="1" t="str">
        <f t="shared" si="25"/>
        <v>7/01/2019</v>
      </c>
      <c r="E802" t="s">
        <v>55</v>
      </c>
      <c r="F802" t="s">
        <v>51</v>
      </c>
      <c r="G802" t="s">
        <v>39</v>
      </c>
      <c r="H802">
        <v>39</v>
      </c>
      <c r="I802">
        <v>32</v>
      </c>
      <c r="L802">
        <v>0</v>
      </c>
      <c r="M802">
        <v>0</v>
      </c>
      <c r="N802">
        <v>0</v>
      </c>
      <c r="O802">
        <v>0</v>
      </c>
      <c r="Q802">
        <v>0</v>
      </c>
      <c r="T802">
        <v>0</v>
      </c>
      <c r="U802">
        <v>0</v>
      </c>
      <c r="V802">
        <v>0</v>
      </c>
      <c r="W802" s="1">
        <v>44160</v>
      </c>
      <c r="AA802" t="s">
        <v>40</v>
      </c>
      <c r="AB802" t="s">
        <v>40</v>
      </c>
      <c r="AG802" t="s">
        <v>40</v>
      </c>
      <c r="AI802" t="s">
        <v>40</v>
      </c>
      <c r="AJ802" t="s">
        <v>40</v>
      </c>
    </row>
    <row r="803" spans="1:37" x14ac:dyDescent="0.3">
      <c r="A803">
        <v>2019</v>
      </c>
      <c r="B803">
        <v>7</v>
      </c>
      <c r="C803" t="str">
        <f t="shared" si="24"/>
        <v>7/01/2019</v>
      </c>
      <c r="D803" s="1" t="str">
        <f t="shared" si="25"/>
        <v>7/01/2019</v>
      </c>
      <c r="E803" t="s">
        <v>55</v>
      </c>
      <c r="F803" t="s">
        <v>51</v>
      </c>
      <c r="G803" t="s">
        <v>41</v>
      </c>
      <c r="H803">
        <v>52</v>
      </c>
      <c r="I803">
        <v>10</v>
      </c>
      <c r="J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T803">
        <v>0</v>
      </c>
      <c r="U803">
        <v>0</v>
      </c>
      <c r="V803">
        <v>0</v>
      </c>
      <c r="W803" s="1">
        <v>44160</v>
      </c>
      <c r="AB803" t="s">
        <v>40</v>
      </c>
      <c r="AJ803" t="s">
        <v>40</v>
      </c>
    </row>
    <row r="804" spans="1:37" x14ac:dyDescent="0.3">
      <c r="A804">
        <v>2019</v>
      </c>
      <c r="B804">
        <v>7</v>
      </c>
      <c r="C804" t="str">
        <f t="shared" si="24"/>
        <v>7/01/2019</v>
      </c>
      <c r="D804" s="1" t="str">
        <f t="shared" si="25"/>
        <v>7/01/2019</v>
      </c>
      <c r="E804" t="s">
        <v>55</v>
      </c>
      <c r="F804" t="s">
        <v>51</v>
      </c>
      <c r="G804" t="s">
        <v>42</v>
      </c>
      <c r="H804">
        <v>74</v>
      </c>
      <c r="I804">
        <v>22</v>
      </c>
      <c r="J804">
        <v>0</v>
      </c>
      <c r="K804">
        <v>11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 s="1">
        <v>44160</v>
      </c>
      <c r="AC804" t="s">
        <v>40</v>
      </c>
    </row>
    <row r="805" spans="1:37" x14ac:dyDescent="0.3">
      <c r="A805">
        <v>2019</v>
      </c>
      <c r="B805">
        <v>7</v>
      </c>
      <c r="C805" t="str">
        <f t="shared" si="24"/>
        <v>7/01/2019</v>
      </c>
      <c r="D805" s="1" t="str">
        <f t="shared" si="25"/>
        <v>7/01/2019</v>
      </c>
      <c r="E805" t="s">
        <v>55</v>
      </c>
      <c r="F805" t="s">
        <v>51</v>
      </c>
      <c r="G805" t="s">
        <v>43</v>
      </c>
      <c r="H805">
        <v>80</v>
      </c>
      <c r="I805">
        <v>54</v>
      </c>
      <c r="K805">
        <v>12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22</v>
      </c>
      <c r="U805">
        <v>0</v>
      </c>
      <c r="V805">
        <v>0</v>
      </c>
      <c r="W805" s="1">
        <v>44160</v>
      </c>
      <c r="AA805" t="s">
        <v>40</v>
      </c>
      <c r="AC805" t="s">
        <v>40</v>
      </c>
      <c r="AK805" t="s">
        <v>40</v>
      </c>
    </row>
    <row r="806" spans="1:37" x14ac:dyDescent="0.3">
      <c r="A806">
        <v>2019</v>
      </c>
      <c r="B806">
        <v>7</v>
      </c>
      <c r="C806" t="str">
        <f t="shared" si="24"/>
        <v>7/01/2019</v>
      </c>
      <c r="D806" s="1" t="str">
        <f t="shared" si="25"/>
        <v>7/01/2019</v>
      </c>
      <c r="E806" t="s">
        <v>55</v>
      </c>
      <c r="F806" t="s">
        <v>51</v>
      </c>
      <c r="G806" t="s">
        <v>44</v>
      </c>
      <c r="H806">
        <v>195</v>
      </c>
      <c r="I806">
        <v>158</v>
      </c>
      <c r="K806">
        <v>51</v>
      </c>
      <c r="M806">
        <v>0</v>
      </c>
      <c r="P806">
        <v>0</v>
      </c>
      <c r="S806">
        <v>50</v>
      </c>
      <c r="U806">
        <v>0</v>
      </c>
      <c r="V806">
        <v>0</v>
      </c>
      <c r="W806" s="1">
        <v>44160</v>
      </c>
      <c r="AA806" t="s">
        <v>40</v>
      </c>
      <c r="AC806" t="s">
        <v>40</v>
      </c>
      <c r="AE806" t="s">
        <v>40</v>
      </c>
      <c r="AF806" t="s">
        <v>40</v>
      </c>
      <c r="AH806" t="s">
        <v>40</v>
      </c>
      <c r="AI806" t="s">
        <v>40</v>
      </c>
      <c r="AK806" t="s">
        <v>40</v>
      </c>
    </row>
    <row r="807" spans="1:37" x14ac:dyDescent="0.3">
      <c r="A807">
        <v>2019</v>
      </c>
      <c r="B807">
        <v>7</v>
      </c>
      <c r="C807" t="str">
        <f t="shared" si="24"/>
        <v>7/01/2019</v>
      </c>
      <c r="D807" s="1" t="str">
        <f t="shared" si="25"/>
        <v>7/01/2019</v>
      </c>
      <c r="E807" t="s">
        <v>55</v>
      </c>
      <c r="F807" t="s">
        <v>51</v>
      </c>
      <c r="G807" t="s">
        <v>45</v>
      </c>
      <c r="J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 s="1">
        <v>44160</v>
      </c>
      <c r="Y807" t="s">
        <v>40</v>
      </c>
      <c r="Z807" t="s">
        <v>40</v>
      </c>
      <c r="AB807" t="s">
        <v>40</v>
      </c>
    </row>
    <row r="808" spans="1:37" x14ac:dyDescent="0.3">
      <c r="A808">
        <v>2019</v>
      </c>
      <c r="B808">
        <v>7</v>
      </c>
      <c r="C808" t="str">
        <f t="shared" si="24"/>
        <v>7/01/2019</v>
      </c>
      <c r="D808" s="1" t="str">
        <f t="shared" si="25"/>
        <v>7/01/2019</v>
      </c>
      <c r="E808" t="s">
        <v>55</v>
      </c>
      <c r="F808" t="s">
        <v>51</v>
      </c>
      <c r="G808" t="s">
        <v>46</v>
      </c>
      <c r="H808">
        <v>366</v>
      </c>
      <c r="I808">
        <v>340</v>
      </c>
      <c r="K808">
        <v>147</v>
      </c>
      <c r="L808">
        <v>28</v>
      </c>
      <c r="M808">
        <v>0</v>
      </c>
      <c r="S808">
        <v>78</v>
      </c>
      <c r="T808">
        <v>16</v>
      </c>
      <c r="U808">
        <v>0</v>
      </c>
      <c r="V808">
        <v>0</v>
      </c>
      <c r="W808" s="1">
        <v>44160</v>
      </c>
      <c r="AA808" t="s">
        <v>40</v>
      </c>
      <c r="AE808" t="s">
        <v>40</v>
      </c>
      <c r="AF808" t="s">
        <v>40</v>
      </c>
      <c r="AG808" t="s">
        <v>40</v>
      </c>
      <c r="AH808" t="s">
        <v>40</v>
      </c>
      <c r="AI808" t="s">
        <v>40</v>
      </c>
    </row>
    <row r="809" spans="1:37" x14ac:dyDescent="0.3">
      <c r="A809">
        <v>2019</v>
      </c>
      <c r="B809">
        <v>7</v>
      </c>
      <c r="C809" t="str">
        <f t="shared" si="24"/>
        <v>7/01/2019</v>
      </c>
      <c r="D809" s="1" t="str">
        <f t="shared" si="25"/>
        <v>7/01/2019</v>
      </c>
      <c r="E809" t="s">
        <v>55</v>
      </c>
      <c r="F809" t="s">
        <v>51</v>
      </c>
      <c r="G809" t="s">
        <v>47</v>
      </c>
      <c r="H809">
        <v>585</v>
      </c>
      <c r="I809">
        <v>548</v>
      </c>
      <c r="K809">
        <v>208</v>
      </c>
      <c r="L809">
        <v>24</v>
      </c>
      <c r="O809">
        <v>13</v>
      </c>
      <c r="Q809">
        <v>16</v>
      </c>
      <c r="S809">
        <v>132</v>
      </c>
      <c r="T809">
        <v>37</v>
      </c>
      <c r="U809">
        <v>0</v>
      </c>
      <c r="V809">
        <v>0</v>
      </c>
      <c r="W809" s="1">
        <v>44160</v>
      </c>
      <c r="AA809" t="s">
        <v>40</v>
      </c>
      <c r="AD809" t="s">
        <v>40</v>
      </c>
      <c r="AE809" t="s">
        <v>40</v>
      </c>
      <c r="AG809" t="s">
        <v>40</v>
      </c>
      <c r="AI809" t="s">
        <v>40</v>
      </c>
    </row>
    <row r="810" spans="1:37" x14ac:dyDescent="0.3">
      <c r="A810">
        <v>2019</v>
      </c>
      <c r="B810">
        <v>7</v>
      </c>
      <c r="C810" t="str">
        <f t="shared" si="24"/>
        <v>7/01/2019</v>
      </c>
      <c r="D810" s="1" t="str">
        <f t="shared" si="25"/>
        <v>7/01/2019</v>
      </c>
      <c r="E810" t="s">
        <v>55</v>
      </c>
      <c r="F810" t="s">
        <v>51</v>
      </c>
      <c r="G810" t="s">
        <v>48</v>
      </c>
      <c r="H810">
        <v>705</v>
      </c>
      <c r="I810">
        <v>675</v>
      </c>
      <c r="K810">
        <v>195</v>
      </c>
      <c r="L810">
        <v>27</v>
      </c>
      <c r="M810">
        <v>24</v>
      </c>
      <c r="N810">
        <v>18</v>
      </c>
      <c r="O810">
        <v>25</v>
      </c>
      <c r="P810">
        <v>10</v>
      </c>
      <c r="Q810">
        <v>21</v>
      </c>
      <c r="S810">
        <v>166</v>
      </c>
      <c r="T810">
        <v>56</v>
      </c>
      <c r="U810">
        <v>0</v>
      </c>
      <c r="V810">
        <v>0</v>
      </c>
      <c r="W810" s="1">
        <v>44160</v>
      </c>
      <c r="AA810" t="s">
        <v>40</v>
      </c>
      <c r="AI810" t="s">
        <v>40</v>
      </c>
    </row>
    <row r="811" spans="1:37" x14ac:dyDescent="0.3">
      <c r="A811">
        <v>2019</v>
      </c>
      <c r="B811">
        <v>7</v>
      </c>
      <c r="C811" t="str">
        <f t="shared" si="24"/>
        <v>7/01/2019</v>
      </c>
      <c r="D811" s="1" t="str">
        <f t="shared" si="25"/>
        <v>7/01/2019</v>
      </c>
      <c r="E811" t="s">
        <v>55</v>
      </c>
      <c r="F811" t="s">
        <v>51</v>
      </c>
      <c r="G811" t="s">
        <v>49</v>
      </c>
      <c r="H811">
        <v>723</v>
      </c>
      <c r="I811">
        <v>698</v>
      </c>
      <c r="K811">
        <v>122</v>
      </c>
      <c r="L811">
        <v>28</v>
      </c>
      <c r="M811">
        <v>48</v>
      </c>
      <c r="N811">
        <v>23</v>
      </c>
      <c r="O811">
        <v>38</v>
      </c>
      <c r="P811">
        <v>15</v>
      </c>
      <c r="Q811">
        <v>20</v>
      </c>
      <c r="S811">
        <v>158</v>
      </c>
      <c r="T811">
        <v>67</v>
      </c>
      <c r="U811">
        <v>0</v>
      </c>
      <c r="V811">
        <v>0</v>
      </c>
      <c r="W811" s="1">
        <v>44160</v>
      </c>
      <c r="AA811" t="s">
        <v>40</v>
      </c>
      <c r="AI811" t="s">
        <v>40</v>
      </c>
    </row>
    <row r="812" spans="1:37" x14ac:dyDescent="0.3">
      <c r="A812">
        <v>2019</v>
      </c>
      <c r="B812">
        <v>7</v>
      </c>
      <c r="C812" t="str">
        <f t="shared" si="24"/>
        <v>7/01/2019</v>
      </c>
      <c r="D812" s="1" t="str">
        <f t="shared" si="25"/>
        <v>7/01/2019</v>
      </c>
      <c r="E812" t="s">
        <v>55</v>
      </c>
      <c r="F812" t="s">
        <v>52</v>
      </c>
      <c r="G812" t="s">
        <v>39</v>
      </c>
      <c r="H812">
        <v>323</v>
      </c>
      <c r="I812">
        <v>273</v>
      </c>
      <c r="L812">
        <v>0</v>
      </c>
      <c r="M812">
        <v>0</v>
      </c>
      <c r="Q812">
        <v>0</v>
      </c>
      <c r="R812">
        <v>44</v>
      </c>
      <c r="U812">
        <v>0</v>
      </c>
      <c r="V812">
        <v>0</v>
      </c>
      <c r="W812" s="1">
        <v>44160</v>
      </c>
      <c r="AA812" t="s">
        <v>40</v>
      </c>
      <c r="AB812" t="s">
        <v>40</v>
      </c>
      <c r="AE812" t="s">
        <v>40</v>
      </c>
      <c r="AF812" t="s">
        <v>40</v>
      </c>
      <c r="AG812" t="s">
        <v>40</v>
      </c>
      <c r="AJ812" t="s">
        <v>40</v>
      </c>
      <c r="AK812" t="s">
        <v>40</v>
      </c>
    </row>
    <row r="813" spans="1:37" x14ac:dyDescent="0.3">
      <c r="A813">
        <v>2019</v>
      </c>
      <c r="B813">
        <v>7</v>
      </c>
      <c r="C813" t="str">
        <f t="shared" si="24"/>
        <v>7/01/2019</v>
      </c>
      <c r="D813" s="1" t="str">
        <f t="shared" si="25"/>
        <v>7/01/2019</v>
      </c>
      <c r="E813" t="s">
        <v>55</v>
      </c>
      <c r="F813" t="s">
        <v>52</v>
      </c>
      <c r="G813" t="s">
        <v>41</v>
      </c>
      <c r="H813">
        <v>517</v>
      </c>
      <c r="I813">
        <v>75</v>
      </c>
      <c r="J813">
        <v>0</v>
      </c>
      <c r="M813">
        <v>0</v>
      </c>
      <c r="N813">
        <v>0</v>
      </c>
      <c r="Q813">
        <v>0</v>
      </c>
      <c r="S813">
        <v>12</v>
      </c>
      <c r="U813">
        <v>0</v>
      </c>
      <c r="V813">
        <v>0</v>
      </c>
      <c r="W813" s="1">
        <v>44160</v>
      </c>
      <c r="AB813" t="s">
        <v>40</v>
      </c>
      <c r="AC813" t="s">
        <v>40</v>
      </c>
      <c r="AF813" t="s">
        <v>40</v>
      </c>
      <c r="AG813" t="s">
        <v>40</v>
      </c>
      <c r="AI813" t="s">
        <v>40</v>
      </c>
      <c r="AK813" t="s">
        <v>40</v>
      </c>
    </row>
    <row r="814" spans="1:37" x14ac:dyDescent="0.3">
      <c r="A814">
        <v>2019</v>
      </c>
      <c r="B814">
        <v>7</v>
      </c>
      <c r="C814" t="str">
        <f t="shared" si="24"/>
        <v>7/01/2019</v>
      </c>
      <c r="D814" s="1" t="str">
        <f t="shared" si="25"/>
        <v>7/01/2019</v>
      </c>
      <c r="E814" t="s">
        <v>55</v>
      </c>
      <c r="F814" t="s">
        <v>52</v>
      </c>
      <c r="G814" t="s">
        <v>42</v>
      </c>
      <c r="H814">
        <v>818</v>
      </c>
      <c r="I814">
        <v>216</v>
      </c>
      <c r="K814">
        <v>17</v>
      </c>
      <c r="M814">
        <v>0</v>
      </c>
      <c r="S814">
        <v>63</v>
      </c>
      <c r="U814">
        <v>0</v>
      </c>
      <c r="V814">
        <v>0</v>
      </c>
      <c r="W814" s="1">
        <v>44160</v>
      </c>
      <c r="AA814" t="s">
        <v>40</v>
      </c>
      <c r="AC814" t="s">
        <v>40</v>
      </c>
      <c r="AE814" t="s">
        <v>40</v>
      </c>
      <c r="AF814" t="s">
        <v>40</v>
      </c>
      <c r="AG814" t="s">
        <v>40</v>
      </c>
      <c r="AH814" t="s">
        <v>40</v>
      </c>
      <c r="AI814" t="s">
        <v>40</v>
      </c>
      <c r="AK814" t="s">
        <v>40</v>
      </c>
    </row>
    <row r="815" spans="1:37" x14ac:dyDescent="0.3">
      <c r="A815">
        <v>2019</v>
      </c>
      <c r="B815">
        <v>7</v>
      </c>
      <c r="C815" t="str">
        <f t="shared" si="24"/>
        <v>7/01/2019</v>
      </c>
      <c r="D815" s="1" t="str">
        <f t="shared" si="25"/>
        <v>7/01/2019</v>
      </c>
      <c r="E815" t="s">
        <v>55</v>
      </c>
      <c r="F815" t="s">
        <v>52</v>
      </c>
      <c r="G815" t="s">
        <v>43</v>
      </c>
      <c r="H815">
        <v>927</v>
      </c>
      <c r="I815">
        <v>513</v>
      </c>
      <c r="J815">
        <v>11</v>
      </c>
      <c r="K815">
        <v>64</v>
      </c>
      <c r="L815">
        <v>44</v>
      </c>
      <c r="N815">
        <v>10</v>
      </c>
      <c r="P815">
        <v>10</v>
      </c>
      <c r="R815">
        <v>21</v>
      </c>
      <c r="S815">
        <v>168</v>
      </c>
      <c r="T815">
        <v>18</v>
      </c>
      <c r="U815">
        <v>0</v>
      </c>
      <c r="V815">
        <v>0</v>
      </c>
      <c r="W815" s="1">
        <v>44160</v>
      </c>
      <c r="AD815" t="s">
        <v>40</v>
      </c>
      <c r="AF815" t="s">
        <v>40</v>
      </c>
      <c r="AH815" t="s">
        <v>40</v>
      </c>
    </row>
    <row r="816" spans="1:37" x14ac:dyDescent="0.3">
      <c r="A816">
        <v>2019</v>
      </c>
      <c r="B816">
        <v>7</v>
      </c>
      <c r="C816" t="str">
        <f t="shared" si="24"/>
        <v>7/01/2019</v>
      </c>
      <c r="D816" s="1" t="str">
        <f t="shared" si="25"/>
        <v>7/01/2019</v>
      </c>
      <c r="E816" t="s">
        <v>55</v>
      </c>
      <c r="F816" t="s">
        <v>52</v>
      </c>
      <c r="G816" t="s">
        <v>44</v>
      </c>
      <c r="H816" s="2">
        <v>1508</v>
      </c>
      <c r="I816" s="2">
        <v>1133</v>
      </c>
      <c r="J816">
        <v>19</v>
      </c>
      <c r="K816">
        <v>185</v>
      </c>
      <c r="L816">
        <v>81</v>
      </c>
      <c r="O816">
        <v>15</v>
      </c>
      <c r="P816">
        <v>11</v>
      </c>
      <c r="Q816">
        <v>31</v>
      </c>
      <c r="R816">
        <v>20</v>
      </c>
      <c r="S816">
        <v>392</v>
      </c>
      <c r="T816">
        <v>68</v>
      </c>
      <c r="U816">
        <v>0</v>
      </c>
      <c r="V816">
        <v>0</v>
      </c>
      <c r="W816" s="1">
        <v>44160</v>
      </c>
      <c r="AD816" t="s">
        <v>40</v>
      </c>
      <c r="AE816" t="s">
        <v>40</v>
      </c>
    </row>
    <row r="817" spans="1:37" x14ac:dyDescent="0.3">
      <c r="A817">
        <v>2019</v>
      </c>
      <c r="B817">
        <v>7</v>
      </c>
      <c r="C817" t="str">
        <f t="shared" si="24"/>
        <v>7/01/2019</v>
      </c>
      <c r="D817" s="1" t="str">
        <f t="shared" si="25"/>
        <v>7/01/2019</v>
      </c>
      <c r="E817" t="s">
        <v>55</v>
      </c>
      <c r="F817" t="s">
        <v>52</v>
      </c>
      <c r="G817" t="s">
        <v>45</v>
      </c>
      <c r="H817">
        <v>68</v>
      </c>
      <c r="I817">
        <v>28</v>
      </c>
      <c r="J817">
        <v>0</v>
      </c>
      <c r="M817">
        <v>0</v>
      </c>
      <c r="N817">
        <v>0</v>
      </c>
      <c r="Q817">
        <v>0</v>
      </c>
      <c r="R817">
        <v>0</v>
      </c>
      <c r="S817">
        <v>0</v>
      </c>
      <c r="U817">
        <v>0</v>
      </c>
      <c r="V817">
        <v>0</v>
      </c>
      <c r="W817" s="1">
        <v>44160</v>
      </c>
      <c r="AB817" t="s">
        <v>40</v>
      </c>
      <c r="AC817" t="s">
        <v>40</v>
      </c>
      <c r="AF817" t="s">
        <v>40</v>
      </c>
      <c r="AG817" t="s">
        <v>40</v>
      </c>
      <c r="AK817" t="s">
        <v>40</v>
      </c>
    </row>
    <row r="818" spans="1:37" x14ac:dyDescent="0.3">
      <c r="A818">
        <v>2019</v>
      </c>
      <c r="B818">
        <v>7</v>
      </c>
      <c r="C818" t="str">
        <f t="shared" si="24"/>
        <v>7/01/2019</v>
      </c>
      <c r="D818" s="1" t="str">
        <f t="shared" si="25"/>
        <v>7/01/2019</v>
      </c>
      <c r="E818" t="s">
        <v>55</v>
      </c>
      <c r="F818" t="s">
        <v>52</v>
      </c>
      <c r="G818" t="s">
        <v>46</v>
      </c>
      <c r="H818" s="2">
        <v>3229</v>
      </c>
      <c r="I818" s="2">
        <v>2855</v>
      </c>
      <c r="J818">
        <v>63</v>
      </c>
      <c r="K818">
        <v>805</v>
      </c>
      <c r="L818">
        <v>146</v>
      </c>
      <c r="N818">
        <v>34</v>
      </c>
      <c r="O818">
        <v>96</v>
      </c>
      <c r="P818">
        <v>30</v>
      </c>
      <c r="Q818">
        <v>84</v>
      </c>
      <c r="R818">
        <v>35</v>
      </c>
      <c r="S818">
        <v>839</v>
      </c>
      <c r="T818">
        <v>139</v>
      </c>
      <c r="U818">
        <v>0</v>
      </c>
      <c r="V818">
        <v>0</v>
      </c>
      <c r="W818" s="1">
        <v>44160</v>
      </c>
      <c r="AD818" t="s">
        <v>40</v>
      </c>
    </row>
    <row r="819" spans="1:37" x14ac:dyDescent="0.3">
      <c r="A819">
        <v>2019</v>
      </c>
      <c r="B819">
        <v>7</v>
      </c>
      <c r="C819" t="str">
        <f t="shared" si="24"/>
        <v>7/01/2019</v>
      </c>
      <c r="D819" s="1" t="str">
        <f t="shared" si="25"/>
        <v>7/01/2019</v>
      </c>
      <c r="E819" t="s">
        <v>55</v>
      </c>
      <c r="F819" t="s">
        <v>52</v>
      </c>
      <c r="G819" t="s">
        <v>47</v>
      </c>
      <c r="H819" s="2">
        <v>3485</v>
      </c>
      <c r="I819" s="2">
        <v>3319</v>
      </c>
      <c r="J819">
        <v>70</v>
      </c>
      <c r="K819" s="2">
        <v>1002</v>
      </c>
      <c r="L819">
        <v>168</v>
      </c>
      <c r="M819">
        <v>27</v>
      </c>
      <c r="N819">
        <v>56</v>
      </c>
      <c r="O819">
        <v>147</v>
      </c>
      <c r="P819">
        <v>39</v>
      </c>
      <c r="Q819">
        <v>101</v>
      </c>
      <c r="R819">
        <v>22</v>
      </c>
      <c r="S819">
        <v>919</v>
      </c>
      <c r="T819">
        <v>166</v>
      </c>
      <c r="U819">
        <v>0</v>
      </c>
      <c r="V819">
        <v>0</v>
      </c>
      <c r="W819" s="1">
        <v>44160</v>
      </c>
    </row>
    <row r="820" spans="1:37" x14ac:dyDescent="0.3">
      <c r="A820">
        <v>2019</v>
      </c>
      <c r="B820">
        <v>7</v>
      </c>
      <c r="C820" t="str">
        <f t="shared" si="24"/>
        <v>7/01/2019</v>
      </c>
      <c r="D820" s="1" t="str">
        <f t="shared" si="25"/>
        <v>7/01/2019</v>
      </c>
      <c r="E820" t="s">
        <v>55</v>
      </c>
      <c r="F820" t="s">
        <v>52</v>
      </c>
      <c r="G820" t="s">
        <v>48</v>
      </c>
      <c r="H820" s="2">
        <v>2589</v>
      </c>
      <c r="I820" s="2">
        <v>2533</v>
      </c>
      <c r="J820">
        <v>56</v>
      </c>
      <c r="K820">
        <v>607</v>
      </c>
      <c r="L820">
        <v>130</v>
      </c>
      <c r="M820">
        <v>79</v>
      </c>
      <c r="N820">
        <v>47</v>
      </c>
      <c r="O820">
        <v>115</v>
      </c>
      <c r="P820">
        <v>35</v>
      </c>
      <c r="Q820">
        <v>103</v>
      </c>
      <c r="R820">
        <v>23</v>
      </c>
      <c r="S820">
        <v>689</v>
      </c>
      <c r="T820">
        <v>187</v>
      </c>
      <c r="U820">
        <v>0</v>
      </c>
      <c r="V820">
        <v>0</v>
      </c>
      <c r="W820" s="1">
        <v>44160</v>
      </c>
    </row>
    <row r="821" spans="1:37" x14ac:dyDescent="0.3">
      <c r="A821">
        <v>2019</v>
      </c>
      <c r="B821">
        <v>7</v>
      </c>
      <c r="C821" t="str">
        <f t="shared" si="24"/>
        <v>7/01/2019</v>
      </c>
      <c r="D821" s="1" t="str">
        <f t="shared" si="25"/>
        <v>7/01/2019</v>
      </c>
      <c r="E821" t="s">
        <v>55</v>
      </c>
      <c r="F821" t="s">
        <v>52</v>
      </c>
      <c r="G821" t="s">
        <v>49</v>
      </c>
      <c r="H821" s="2">
        <v>1612</v>
      </c>
      <c r="I821" s="2">
        <v>1582</v>
      </c>
      <c r="J821">
        <v>27</v>
      </c>
      <c r="K821">
        <v>289</v>
      </c>
      <c r="L821">
        <v>56</v>
      </c>
      <c r="M821">
        <v>102</v>
      </c>
      <c r="N821">
        <v>39</v>
      </c>
      <c r="O821">
        <v>63</v>
      </c>
      <c r="P821">
        <v>19</v>
      </c>
      <c r="Q821">
        <v>52</v>
      </c>
      <c r="R821">
        <v>13</v>
      </c>
      <c r="S821">
        <v>415</v>
      </c>
      <c r="T821">
        <v>95</v>
      </c>
      <c r="U821">
        <v>0</v>
      </c>
      <c r="V821">
        <v>0</v>
      </c>
      <c r="W821" s="1">
        <v>44160</v>
      </c>
    </row>
    <row r="822" spans="1:37" x14ac:dyDescent="0.3">
      <c r="A822">
        <v>2019</v>
      </c>
      <c r="B822">
        <v>7</v>
      </c>
      <c r="C822" t="str">
        <f t="shared" si="24"/>
        <v>7/01/2019</v>
      </c>
      <c r="D822" s="1" t="str">
        <f t="shared" si="25"/>
        <v>7/01/2019</v>
      </c>
      <c r="E822" t="s">
        <v>55</v>
      </c>
      <c r="F822" t="s">
        <v>53</v>
      </c>
      <c r="G822" t="s">
        <v>39</v>
      </c>
      <c r="H822">
        <v>495</v>
      </c>
      <c r="I822">
        <v>404</v>
      </c>
      <c r="L822">
        <v>0</v>
      </c>
      <c r="M822">
        <v>0</v>
      </c>
      <c r="R822">
        <v>52</v>
      </c>
      <c r="S822">
        <v>10</v>
      </c>
      <c r="U822">
        <v>0</v>
      </c>
      <c r="V822">
        <v>0</v>
      </c>
      <c r="W822" s="1">
        <v>44160</v>
      </c>
      <c r="AA822" t="s">
        <v>40</v>
      </c>
      <c r="AB822" t="s">
        <v>40</v>
      </c>
      <c r="AE822" t="s">
        <v>40</v>
      </c>
      <c r="AF822" t="s">
        <v>40</v>
      </c>
      <c r="AG822" t="s">
        <v>40</v>
      </c>
      <c r="AH822" t="s">
        <v>40</v>
      </c>
      <c r="AK822" t="s">
        <v>40</v>
      </c>
    </row>
    <row r="823" spans="1:37" x14ac:dyDescent="0.3">
      <c r="A823">
        <v>2019</v>
      </c>
      <c r="B823">
        <v>7</v>
      </c>
      <c r="C823" t="str">
        <f t="shared" si="24"/>
        <v>7/01/2019</v>
      </c>
      <c r="D823" s="1" t="str">
        <f t="shared" si="25"/>
        <v>7/01/2019</v>
      </c>
      <c r="E823" t="s">
        <v>55</v>
      </c>
      <c r="F823" t="s">
        <v>53</v>
      </c>
      <c r="G823" t="s">
        <v>41</v>
      </c>
      <c r="H823">
        <v>918</v>
      </c>
      <c r="I823">
        <v>138</v>
      </c>
      <c r="K823">
        <v>34</v>
      </c>
      <c r="M823">
        <v>0</v>
      </c>
      <c r="R823">
        <v>13</v>
      </c>
      <c r="S823">
        <v>19</v>
      </c>
      <c r="U823">
        <v>0</v>
      </c>
      <c r="V823">
        <v>0</v>
      </c>
      <c r="W823" s="1">
        <v>44160</v>
      </c>
      <c r="AA823" t="s">
        <v>40</v>
      </c>
      <c r="AC823" t="s">
        <v>40</v>
      </c>
      <c r="AE823" t="s">
        <v>40</v>
      </c>
      <c r="AF823" t="s">
        <v>40</v>
      </c>
      <c r="AG823" t="s">
        <v>40</v>
      </c>
      <c r="AH823" t="s">
        <v>40</v>
      </c>
      <c r="AK823" t="s">
        <v>40</v>
      </c>
    </row>
    <row r="824" spans="1:37" x14ac:dyDescent="0.3">
      <c r="A824">
        <v>2019</v>
      </c>
      <c r="B824">
        <v>7</v>
      </c>
      <c r="C824" t="str">
        <f t="shared" si="24"/>
        <v>7/01/2019</v>
      </c>
      <c r="D824" s="1" t="str">
        <f t="shared" si="25"/>
        <v>7/01/2019</v>
      </c>
      <c r="E824" t="s">
        <v>55</v>
      </c>
      <c r="F824" t="s">
        <v>53</v>
      </c>
      <c r="G824" t="s">
        <v>42</v>
      </c>
      <c r="H824" s="2">
        <v>2077</v>
      </c>
      <c r="I824">
        <v>477</v>
      </c>
      <c r="K824">
        <v>79</v>
      </c>
      <c r="L824">
        <v>20</v>
      </c>
      <c r="R824">
        <v>30</v>
      </c>
      <c r="S824">
        <v>102</v>
      </c>
      <c r="U824">
        <v>0</v>
      </c>
      <c r="V824">
        <v>0</v>
      </c>
      <c r="W824" s="1">
        <v>44160</v>
      </c>
      <c r="AA824" t="s">
        <v>40</v>
      </c>
      <c r="AD824" t="s">
        <v>40</v>
      </c>
      <c r="AE824" t="s">
        <v>40</v>
      </c>
      <c r="AF824" t="s">
        <v>40</v>
      </c>
      <c r="AG824" t="s">
        <v>40</v>
      </c>
      <c r="AH824" t="s">
        <v>40</v>
      </c>
      <c r="AK824" t="s">
        <v>40</v>
      </c>
    </row>
    <row r="825" spans="1:37" x14ac:dyDescent="0.3">
      <c r="A825">
        <v>2019</v>
      </c>
      <c r="B825">
        <v>7</v>
      </c>
      <c r="C825" t="str">
        <f t="shared" si="24"/>
        <v>7/01/2019</v>
      </c>
      <c r="D825" s="1" t="str">
        <f t="shared" si="25"/>
        <v>7/01/2019</v>
      </c>
      <c r="E825" t="s">
        <v>55</v>
      </c>
      <c r="F825" t="s">
        <v>53</v>
      </c>
      <c r="G825" t="s">
        <v>43</v>
      </c>
      <c r="H825" s="2">
        <v>2805</v>
      </c>
      <c r="I825" s="2">
        <v>1240</v>
      </c>
      <c r="J825">
        <v>21</v>
      </c>
      <c r="K825">
        <v>219</v>
      </c>
      <c r="L825">
        <v>49</v>
      </c>
      <c r="M825">
        <v>0</v>
      </c>
      <c r="N825">
        <v>15</v>
      </c>
      <c r="O825">
        <v>13</v>
      </c>
      <c r="P825">
        <v>13</v>
      </c>
      <c r="Q825">
        <v>14</v>
      </c>
      <c r="R825">
        <v>35</v>
      </c>
      <c r="S825">
        <v>354</v>
      </c>
      <c r="T825">
        <v>26</v>
      </c>
      <c r="U825">
        <v>0</v>
      </c>
      <c r="V825">
        <v>0</v>
      </c>
      <c r="W825" s="1">
        <v>44160</v>
      </c>
    </row>
    <row r="826" spans="1:37" x14ac:dyDescent="0.3">
      <c r="A826">
        <v>2019</v>
      </c>
      <c r="B826">
        <v>7</v>
      </c>
      <c r="C826" t="str">
        <f t="shared" si="24"/>
        <v>7/01/2019</v>
      </c>
      <c r="D826" s="1" t="str">
        <f t="shared" si="25"/>
        <v>7/01/2019</v>
      </c>
      <c r="E826" t="s">
        <v>55</v>
      </c>
      <c r="F826" t="s">
        <v>53</v>
      </c>
      <c r="G826" t="s">
        <v>44</v>
      </c>
      <c r="H826" s="2">
        <v>5537</v>
      </c>
      <c r="I826" s="2">
        <v>3926</v>
      </c>
      <c r="J826">
        <v>53</v>
      </c>
      <c r="K826">
        <v>985</v>
      </c>
      <c r="L826">
        <v>190</v>
      </c>
      <c r="N826">
        <v>47</v>
      </c>
      <c r="O826">
        <v>93</v>
      </c>
      <c r="P826">
        <v>36</v>
      </c>
      <c r="Q826">
        <v>54</v>
      </c>
      <c r="R826">
        <v>57</v>
      </c>
      <c r="S826" s="2">
        <v>1214</v>
      </c>
      <c r="T826">
        <v>116</v>
      </c>
      <c r="U826">
        <v>0</v>
      </c>
      <c r="V826">
        <v>0</v>
      </c>
      <c r="W826" s="1">
        <v>44160</v>
      </c>
      <c r="AD826" t="s">
        <v>40</v>
      </c>
    </row>
    <row r="827" spans="1:37" x14ac:dyDescent="0.3">
      <c r="A827">
        <v>2019</v>
      </c>
      <c r="B827">
        <v>7</v>
      </c>
      <c r="C827" t="str">
        <f t="shared" si="24"/>
        <v>7/01/2019</v>
      </c>
      <c r="D827" s="1" t="str">
        <f t="shared" si="25"/>
        <v>7/01/2019</v>
      </c>
      <c r="E827" t="s">
        <v>55</v>
      </c>
      <c r="F827" t="s">
        <v>53</v>
      </c>
      <c r="G827" t="s">
        <v>45</v>
      </c>
      <c r="H827">
        <v>149</v>
      </c>
      <c r="I827">
        <v>67</v>
      </c>
      <c r="J827">
        <v>0</v>
      </c>
      <c r="K827">
        <v>24</v>
      </c>
      <c r="L827">
        <v>0</v>
      </c>
      <c r="M827">
        <v>0</v>
      </c>
      <c r="N827">
        <v>0</v>
      </c>
      <c r="P827">
        <v>0</v>
      </c>
      <c r="Q827">
        <v>0</v>
      </c>
      <c r="U827">
        <v>0</v>
      </c>
      <c r="V827">
        <v>0</v>
      </c>
      <c r="W827" s="1">
        <v>44160</v>
      </c>
      <c r="AF827" t="s">
        <v>40</v>
      </c>
      <c r="AI827" t="s">
        <v>40</v>
      </c>
      <c r="AJ827" t="s">
        <v>40</v>
      </c>
      <c r="AK827" t="s">
        <v>40</v>
      </c>
    </row>
    <row r="828" spans="1:37" x14ac:dyDescent="0.3">
      <c r="A828">
        <v>2019</v>
      </c>
      <c r="B828">
        <v>7</v>
      </c>
      <c r="C828" t="str">
        <f t="shared" si="24"/>
        <v>7/01/2019</v>
      </c>
      <c r="D828" s="1" t="str">
        <f t="shared" si="25"/>
        <v>7/01/2019</v>
      </c>
      <c r="E828" t="s">
        <v>55</v>
      </c>
      <c r="F828" t="s">
        <v>53</v>
      </c>
      <c r="G828" t="s">
        <v>46</v>
      </c>
      <c r="H828" s="2">
        <v>13358</v>
      </c>
      <c r="I828" s="2">
        <v>11638</v>
      </c>
      <c r="J828">
        <v>183</v>
      </c>
      <c r="K828" s="2">
        <v>3801</v>
      </c>
      <c r="L828">
        <v>500</v>
      </c>
      <c r="M828">
        <v>41</v>
      </c>
      <c r="N828">
        <v>104</v>
      </c>
      <c r="O828">
        <v>609</v>
      </c>
      <c r="P828">
        <v>122</v>
      </c>
      <c r="Q828">
        <v>187</v>
      </c>
      <c r="R828">
        <v>129</v>
      </c>
      <c r="S828" s="2">
        <v>3093</v>
      </c>
      <c r="T828">
        <v>363</v>
      </c>
      <c r="U828">
        <v>0</v>
      </c>
      <c r="V828">
        <v>0</v>
      </c>
      <c r="W828" s="1">
        <v>44160</v>
      </c>
    </row>
    <row r="829" spans="1:37" x14ac:dyDescent="0.3">
      <c r="A829">
        <v>2019</v>
      </c>
      <c r="B829">
        <v>7</v>
      </c>
      <c r="C829" t="str">
        <f t="shared" si="24"/>
        <v>7/01/2019</v>
      </c>
      <c r="D829" s="1" t="str">
        <f t="shared" si="25"/>
        <v>7/01/2019</v>
      </c>
      <c r="E829" t="s">
        <v>55</v>
      </c>
      <c r="F829" t="s">
        <v>53</v>
      </c>
      <c r="G829" t="s">
        <v>47</v>
      </c>
      <c r="H829" s="2">
        <v>19840</v>
      </c>
      <c r="I829" s="2">
        <v>18666</v>
      </c>
      <c r="J829">
        <v>243</v>
      </c>
      <c r="K829" s="2">
        <v>6215</v>
      </c>
      <c r="L829">
        <v>736</v>
      </c>
      <c r="M829">
        <v>228</v>
      </c>
      <c r="N829">
        <v>216</v>
      </c>
      <c r="O829" s="2">
        <v>1300</v>
      </c>
      <c r="P829">
        <v>321</v>
      </c>
      <c r="Q829">
        <v>278</v>
      </c>
      <c r="R829">
        <v>159</v>
      </c>
      <c r="S829" s="2">
        <v>4816</v>
      </c>
      <c r="T829">
        <v>702</v>
      </c>
      <c r="U829">
        <v>0</v>
      </c>
      <c r="V829">
        <v>0</v>
      </c>
      <c r="W829" s="1">
        <v>44160</v>
      </c>
    </row>
    <row r="830" spans="1:37" x14ac:dyDescent="0.3">
      <c r="A830">
        <v>2019</v>
      </c>
      <c r="B830">
        <v>7</v>
      </c>
      <c r="C830" t="str">
        <f t="shared" si="24"/>
        <v>7/01/2019</v>
      </c>
      <c r="D830" s="1" t="str">
        <f t="shared" si="25"/>
        <v>7/01/2019</v>
      </c>
      <c r="E830" t="s">
        <v>55</v>
      </c>
      <c r="F830" t="s">
        <v>53</v>
      </c>
      <c r="G830" t="s">
        <v>48</v>
      </c>
      <c r="H830" s="2">
        <v>22946</v>
      </c>
      <c r="I830" s="2">
        <v>21989</v>
      </c>
      <c r="J830">
        <v>279</v>
      </c>
      <c r="K830" s="2">
        <v>5833</v>
      </c>
      <c r="L830">
        <v>659</v>
      </c>
      <c r="M830">
        <v>833</v>
      </c>
      <c r="N830">
        <v>334</v>
      </c>
      <c r="O830" s="2">
        <v>1647</v>
      </c>
      <c r="P830">
        <v>467</v>
      </c>
      <c r="Q830">
        <v>437</v>
      </c>
      <c r="R830">
        <v>183</v>
      </c>
      <c r="S830" s="2">
        <v>5603</v>
      </c>
      <c r="T830" s="2">
        <v>1108</v>
      </c>
      <c r="U830">
        <v>0</v>
      </c>
      <c r="V830">
        <v>0</v>
      </c>
      <c r="W830" s="1">
        <v>44160</v>
      </c>
    </row>
    <row r="831" spans="1:37" x14ac:dyDescent="0.3">
      <c r="A831">
        <v>2019</v>
      </c>
      <c r="B831">
        <v>7</v>
      </c>
      <c r="C831" t="str">
        <f t="shared" si="24"/>
        <v>7/01/2019</v>
      </c>
      <c r="D831" s="1" t="str">
        <f t="shared" si="25"/>
        <v>7/01/2019</v>
      </c>
      <c r="E831" t="s">
        <v>55</v>
      </c>
      <c r="F831" t="s">
        <v>53</v>
      </c>
      <c r="G831" t="s">
        <v>49</v>
      </c>
      <c r="H831" s="2">
        <v>22432</v>
      </c>
      <c r="I831" s="2">
        <v>21519</v>
      </c>
      <c r="J831">
        <v>275</v>
      </c>
      <c r="K831" s="2">
        <v>3401</v>
      </c>
      <c r="L831">
        <v>456</v>
      </c>
      <c r="M831" s="2">
        <v>1349</v>
      </c>
      <c r="N831">
        <v>433</v>
      </c>
      <c r="O831" s="2">
        <v>1227</v>
      </c>
      <c r="P831">
        <v>364</v>
      </c>
      <c r="Q831">
        <v>474</v>
      </c>
      <c r="R831">
        <v>274</v>
      </c>
      <c r="S831" s="2">
        <v>6826</v>
      </c>
      <c r="T831" s="2">
        <v>1406</v>
      </c>
      <c r="U831">
        <v>0</v>
      </c>
      <c r="V831">
        <v>0</v>
      </c>
      <c r="W831" s="1">
        <v>44160</v>
      </c>
    </row>
    <row r="832" spans="1:37" x14ac:dyDescent="0.3">
      <c r="A832">
        <v>2019</v>
      </c>
      <c r="B832">
        <v>7</v>
      </c>
      <c r="C832" t="str">
        <f t="shared" si="24"/>
        <v>7/01/2019</v>
      </c>
      <c r="D832" s="1" t="str">
        <f t="shared" si="25"/>
        <v>7/01/2019</v>
      </c>
      <c r="E832" t="s">
        <v>55</v>
      </c>
      <c r="F832" t="s">
        <v>54</v>
      </c>
      <c r="G832" t="s">
        <v>39</v>
      </c>
      <c r="H832">
        <v>61</v>
      </c>
      <c r="I832">
        <v>52</v>
      </c>
      <c r="J832">
        <v>0</v>
      </c>
      <c r="L832">
        <v>0</v>
      </c>
      <c r="M832">
        <v>0</v>
      </c>
      <c r="O832">
        <v>0</v>
      </c>
      <c r="Q832">
        <v>0</v>
      </c>
      <c r="S832">
        <v>0</v>
      </c>
      <c r="U832">
        <v>0</v>
      </c>
      <c r="V832">
        <v>0</v>
      </c>
      <c r="W832" s="1">
        <v>44160</v>
      </c>
      <c r="AB832" t="s">
        <v>40</v>
      </c>
      <c r="AE832" t="s">
        <v>40</v>
      </c>
      <c r="AG832" t="s">
        <v>40</v>
      </c>
      <c r="AI832" t="s">
        <v>40</v>
      </c>
      <c r="AK832" t="s">
        <v>40</v>
      </c>
    </row>
    <row r="833" spans="1:37" x14ac:dyDescent="0.3">
      <c r="A833">
        <v>2019</v>
      </c>
      <c r="B833">
        <v>7</v>
      </c>
      <c r="C833" t="str">
        <f t="shared" si="24"/>
        <v>7/01/2019</v>
      </c>
      <c r="D833" s="1" t="str">
        <f t="shared" si="25"/>
        <v>7/01/2019</v>
      </c>
      <c r="E833" t="s">
        <v>55</v>
      </c>
      <c r="F833" t="s">
        <v>54</v>
      </c>
      <c r="G833" t="s">
        <v>41</v>
      </c>
      <c r="H833">
        <v>46</v>
      </c>
      <c r="I833">
        <v>10</v>
      </c>
      <c r="J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S833">
        <v>0</v>
      </c>
      <c r="U833">
        <v>0</v>
      </c>
      <c r="V833">
        <v>0</v>
      </c>
      <c r="W833" s="1">
        <v>44160</v>
      </c>
      <c r="AB833" t="s">
        <v>40</v>
      </c>
      <c r="AH833" t="s">
        <v>40</v>
      </c>
      <c r="AI833" t="s">
        <v>40</v>
      </c>
      <c r="AK833" t="s">
        <v>40</v>
      </c>
    </row>
    <row r="834" spans="1:37" x14ac:dyDescent="0.3">
      <c r="A834">
        <v>2019</v>
      </c>
      <c r="B834">
        <v>7</v>
      </c>
      <c r="C834" t="str">
        <f t="shared" si="24"/>
        <v>7/01/2019</v>
      </c>
      <c r="D834" s="1" t="str">
        <f t="shared" si="25"/>
        <v>7/01/2019</v>
      </c>
      <c r="E834" t="s">
        <v>55</v>
      </c>
      <c r="F834" t="s">
        <v>54</v>
      </c>
      <c r="G834" t="s">
        <v>42</v>
      </c>
      <c r="H834">
        <v>65</v>
      </c>
      <c r="I834">
        <v>12</v>
      </c>
      <c r="J834">
        <v>0</v>
      </c>
      <c r="K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T834">
        <v>0</v>
      </c>
      <c r="U834">
        <v>0</v>
      </c>
      <c r="V834">
        <v>0</v>
      </c>
      <c r="W834" s="1">
        <v>44160</v>
      </c>
      <c r="AC834" t="s">
        <v>40</v>
      </c>
      <c r="AJ834" t="s">
        <v>40</v>
      </c>
    </row>
    <row r="835" spans="1:37" x14ac:dyDescent="0.3">
      <c r="A835">
        <v>2019</v>
      </c>
      <c r="B835">
        <v>7</v>
      </c>
      <c r="C835" t="str">
        <f t="shared" ref="C835:C898" si="26">CONCATENATE(B835,"/01/",A835)</f>
        <v>7/01/2019</v>
      </c>
      <c r="D835" s="1" t="str">
        <f t="shared" ref="D835:D898" si="27">C835</f>
        <v>7/01/2019</v>
      </c>
      <c r="E835" t="s">
        <v>55</v>
      </c>
      <c r="F835" t="s">
        <v>54</v>
      </c>
      <c r="G835" t="s">
        <v>43</v>
      </c>
      <c r="H835">
        <v>61</v>
      </c>
      <c r="I835">
        <v>32</v>
      </c>
      <c r="J835">
        <v>0</v>
      </c>
      <c r="L835">
        <v>0</v>
      </c>
      <c r="M835">
        <v>0</v>
      </c>
      <c r="O835">
        <v>0</v>
      </c>
      <c r="P835">
        <v>0</v>
      </c>
      <c r="Q835">
        <v>0</v>
      </c>
      <c r="S835">
        <v>11</v>
      </c>
      <c r="U835">
        <v>0</v>
      </c>
      <c r="V835">
        <v>0</v>
      </c>
      <c r="W835" s="1">
        <v>44160</v>
      </c>
      <c r="AB835" t="s">
        <v>40</v>
      </c>
      <c r="AE835" t="s">
        <v>40</v>
      </c>
      <c r="AI835" t="s">
        <v>40</v>
      </c>
      <c r="AK835" t="s">
        <v>40</v>
      </c>
    </row>
    <row r="836" spans="1:37" x14ac:dyDescent="0.3">
      <c r="A836">
        <v>2019</v>
      </c>
      <c r="B836">
        <v>7</v>
      </c>
      <c r="C836" t="str">
        <f t="shared" si="26"/>
        <v>7/01/2019</v>
      </c>
      <c r="D836" s="1" t="str">
        <f t="shared" si="27"/>
        <v>7/01/2019</v>
      </c>
      <c r="E836" t="s">
        <v>55</v>
      </c>
      <c r="F836" t="s">
        <v>54</v>
      </c>
      <c r="G836" t="s">
        <v>44</v>
      </c>
      <c r="H836">
        <v>104</v>
      </c>
      <c r="I836">
        <v>67</v>
      </c>
      <c r="K836">
        <v>18</v>
      </c>
      <c r="M836">
        <v>0</v>
      </c>
      <c r="S836">
        <v>19</v>
      </c>
      <c r="U836">
        <v>0</v>
      </c>
      <c r="V836">
        <v>0</v>
      </c>
      <c r="W836" s="1">
        <v>44160</v>
      </c>
      <c r="AA836" t="s">
        <v>40</v>
      </c>
      <c r="AC836" t="s">
        <v>40</v>
      </c>
      <c r="AE836" t="s">
        <v>40</v>
      </c>
      <c r="AF836" t="s">
        <v>40</v>
      </c>
      <c r="AG836" t="s">
        <v>40</v>
      </c>
      <c r="AH836" t="s">
        <v>40</v>
      </c>
      <c r="AI836" t="s">
        <v>40</v>
      </c>
      <c r="AK836" t="s">
        <v>40</v>
      </c>
    </row>
    <row r="837" spans="1:37" x14ac:dyDescent="0.3">
      <c r="A837">
        <v>2019</v>
      </c>
      <c r="B837">
        <v>7</v>
      </c>
      <c r="C837" t="str">
        <f t="shared" si="26"/>
        <v>7/01/2019</v>
      </c>
      <c r="D837" s="1" t="str">
        <f t="shared" si="27"/>
        <v>7/01/2019</v>
      </c>
      <c r="E837" t="s">
        <v>55</v>
      </c>
      <c r="F837" t="s">
        <v>54</v>
      </c>
      <c r="G837" t="s">
        <v>45</v>
      </c>
      <c r="H837">
        <v>14</v>
      </c>
      <c r="J837">
        <v>0</v>
      </c>
      <c r="L837">
        <v>0</v>
      </c>
      <c r="M837">
        <v>0</v>
      </c>
      <c r="P837">
        <v>0</v>
      </c>
      <c r="Q837">
        <v>0</v>
      </c>
      <c r="R837">
        <v>0</v>
      </c>
      <c r="U837">
        <v>0</v>
      </c>
      <c r="V837">
        <v>0</v>
      </c>
      <c r="W837" s="1">
        <v>44160</v>
      </c>
      <c r="Z837" t="s">
        <v>40</v>
      </c>
      <c r="AB837" t="s">
        <v>40</v>
      </c>
      <c r="AE837" t="s">
        <v>40</v>
      </c>
      <c r="AF837" t="s">
        <v>40</v>
      </c>
      <c r="AJ837" t="s">
        <v>40</v>
      </c>
      <c r="AK837" t="s">
        <v>40</v>
      </c>
    </row>
    <row r="838" spans="1:37" x14ac:dyDescent="0.3">
      <c r="A838">
        <v>2019</v>
      </c>
      <c r="B838">
        <v>7</v>
      </c>
      <c r="C838" t="str">
        <f t="shared" si="26"/>
        <v>7/01/2019</v>
      </c>
      <c r="D838" s="1" t="str">
        <f t="shared" si="27"/>
        <v>7/01/2019</v>
      </c>
      <c r="E838" t="s">
        <v>55</v>
      </c>
      <c r="F838" t="s">
        <v>54</v>
      </c>
      <c r="G838" t="s">
        <v>46</v>
      </c>
      <c r="H838">
        <v>251</v>
      </c>
      <c r="I838">
        <v>208</v>
      </c>
      <c r="K838">
        <v>54</v>
      </c>
      <c r="M838">
        <v>0</v>
      </c>
      <c r="Q838">
        <v>0</v>
      </c>
      <c r="S838">
        <v>77</v>
      </c>
      <c r="T838">
        <v>11</v>
      </c>
      <c r="U838">
        <v>0</v>
      </c>
      <c r="V838">
        <v>0</v>
      </c>
      <c r="W838" s="1">
        <v>44160</v>
      </c>
      <c r="AA838" t="s">
        <v>40</v>
      </c>
      <c r="AC838" t="s">
        <v>40</v>
      </c>
      <c r="AE838" t="s">
        <v>40</v>
      </c>
      <c r="AF838" t="s">
        <v>40</v>
      </c>
      <c r="AG838" t="s">
        <v>40</v>
      </c>
      <c r="AI838" t="s">
        <v>40</v>
      </c>
    </row>
    <row r="839" spans="1:37" x14ac:dyDescent="0.3">
      <c r="A839">
        <v>2019</v>
      </c>
      <c r="B839">
        <v>7</v>
      </c>
      <c r="C839" t="str">
        <f t="shared" si="26"/>
        <v>7/01/2019</v>
      </c>
      <c r="D839" s="1" t="str">
        <f t="shared" si="27"/>
        <v>7/01/2019</v>
      </c>
      <c r="E839" t="s">
        <v>55</v>
      </c>
      <c r="F839" t="s">
        <v>54</v>
      </c>
      <c r="G839" t="s">
        <v>47</v>
      </c>
      <c r="H839">
        <v>234</v>
      </c>
      <c r="I839">
        <v>209</v>
      </c>
      <c r="K839">
        <v>67</v>
      </c>
      <c r="L839">
        <v>12</v>
      </c>
      <c r="O839">
        <v>10</v>
      </c>
      <c r="S839">
        <v>74</v>
      </c>
      <c r="U839">
        <v>0</v>
      </c>
      <c r="V839">
        <v>0</v>
      </c>
      <c r="W839" s="1">
        <v>44160</v>
      </c>
      <c r="AA839" t="s">
        <v>40</v>
      </c>
      <c r="AD839" t="s">
        <v>40</v>
      </c>
      <c r="AE839" t="s">
        <v>40</v>
      </c>
      <c r="AG839" t="s">
        <v>40</v>
      </c>
      <c r="AH839" t="s">
        <v>40</v>
      </c>
      <c r="AI839" t="s">
        <v>40</v>
      </c>
      <c r="AK839" t="s">
        <v>40</v>
      </c>
    </row>
    <row r="840" spans="1:37" x14ac:dyDescent="0.3">
      <c r="A840">
        <v>2019</v>
      </c>
      <c r="B840">
        <v>7</v>
      </c>
      <c r="C840" t="str">
        <f t="shared" si="26"/>
        <v>7/01/2019</v>
      </c>
      <c r="D840" s="1" t="str">
        <f t="shared" si="27"/>
        <v>7/01/2019</v>
      </c>
      <c r="E840" t="s">
        <v>55</v>
      </c>
      <c r="F840" t="s">
        <v>54</v>
      </c>
      <c r="G840" t="s">
        <v>48</v>
      </c>
      <c r="H840">
        <v>181</v>
      </c>
      <c r="I840">
        <v>172</v>
      </c>
      <c r="K840">
        <v>31</v>
      </c>
      <c r="L840">
        <v>10</v>
      </c>
      <c r="O840">
        <v>14</v>
      </c>
      <c r="S840">
        <v>47</v>
      </c>
      <c r="U840">
        <v>0</v>
      </c>
      <c r="V840">
        <v>0</v>
      </c>
      <c r="W840" s="1">
        <v>44160</v>
      </c>
      <c r="AA840" t="s">
        <v>40</v>
      </c>
      <c r="AD840" t="s">
        <v>40</v>
      </c>
      <c r="AE840" t="s">
        <v>40</v>
      </c>
      <c r="AG840" t="s">
        <v>40</v>
      </c>
      <c r="AH840" t="s">
        <v>40</v>
      </c>
      <c r="AI840" t="s">
        <v>40</v>
      </c>
      <c r="AK840" t="s">
        <v>40</v>
      </c>
    </row>
    <row r="841" spans="1:37" x14ac:dyDescent="0.3">
      <c r="A841">
        <v>2019</v>
      </c>
      <c r="B841">
        <v>7</v>
      </c>
      <c r="C841" t="str">
        <f t="shared" si="26"/>
        <v>7/01/2019</v>
      </c>
      <c r="D841" s="1" t="str">
        <f t="shared" si="27"/>
        <v>7/01/2019</v>
      </c>
      <c r="E841" t="s">
        <v>55</v>
      </c>
      <c r="F841" t="s">
        <v>54</v>
      </c>
      <c r="G841" t="s">
        <v>49</v>
      </c>
      <c r="H841">
        <v>120</v>
      </c>
      <c r="I841">
        <v>117</v>
      </c>
      <c r="K841">
        <v>15</v>
      </c>
      <c r="N841">
        <v>0</v>
      </c>
      <c r="P841">
        <v>0</v>
      </c>
      <c r="S841">
        <v>36</v>
      </c>
      <c r="T841">
        <v>10</v>
      </c>
      <c r="U841">
        <v>0</v>
      </c>
      <c r="V841">
        <v>0</v>
      </c>
      <c r="W841" s="1">
        <v>44160</v>
      </c>
      <c r="AA841" t="s">
        <v>40</v>
      </c>
      <c r="AC841" t="s">
        <v>40</v>
      </c>
      <c r="AD841" t="s">
        <v>40</v>
      </c>
      <c r="AF841" t="s">
        <v>40</v>
      </c>
      <c r="AH841" t="s">
        <v>40</v>
      </c>
      <c r="AI841" t="s">
        <v>40</v>
      </c>
    </row>
    <row r="842" spans="1:37" x14ac:dyDescent="0.3">
      <c r="A842">
        <v>2019</v>
      </c>
      <c r="B842">
        <v>8</v>
      </c>
      <c r="C842" t="str">
        <f t="shared" si="26"/>
        <v>8/01/2019</v>
      </c>
      <c r="D842" s="1" t="str">
        <f t="shared" si="27"/>
        <v>8/01/2019</v>
      </c>
      <c r="E842" t="s">
        <v>37</v>
      </c>
      <c r="F842" t="s">
        <v>38</v>
      </c>
      <c r="G842" t="s">
        <v>39</v>
      </c>
      <c r="H842">
        <v>191</v>
      </c>
      <c r="I842">
        <v>169</v>
      </c>
      <c r="L842">
        <v>0</v>
      </c>
      <c r="M842">
        <v>0</v>
      </c>
      <c r="N842">
        <v>0</v>
      </c>
      <c r="O842">
        <v>0</v>
      </c>
      <c r="Q842">
        <v>0</v>
      </c>
      <c r="R842">
        <v>14</v>
      </c>
      <c r="T842">
        <v>0</v>
      </c>
      <c r="U842">
        <v>0</v>
      </c>
      <c r="V842">
        <v>0</v>
      </c>
      <c r="W842" s="1">
        <v>44160</v>
      </c>
      <c r="AA842" t="s">
        <v>40</v>
      </c>
      <c r="AB842" t="s">
        <v>40</v>
      </c>
      <c r="AG842" t="s">
        <v>40</v>
      </c>
      <c r="AJ842" t="s">
        <v>40</v>
      </c>
    </row>
    <row r="843" spans="1:37" x14ac:dyDescent="0.3">
      <c r="A843">
        <v>2019</v>
      </c>
      <c r="B843">
        <v>8</v>
      </c>
      <c r="C843" t="str">
        <f t="shared" si="26"/>
        <v>8/01/2019</v>
      </c>
      <c r="D843" s="1" t="str">
        <f t="shared" si="27"/>
        <v>8/01/2019</v>
      </c>
      <c r="E843" t="s">
        <v>37</v>
      </c>
      <c r="F843" t="s">
        <v>38</v>
      </c>
      <c r="G843" t="s">
        <v>41</v>
      </c>
      <c r="H843">
        <v>134</v>
      </c>
      <c r="I843">
        <v>41</v>
      </c>
      <c r="K843">
        <v>15</v>
      </c>
      <c r="M843">
        <v>0</v>
      </c>
      <c r="O843">
        <v>0</v>
      </c>
      <c r="U843">
        <v>0</v>
      </c>
      <c r="V843">
        <v>0</v>
      </c>
      <c r="W843" s="1">
        <v>44160</v>
      </c>
      <c r="AA843" t="s">
        <v>40</v>
      </c>
      <c r="AC843" t="s">
        <v>40</v>
      </c>
      <c r="AE843" t="s">
        <v>40</v>
      </c>
      <c r="AG843" t="s">
        <v>40</v>
      </c>
      <c r="AH843" t="s">
        <v>40</v>
      </c>
      <c r="AI843" t="s">
        <v>40</v>
      </c>
      <c r="AJ843" t="s">
        <v>40</v>
      </c>
      <c r="AK843" t="s">
        <v>40</v>
      </c>
    </row>
    <row r="844" spans="1:37" x14ac:dyDescent="0.3">
      <c r="A844">
        <v>2019</v>
      </c>
      <c r="B844">
        <v>8</v>
      </c>
      <c r="C844" t="str">
        <f t="shared" si="26"/>
        <v>8/01/2019</v>
      </c>
      <c r="D844" s="1" t="str">
        <f t="shared" si="27"/>
        <v>8/01/2019</v>
      </c>
      <c r="E844" t="s">
        <v>37</v>
      </c>
      <c r="F844" t="s">
        <v>38</v>
      </c>
      <c r="G844" t="s">
        <v>42</v>
      </c>
      <c r="H844">
        <v>214</v>
      </c>
      <c r="I844">
        <v>119</v>
      </c>
      <c r="K844">
        <v>31</v>
      </c>
      <c r="M844">
        <v>0</v>
      </c>
      <c r="N844">
        <v>0</v>
      </c>
      <c r="S844">
        <v>13</v>
      </c>
      <c r="U844">
        <v>0</v>
      </c>
      <c r="V844">
        <v>0</v>
      </c>
      <c r="W844" s="1">
        <v>44160</v>
      </c>
      <c r="AA844" t="s">
        <v>40</v>
      </c>
      <c r="AC844" t="s">
        <v>40</v>
      </c>
      <c r="AF844" t="s">
        <v>40</v>
      </c>
      <c r="AG844" t="s">
        <v>40</v>
      </c>
      <c r="AH844" t="s">
        <v>40</v>
      </c>
      <c r="AI844" t="s">
        <v>40</v>
      </c>
      <c r="AK844" t="s">
        <v>40</v>
      </c>
    </row>
    <row r="845" spans="1:37" x14ac:dyDescent="0.3">
      <c r="A845">
        <v>2019</v>
      </c>
      <c r="B845">
        <v>8</v>
      </c>
      <c r="C845" t="str">
        <f t="shared" si="26"/>
        <v>8/01/2019</v>
      </c>
      <c r="D845" s="1" t="str">
        <f t="shared" si="27"/>
        <v>8/01/2019</v>
      </c>
      <c r="E845" t="s">
        <v>37</v>
      </c>
      <c r="F845" t="s">
        <v>38</v>
      </c>
      <c r="G845" t="s">
        <v>43</v>
      </c>
      <c r="H845">
        <v>361</v>
      </c>
      <c r="I845">
        <v>251</v>
      </c>
      <c r="K845">
        <v>106</v>
      </c>
      <c r="L845">
        <v>12</v>
      </c>
      <c r="M845">
        <v>0</v>
      </c>
      <c r="S845">
        <v>26</v>
      </c>
      <c r="T845">
        <v>12</v>
      </c>
      <c r="U845">
        <v>0</v>
      </c>
      <c r="V845">
        <v>0</v>
      </c>
      <c r="W845" s="1">
        <v>44160</v>
      </c>
      <c r="AA845" t="s">
        <v>40</v>
      </c>
      <c r="AE845" t="s">
        <v>40</v>
      </c>
      <c r="AF845" t="s">
        <v>40</v>
      </c>
      <c r="AG845" t="s">
        <v>40</v>
      </c>
      <c r="AH845" t="s">
        <v>40</v>
      </c>
      <c r="AI845" t="s">
        <v>40</v>
      </c>
    </row>
    <row r="846" spans="1:37" x14ac:dyDescent="0.3">
      <c r="A846">
        <v>2019</v>
      </c>
      <c r="B846">
        <v>8</v>
      </c>
      <c r="C846" t="str">
        <f t="shared" si="26"/>
        <v>8/01/2019</v>
      </c>
      <c r="D846" s="1" t="str">
        <f t="shared" si="27"/>
        <v>8/01/2019</v>
      </c>
      <c r="E846" t="s">
        <v>37</v>
      </c>
      <c r="F846" t="s">
        <v>38</v>
      </c>
      <c r="G846" t="s">
        <v>44</v>
      </c>
      <c r="H846">
        <v>520</v>
      </c>
      <c r="I846">
        <v>451</v>
      </c>
      <c r="K846">
        <v>189</v>
      </c>
      <c r="L846">
        <v>36</v>
      </c>
      <c r="M846">
        <v>0</v>
      </c>
      <c r="S846">
        <v>65</v>
      </c>
      <c r="T846">
        <v>25</v>
      </c>
      <c r="U846">
        <v>0</v>
      </c>
      <c r="V846">
        <v>0</v>
      </c>
      <c r="W846" s="1">
        <v>44160</v>
      </c>
      <c r="AA846" t="s">
        <v>40</v>
      </c>
      <c r="AE846" t="s">
        <v>40</v>
      </c>
      <c r="AF846" t="s">
        <v>40</v>
      </c>
      <c r="AG846" t="s">
        <v>40</v>
      </c>
      <c r="AH846" t="s">
        <v>40</v>
      </c>
      <c r="AI846" t="s">
        <v>40</v>
      </c>
    </row>
    <row r="847" spans="1:37" x14ac:dyDescent="0.3">
      <c r="A847">
        <v>2019</v>
      </c>
      <c r="B847">
        <v>8</v>
      </c>
      <c r="C847" t="str">
        <f t="shared" si="26"/>
        <v>8/01/2019</v>
      </c>
      <c r="D847" s="1" t="str">
        <f t="shared" si="27"/>
        <v>8/01/2019</v>
      </c>
      <c r="E847" t="s">
        <v>37</v>
      </c>
      <c r="F847" t="s">
        <v>38</v>
      </c>
      <c r="G847" t="s">
        <v>45</v>
      </c>
      <c r="H847">
        <v>41</v>
      </c>
      <c r="I847">
        <v>19</v>
      </c>
      <c r="J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T847">
        <v>0</v>
      </c>
      <c r="U847">
        <v>0</v>
      </c>
      <c r="V847">
        <v>0</v>
      </c>
      <c r="W847" s="1">
        <v>44160</v>
      </c>
      <c r="AB847" t="s">
        <v>40</v>
      </c>
      <c r="AJ847" t="s">
        <v>40</v>
      </c>
    </row>
    <row r="848" spans="1:37" x14ac:dyDescent="0.3">
      <c r="A848">
        <v>2019</v>
      </c>
      <c r="B848">
        <v>8</v>
      </c>
      <c r="C848" t="str">
        <f t="shared" si="26"/>
        <v>8/01/2019</v>
      </c>
      <c r="D848" s="1" t="str">
        <f t="shared" si="27"/>
        <v>8/01/2019</v>
      </c>
      <c r="E848" t="s">
        <v>37</v>
      </c>
      <c r="F848" t="s">
        <v>38</v>
      </c>
      <c r="G848" t="s">
        <v>46</v>
      </c>
      <c r="H848">
        <v>943</v>
      </c>
      <c r="I848">
        <v>873</v>
      </c>
      <c r="J848">
        <v>18</v>
      </c>
      <c r="K848">
        <v>348</v>
      </c>
      <c r="L848">
        <v>67</v>
      </c>
      <c r="O848">
        <v>17</v>
      </c>
      <c r="P848">
        <v>14</v>
      </c>
      <c r="Q848">
        <v>18</v>
      </c>
      <c r="S848">
        <v>146</v>
      </c>
      <c r="T848">
        <v>43</v>
      </c>
      <c r="U848">
        <v>0</v>
      </c>
      <c r="V848">
        <v>0</v>
      </c>
      <c r="W848" s="1">
        <v>44160</v>
      </c>
      <c r="AD848" t="s">
        <v>40</v>
      </c>
      <c r="AE848" t="s">
        <v>40</v>
      </c>
      <c r="AI848" t="s">
        <v>40</v>
      </c>
    </row>
    <row r="849" spans="1:37" x14ac:dyDescent="0.3">
      <c r="A849">
        <v>2019</v>
      </c>
      <c r="B849">
        <v>8</v>
      </c>
      <c r="C849" t="str">
        <f t="shared" si="26"/>
        <v>8/01/2019</v>
      </c>
      <c r="D849" s="1" t="str">
        <f t="shared" si="27"/>
        <v>8/01/2019</v>
      </c>
      <c r="E849" t="s">
        <v>37</v>
      </c>
      <c r="F849" t="s">
        <v>38</v>
      </c>
      <c r="G849" t="s">
        <v>47</v>
      </c>
      <c r="H849" s="2">
        <v>1219</v>
      </c>
      <c r="I849" s="2">
        <v>1173</v>
      </c>
      <c r="J849">
        <v>12</v>
      </c>
      <c r="K849">
        <v>389</v>
      </c>
      <c r="L849">
        <v>88</v>
      </c>
      <c r="M849">
        <v>21</v>
      </c>
      <c r="N849">
        <v>14</v>
      </c>
      <c r="O849">
        <v>32</v>
      </c>
      <c r="P849">
        <v>22</v>
      </c>
      <c r="Q849">
        <v>37</v>
      </c>
      <c r="R849">
        <v>11</v>
      </c>
      <c r="S849">
        <v>211</v>
      </c>
      <c r="T849">
        <v>56</v>
      </c>
      <c r="U849">
        <v>0</v>
      </c>
      <c r="V849">
        <v>0</v>
      </c>
      <c r="W849" s="1">
        <v>44160</v>
      </c>
    </row>
    <row r="850" spans="1:37" x14ac:dyDescent="0.3">
      <c r="A850">
        <v>2019</v>
      </c>
      <c r="B850">
        <v>8</v>
      </c>
      <c r="C850" t="str">
        <f t="shared" si="26"/>
        <v>8/01/2019</v>
      </c>
      <c r="D850" s="1" t="str">
        <f t="shared" si="27"/>
        <v>8/01/2019</v>
      </c>
      <c r="E850" t="s">
        <v>37</v>
      </c>
      <c r="F850" t="s">
        <v>38</v>
      </c>
      <c r="G850" t="s">
        <v>48</v>
      </c>
      <c r="H850" s="2">
        <v>1634</v>
      </c>
      <c r="I850" s="2">
        <v>1595</v>
      </c>
      <c r="J850">
        <v>16</v>
      </c>
      <c r="K850">
        <v>359</v>
      </c>
      <c r="L850">
        <v>80</v>
      </c>
      <c r="M850">
        <v>99</v>
      </c>
      <c r="N850">
        <v>25</v>
      </c>
      <c r="O850">
        <v>60</v>
      </c>
      <c r="P850">
        <v>33</v>
      </c>
      <c r="Q850">
        <v>43</v>
      </c>
      <c r="S850">
        <v>357</v>
      </c>
      <c r="T850">
        <v>120</v>
      </c>
      <c r="U850">
        <v>0</v>
      </c>
      <c r="V850">
        <v>0</v>
      </c>
      <c r="W850" s="1">
        <v>44160</v>
      </c>
      <c r="AI850" t="s">
        <v>40</v>
      </c>
    </row>
    <row r="851" spans="1:37" x14ac:dyDescent="0.3">
      <c r="A851">
        <v>2019</v>
      </c>
      <c r="B851">
        <v>8</v>
      </c>
      <c r="C851" t="str">
        <f t="shared" si="26"/>
        <v>8/01/2019</v>
      </c>
      <c r="D851" s="1" t="str">
        <f t="shared" si="27"/>
        <v>8/01/2019</v>
      </c>
      <c r="E851" t="s">
        <v>37</v>
      </c>
      <c r="F851" t="s">
        <v>38</v>
      </c>
      <c r="G851" t="s">
        <v>49</v>
      </c>
      <c r="H851" s="2">
        <v>2293</v>
      </c>
      <c r="I851" s="2">
        <v>2246</v>
      </c>
      <c r="J851">
        <v>22</v>
      </c>
      <c r="K851">
        <v>274</v>
      </c>
      <c r="L851">
        <v>69</v>
      </c>
      <c r="M851">
        <v>271</v>
      </c>
      <c r="N851">
        <v>38</v>
      </c>
      <c r="O851">
        <v>79</v>
      </c>
      <c r="P851">
        <v>31</v>
      </c>
      <c r="Q851">
        <v>45</v>
      </c>
      <c r="R851">
        <v>20</v>
      </c>
      <c r="S851">
        <v>581</v>
      </c>
      <c r="T851">
        <v>253</v>
      </c>
      <c r="U851">
        <v>0</v>
      </c>
      <c r="V851">
        <v>0</v>
      </c>
      <c r="W851" s="1">
        <v>44160</v>
      </c>
    </row>
    <row r="852" spans="1:37" x14ac:dyDescent="0.3">
      <c r="A852">
        <v>2019</v>
      </c>
      <c r="B852">
        <v>8</v>
      </c>
      <c r="C852" t="str">
        <f t="shared" si="26"/>
        <v>8/01/2019</v>
      </c>
      <c r="D852" s="1" t="str">
        <f t="shared" si="27"/>
        <v>8/01/2019</v>
      </c>
      <c r="E852" t="s">
        <v>37</v>
      </c>
      <c r="F852" t="s">
        <v>50</v>
      </c>
      <c r="G852" t="s">
        <v>39</v>
      </c>
      <c r="H852">
        <v>10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S852">
        <v>0</v>
      </c>
      <c r="T852">
        <v>0</v>
      </c>
      <c r="U852">
        <v>0</v>
      </c>
      <c r="V852">
        <v>0</v>
      </c>
      <c r="W852" s="1">
        <v>44160</v>
      </c>
      <c r="Z852" t="s">
        <v>40</v>
      </c>
      <c r="AI852" t="s">
        <v>40</v>
      </c>
    </row>
    <row r="853" spans="1:37" x14ac:dyDescent="0.3">
      <c r="A853">
        <v>2019</v>
      </c>
      <c r="B853">
        <v>8</v>
      </c>
      <c r="C853" t="str">
        <f t="shared" si="26"/>
        <v>8/01/2019</v>
      </c>
      <c r="D853" s="1" t="str">
        <f t="shared" si="27"/>
        <v>8/01/2019</v>
      </c>
      <c r="E853" t="s">
        <v>37</v>
      </c>
      <c r="F853" t="s">
        <v>50</v>
      </c>
      <c r="G853" t="s">
        <v>41</v>
      </c>
      <c r="H853">
        <v>16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S853">
        <v>0</v>
      </c>
      <c r="T853">
        <v>0</v>
      </c>
      <c r="U853">
        <v>0</v>
      </c>
      <c r="V853">
        <v>0</v>
      </c>
      <c r="W853" s="1">
        <v>44160</v>
      </c>
      <c r="Z853" t="s">
        <v>40</v>
      </c>
      <c r="AH853" t="s">
        <v>40</v>
      </c>
      <c r="AI853" t="s">
        <v>40</v>
      </c>
    </row>
    <row r="854" spans="1:37" x14ac:dyDescent="0.3">
      <c r="A854">
        <v>2019</v>
      </c>
      <c r="B854">
        <v>8</v>
      </c>
      <c r="C854" t="str">
        <f t="shared" si="26"/>
        <v>8/01/2019</v>
      </c>
      <c r="D854" s="1" t="str">
        <f t="shared" si="27"/>
        <v>8/01/2019</v>
      </c>
      <c r="E854" t="s">
        <v>37</v>
      </c>
      <c r="F854" t="s">
        <v>50</v>
      </c>
      <c r="G854" t="s">
        <v>42</v>
      </c>
      <c r="H854">
        <v>31</v>
      </c>
      <c r="I854">
        <v>19</v>
      </c>
      <c r="K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T854">
        <v>0</v>
      </c>
      <c r="U854">
        <v>0</v>
      </c>
      <c r="V854">
        <v>0</v>
      </c>
      <c r="W854" s="1">
        <v>44160</v>
      </c>
      <c r="AA854" t="s">
        <v>40</v>
      </c>
      <c r="AC854" t="s">
        <v>40</v>
      </c>
      <c r="AI854" t="s">
        <v>40</v>
      </c>
      <c r="AJ854" t="s">
        <v>40</v>
      </c>
    </row>
    <row r="855" spans="1:37" x14ac:dyDescent="0.3">
      <c r="A855">
        <v>2019</v>
      </c>
      <c r="B855">
        <v>8</v>
      </c>
      <c r="C855" t="str">
        <f t="shared" si="26"/>
        <v>8/01/2019</v>
      </c>
      <c r="D855" s="1" t="str">
        <f t="shared" si="27"/>
        <v>8/01/2019</v>
      </c>
      <c r="E855" t="s">
        <v>37</v>
      </c>
      <c r="F855" t="s">
        <v>50</v>
      </c>
      <c r="G855" t="s">
        <v>43</v>
      </c>
      <c r="H855">
        <v>61</v>
      </c>
      <c r="I855">
        <v>42</v>
      </c>
      <c r="J855">
        <v>0</v>
      </c>
      <c r="M855">
        <v>0</v>
      </c>
      <c r="O855">
        <v>0</v>
      </c>
      <c r="P855">
        <v>0</v>
      </c>
      <c r="Q855">
        <v>0</v>
      </c>
      <c r="U855">
        <v>0</v>
      </c>
      <c r="V855">
        <v>0</v>
      </c>
      <c r="W855" s="1">
        <v>44160</v>
      </c>
      <c r="AB855" t="s">
        <v>40</v>
      </c>
      <c r="AC855" t="s">
        <v>40</v>
      </c>
      <c r="AE855" t="s">
        <v>40</v>
      </c>
      <c r="AI855" t="s">
        <v>40</v>
      </c>
      <c r="AJ855" t="s">
        <v>40</v>
      </c>
      <c r="AK855" t="s">
        <v>40</v>
      </c>
    </row>
    <row r="856" spans="1:37" x14ac:dyDescent="0.3">
      <c r="A856">
        <v>2019</v>
      </c>
      <c r="B856">
        <v>8</v>
      </c>
      <c r="C856" t="str">
        <f t="shared" si="26"/>
        <v>8/01/2019</v>
      </c>
      <c r="D856" s="1" t="str">
        <f t="shared" si="27"/>
        <v>8/01/2019</v>
      </c>
      <c r="E856" t="s">
        <v>37</v>
      </c>
      <c r="F856" t="s">
        <v>50</v>
      </c>
      <c r="G856" t="s">
        <v>44</v>
      </c>
      <c r="H856">
        <v>73</v>
      </c>
      <c r="I856">
        <v>61</v>
      </c>
      <c r="J856">
        <v>0</v>
      </c>
      <c r="K856">
        <v>15</v>
      </c>
      <c r="M856">
        <v>0</v>
      </c>
      <c r="O856">
        <v>0</v>
      </c>
      <c r="R856">
        <v>0</v>
      </c>
      <c r="U856">
        <v>0</v>
      </c>
      <c r="V856">
        <v>0</v>
      </c>
      <c r="W856" s="1">
        <v>44160</v>
      </c>
      <c r="AC856" t="s">
        <v>40</v>
      </c>
      <c r="AE856" t="s">
        <v>40</v>
      </c>
      <c r="AG856" t="s">
        <v>40</v>
      </c>
      <c r="AH856" t="s">
        <v>40</v>
      </c>
      <c r="AJ856" t="s">
        <v>40</v>
      </c>
      <c r="AK856" t="s">
        <v>40</v>
      </c>
    </row>
    <row r="857" spans="1:37" x14ac:dyDescent="0.3">
      <c r="A857">
        <v>2019</v>
      </c>
      <c r="B857">
        <v>8</v>
      </c>
      <c r="C857" t="str">
        <f t="shared" si="26"/>
        <v>8/01/2019</v>
      </c>
      <c r="D857" s="1" t="str">
        <f t="shared" si="27"/>
        <v>8/01/2019</v>
      </c>
      <c r="E857" t="s">
        <v>37</v>
      </c>
      <c r="F857" t="s">
        <v>50</v>
      </c>
      <c r="G857" t="s">
        <v>45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 s="1">
        <v>44160</v>
      </c>
      <c r="Y857" t="s">
        <v>40</v>
      </c>
      <c r="Z857" t="s">
        <v>40</v>
      </c>
    </row>
    <row r="858" spans="1:37" x14ac:dyDescent="0.3">
      <c r="A858">
        <v>2019</v>
      </c>
      <c r="B858">
        <v>8</v>
      </c>
      <c r="C858" t="str">
        <f t="shared" si="26"/>
        <v>8/01/2019</v>
      </c>
      <c r="D858" s="1" t="str">
        <f t="shared" si="27"/>
        <v>8/01/2019</v>
      </c>
      <c r="E858" t="s">
        <v>37</v>
      </c>
      <c r="F858" t="s">
        <v>50</v>
      </c>
      <c r="G858" t="s">
        <v>46</v>
      </c>
      <c r="H858">
        <v>101</v>
      </c>
      <c r="I858">
        <v>91</v>
      </c>
      <c r="K858">
        <v>26</v>
      </c>
      <c r="S858">
        <v>13</v>
      </c>
      <c r="U858">
        <v>0</v>
      </c>
      <c r="V858">
        <v>0</v>
      </c>
      <c r="W858" s="1">
        <v>44160</v>
      </c>
      <c r="AA858" t="s">
        <v>40</v>
      </c>
      <c r="AC858" t="s">
        <v>40</v>
      </c>
      <c r="AD858" t="s">
        <v>40</v>
      </c>
      <c r="AE858" t="s">
        <v>40</v>
      </c>
      <c r="AF858" t="s">
        <v>40</v>
      </c>
      <c r="AG858" t="s">
        <v>40</v>
      </c>
      <c r="AH858" t="s">
        <v>40</v>
      </c>
      <c r="AI858" t="s">
        <v>40</v>
      </c>
      <c r="AK858" t="s">
        <v>40</v>
      </c>
    </row>
    <row r="859" spans="1:37" x14ac:dyDescent="0.3">
      <c r="A859">
        <v>2019</v>
      </c>
      <c r="B859">
        <v>8</v>
      </c>
      <c r="C859" t="str">
        <f t="shared" si="26"/>
        <v>8/01/2019</v>
      </c>
      <c r="D859" s="1" t="str">
        <f t="shared" si="27"/>
        <v>8/01/2019</v>
      </c>
      <c r="E859" t="s">
        <v>37</v>
      </c>
      <c r="F859" t="s">
        <v>50</v>
      </c>
      <c r="G859" t="s">
        <v>47</v>
      </c>
      <c r="H859">
        <v>125</v>
      </c>
      <c r="I859">
        <v>120</v>
      </c>
      <c r="K859">
        <v>36</v>
      </c>
      <c r="R859">
        <v>0</v>
      </c>
      <c r="S859">
        <v>16</v>
      </c>
      <c r="U859">
        <v>0</v>
      </c>
      <c r="V859">
        <v>0</v>
      </c>
      <c r="W859" s="1">
        <v>44160</v>
      </c>
      <c r="AA859" t="s">
        <v>40</v>
      </c>
      <c r="AC859" t="s">
        <v>40</v>
      </c>
      <c r="AD859" t="s">
        <v>40</v>
      </c>
      <c r="AE859" t="s">
        <v>40</v>
      </c>
      <c r="AF859" t="s">
        <v>40</v>
      </c>
      <c r="AG859" t="s">
        <v>40</v>
      </c>
      <c r="AH859" t="s">
        <v>40</v>
      </c>
      <c r="AK859" t="s">
        <v>40</v>
      </c>
    </row>
    <row r="860" spans="1:37" x14ac:dyDescent="0.3">
      <c r="A860">
        <v>2019</v>
      </c>
      <c r="B860">
        <v>8</v>
      </c>
      <c r="C860" t="str">
        <f t="shared" si="26"/>
        <v>8/01/2019</v>
      </c>
      <c r="D860" s="1" t="str">
        <f t="shared" si="27"/>
        <v>8/01/2019</v>
      </c>
      <c r="E860" t="s">
        <v>37</v>
      </c>
      <c r="F860" t="s">
        <v>50</v>
      </c>
      <c r="G860" t="s">
        <v>48</v>
      </c>
      <c r="H860">
        <v>119</v>
      </c>
      <c r="I860">
        <v>117</v>
      </c>
      <c r="K860">
        <v>23</v>
      </c>
      <c r="Q860">
        <v>0</v>
      </c>
      <c r="R860">
        <v>0</v>
      </c>
      <c r="S860">
        <v>21</v>
      </c>
      <c r="U860">
        <v>0</v>
      </c>
      <c r="V860">
        <v>0</v>
      </c>
      <c r="W860" s="1">
        <v>44160</v>
      </c>
      <c r="AA860" t="s">
        <v>40</v>
      </c>
      <c r="AC860" t="s">
        <v>40</v>
      </c>
      <c r="AD860" t="s">
        <v>40</v>
      </c>
      <c r="AE860" t="s">
        <v>40</v>
      </c>
      <c r="AF860" t="s">
        <v>40</v>
      </c>
      <c r="AG860" t="s">
        <v>40</v>
      </c>
      <c r="AK860" t="s">
        <v>40</v>
      </c>
    </row>
    <row r="861" spans="1:37" x14ac:dyDescent="0.3">
      <c r="A861">
        <v>2019</v>
      </c>
      <c r="B861">
        <v>8</v>
      </c>
      <c r="C861" t="str">
        <f t="shared" si="26"/>
        <v>8/01/2019</v>
      </c>
      <c r="D861" s="1" t="str">
        <f t="shared" si="27"/>
        <v>8/01/2019</v>
      </c>
      <c r="E861" t="s">
        <v>37</v>
      </c>
      <c r="F861" t="s">
        <v>50</v>
      </c>
      <c r="G861" t="s">
        <v>49</v>
      </c>
      <c r="H861">
        <v>123</v>
      </c>
      <c r="I861">
        <v>118</v>
      </c>
      <c r="J861">
        <v>0</v>
      </c>
      <c r="K861">
        <v>15</v>
      </c>
      <c r="S861">
        <v>37</v>
      </c>
      <c r="U861">
        <v>0</v>
      </c>
      <c r="V861">
        <v>0</v>
      </c>
      <c r="W861" s="1">
        <v>44160</v>
      </c>
      <c r="AC861" t="s">
        <v>40</v>
      </c>
      <c r="AD861" t="s">
        <v>40</v>
      </c>
      <c r="AE861" t="s">
        <v>40</v>
      </c>
      <c r="AF861" t="s">
        <v>40</v>
      </c>
      <c r="AG861" t="s">
        <v>40</v>
      </c>
      <c r="AH861" t="s">
        <v>40</v>
      </c>
      <c r="AI861" t="s">
        <v>40</v>
      </c>
      <c r="AK861" t="s">
        <v>40</v>
      </c>
    </row>
    <row r="862" spans="1:37" x14ac:dyDescent="0.3">
      <c r="A862">
        <v>2019</v>
      </c>
      <c r="B862">
        <v>8</v>
      </c>
      <c r="C862" t="str">
        <f t="shared" si="26"/>
        <v>8/01/2019</v>
      </c>
      <c r="D862" s="1" t="str">
        <f t="shared" si="27"/>
        <v>8/01/2019</v>
      </c>
      <c r="E862" t="s">
        <v>37</v>
      </c>
      <c r="F862" t="s">
        <v>51</v>
      </c>
      <c r="G862" t="s">
        <v>39</v>
      </c>
      <c r="H862">
        <v>32</v>
      </c>
      <c r="I862">
        <v>29</v>
      </c>
      <c r="J862">
        <v>0</v>
      </c>
      <c r="K862">
        <v>0</v>
      </c>
      <c r="L862">
        <v>0</v>
      </c>
      <c r="M862">
        <v>0</v>
      </c>
      <c r="O862">
        <v>0</v>
      </c>
      <c r="Q862">
        <v>0</v>
      </c>
      <c r="T862">
        <v>0</v>
      </c>
      <c r="U862">
        <v>0</v>
      </c>
      <c r="V862">
        <v>0</v>
      </c>
      <c r="W862" s="1">
        <v>44160</v>
      </c>
      <c r="AE862" t="s">
        <v>40</v>
      </c>
      <c r="AG862" t="s">
        <v>40</v>
      </c>
      <c r="AI862" t="s">
        <v>40</v>
      </c>
      <c r="AJ862" t="s">
        <v>40</v>
      </c>
    </row>
    <row r="863" spans="1:37" x14ac:dyDescent="0.3">
      <c r="A863">
        <v>2019</v>
      </c>
      <c r="B863">
        <v>8</v>
      </c>
      <c r="C863" t="str">
        <f t="shared" si="26"/>
        <v>8/01/2019</v>
      </c>
      <c r="D863" s="1" t="str">
        <f t="shared" si="27"/>
        <v>8/01/2019</v>
      </c>
      <c r="E863" t="s">
        <v>37</v>
      </c>
      <c r="F863" t="s">
        <v>51</v>
      </c>
      <c r="G863" t="s">
        <v>41</v>
      </c>
      <c r="H863">
        <v>12</v>
      </c>
      <c r="J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 s="1">
        <v>44160</v>
      </c>
      <c r="Z863" t="s">
        <v>40</v>
      </c>
      <c r="AB863" t="s">
        <v>40</v>
      </c>
    </row>
    <row r="864" spans="1:37" x14ac:dyDescent="0.3">
      <c r="A864">
        <v>2019</v>
      </c>
      <c r="B864">
        <v>8</v>
      </c>
      <c r="C864" t="str">
        <f t="shared" si="26"/>
        <v>8/01/2019</v>
      </c>
      <c r="D864" s="1" t="str">
        <f t="shared" si="27"/>
        <v>8/01/2019</v>
      </c>
      <c r="E864" t="s">
        <v>37</v>
      </c>
      <c r="F864" t="s">
        <v>51</v>
      </c>
      <c r="G864" t="s">
        <v>42</v>
      </c>
      <c r="H864">
        <v>39</v>
      </c>
      <c r="I864">
        <v>18</v>
      </c>
      <c r="J864">
        <v>0</v>
      </c>
      <c r="L864">
        <v>0</v>
      </c>
      <c r="M864">
        <v>0</v>
      </c>
      <c r="N864">
        <v>0</v>
      </c>
      <c r="P864">
        <v>0</v>
      </c>
      <c r="Q864">
        <v>0</v>
      </c>
      <c r="U864">
        <v>0</v>
      </c>
      <c r="V864">
        <v>0</v>
      </c>
      <c r="W864" s="1">
        <v>44160</v>
      </c>
      <c r="AB864" t="s">
        <v>40</v>
      </c>
      <c r="AF864" t="s">
        <v>40</v>
      </c>
      <c r="AI864" t="s">
        <v>40</v>
      </c>
      <c r="AJ864" t="s">
        <v>40</v>
      </c>
      <c r="AK864" t="s">
        <v>40</v>
      </c>
    </row>
    <row r="865" spans="1:37" x14ac:dyDescent="0.3">
      <c r="A865">
        <v>2019</v>
      </c>
      <c r="B865">
        <v>8</v>
      </c>
      <c r="C865" t="str">
        <f t="shared" si="26"/>
        <v>8/01/2019</v>
      </c>
      <c r="D865" s="1" t="str">
        <f t="shared" si="27"/>
        <v>8/01/2019</v>
      </c>
      <c r="E865" t="s">
        <v>37</v>
      </c>
      <c r="F865" t="s">
        <v>51</v>
      </c>
      <c r="G865" t="s">
        <v>43</v>
      </c>
      <c r="H865">
        <v>64</v>
      </c>
      <c r="I865">
        <v>41</v>
      </c>
      <c r="J865">
        <v>0</v>
      </c>
      <c r="K865">
        <v>24</v>
      </c>
      <c r="L865">
        <v>0</v>
      </c>
      <c r="M865">
        <v>0</v>
      </c>
      <c r="N865">
        <v>0</v>
      </c>
      <c r="P865">
        <v>0</v>
      </c>
      <c r="Q865">
        <v>0</v>
      </c>
      <c r="R865">
        <v>0</v>
      </c>
      <c r="U865">
        <v>0</v>
      </c>
      <c r="V865">
        <v>0</v>
      </c>
      <c r="W865" s="1">
        <v>44160</v>
      </c>
      <c r="AF865" t="s">
        <v>40</v>
      </c>
      <c r="AJ865" t="s">
        <v>40</v>
      </c>
      <c r="AK865" t="s">
        <v>40</v>
      </c>
    </row>
    <row r="866" spans="1:37" x14ac:dyDescent="0.3">
      <c r="A866">
        <v>2019</v>
      </c>
      <c r="B866">
        <v>8</v>
      </c>
      <c r="C866" t="str">
        <f t="shared" si="26"/>
        <v>8/01/2019</v>
      </c>
      <c r="D866" s="1" t="str">
        <f t="shared" si="27"/>
        <v>8/01/2019</v>
      </c>
      <c r="E866" t="s">
        <v>37</v>
      </c>
      <c r="F866" t="s">
        <v>51</v>
      </c>
      <c r="G866" t="s">
        <v>44</v>
      </c>
      <c r="H866">
        <v>135</v>
      </c>
      <c r="I866">
        <v>115</v>
      </c>
      <c r="K866">
        <v>82</v>
      </c>
      <c r="M866">
        <v>0</v>
      </c>
      <c r="P866">
        <v>0</v>
      </c>
      <c r="Q866">
        <v>0</v>
      </c>
      <c r="R866">
        <v>0</v>
      </c>
      <c r="T866">
        <v>11</v>
      </c>
      <c r="U866">
        <v>0</v>
      </c>
      <c r="V866">
        <v>0</v>
      </c>
      <c r="W866" s="1">
        <v>44160</v>
      </c>
      <c r="AA866" t="s">
        <v>40</v>
      </c>
      <c r="AC866" t="s">
        <v>40</v>
      </c>
      <c r="AE866" t="s">
        <v>40</v>
      </c>
      <c r="AF866" t="s">
        <v>40</v>
      </c>
      <c r="AJ866" t="s">
        <v>40</v>
      </c>
    </row>
    <row r="867" spans="1:37" x14ac:dyDescent="0.3">
      <c r="A867">
        <v>2019</v>
      </c>
      <c r="B867">
        <v>8</v>
      </c>
      <c r="C867" t="str">
        <f t="shared" si="26"/>
        <v>8/01/2019</v>
      </c>
      <c r="D867" s="1" t="str">
        <f t="shared" si="27"/>
        <v>8/01/2019</v>
      </c>
      <c r="E867" t="s">
        <v>37</v>
      </c>
      <c r="F867" t="s">
        <v>51</v>
      </c>
      <c r="G867" t="s">
        <v>45</v>
      </c>
      <c r="H867">
        <v>10</v>
      </c>
      <c r="J867">
        <v>0</v>
      </c>
      <c r="L867">
        <v>0</v>
      </c>
      <c r="M867">
        <v>0</v>
      </c>
      <c r="N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 s="1">
        <v>44160</v>
      </c>
      <c r="Z867" t="s">
        <v>40</v>
      </c>
      <c r="AB867" t="s">
        <v>40</v>
      </c>
      <c r="AF867" t="s">
        <v>40</v>
      </c>
    </row>
    <row r="868" spans="1:37" x14ac:dyDescent="0.3">
      <c r="A868">
        <v>2019</v>
      </c>
      <c r="B868">
        <v>8</v>
      </c>
      <c r="C868" t="str">
        <f t="shared" si="26"/>
        <v>8/01/2019</v>
      </c>
      <c r="D868" s="1" t="str">
        <f t="shared" si="27"/>
        <v>8/01/2019</v>
      </c>
      <c r="E868" t="s">
        <v>37</v>
      </c>
      <c r="F868" t="s">
        <v>51</v>
      </c>
      <c r="G868" t="s">
        <v>46</v>
      </c>
      <c r="H868">
        <v>264</v>
      </c>
      <c r="I868">
        <v>247</v>
      </c>
      <c r="K868">
        <v>143</v>
      </c>
      <c r="L868">
        <v>15</v>
      </c>
      <c r="R868">
        <v>0</v>
      </c>
      <c r="S868">
        <v>27</v>
      </c>
      <c r="T868">
        <v>18</v>
      </c>
      <c r="U868">
        <v>0</v>
      </c>
      <c r="V868">
        <v>0</v>
      </c>
      <c r="W868" s="1">
        <v>44160</v>
      </c>
      <c r="AA868" t="s">
        <v>40</v>
      </c>
      <c r="AD868" t="s">
        <v>40</v>
      </c>
      <c r="AE868" t="s">
        <v>40</v>
      </c>
      <c r="AF868" t="s">
        <v>40</v>
      </c>
      <c r="AG868" t="s">
        <v>40</v>
      </c>
      <c r="AH868" t="s">
        <v>40</v>
      </c>
    </row>
    <row r="869" spans="1:37" x14ac:dyDescent="0.3">
      <c r="A869">
        <v>2019</v>
      </c>
      <c r="B869">
        <v>8</v>
      </c>
      <c r="C869" t="str">
        <f t="shared" si="26"/>
        <v>8/01/2019</v>
      </c>
      <c r="D869" s="1" t="str">
        <f t="shared" si="27"/>
        <v>8/01/2019</v>
      </c>
      <c r="E869" t="s">
        <v>37</v>
      </c>
      <c r="F869" t="s">
        <v>51</v>
      </c>
      <c r="G869" t="s">
        <v>47</v>
      </c>
      <c r="H869">
        <v>451</v>
      </c>
      <c r="I869">
        <v>436</v>
      </c>
      <c r="K869">
        <v>198</v>
      </c>
      <c r="L869">
        <v>27</v>
      </c>
      <c r="Q869">
        <v>10</v>
      </c>
      <c r="S869">
        <v>68</v>
      </c>
      <c r="T869">
        <v>38</v>
      </c>
      <c r="U869">
        <v>0</v>
      </c>
      <c r="V869">
        <v>0</v>
      </c>
      <c r="W869" s="1">
        <v>44160</v>
      </c>
      <c r="AA869" t="s">
        <v>40</v>
      </c>
      <c r="AD869" t="s">
        <v>40</v>
      </c>
      <c r="AE869" t="s">
        <v>40</v>
      </c>
      <c r="AF869" t="s">
        <v>40</v>
      </c>
      <c r="AG869" t="s">
        <v>40</v>
      </c>
      <c r="AI869" t="s">
        <v>40</v>
      </c>
    </row>
    <row r="870" spans="1:37" x14ac:dyDescent="0.3">
      <c r="A870">
        <v>2019</v>
      </c>
      <c r="B870">
        <v>8</v>
      </c>
      <c r="C870" t="str">
        <f t="shared" si="26"/>
        <v>8/01/2019</v>
      </c>
      <c r="D870" s="1" t="str">
        <f t="shared" si="27"/>
        <v>8/01/2019</v>
      </c>
      <c r="E870" t="s">
        <v>37</v>
      </c>
      <c r="F870" t="s">
        <v>51</v>
      </c>
      <c r="G870" t="s">
        <v>48</v>
      </c>
      <c r="H870">
        <v>644</v>
      </c>
      <c r="I870">
        <v>627</v>
      </c>
      <c r="K870">
        <v>182</v>
      </c>
      <c r="L870">
        <v>27</v>
      </c>
      <c r="M870">
        <v>26</v>
      </c>
      <c r="O870">
        <v>17</v>
      </c>
      <c r="P870">
        <v>13</v>
      </c>
      <c r="Q870">
        <v>10</v>
      </c>
      <c r="S870">
        <v>127</v>
      </c>
      <c r="T870">
        <v>63</v>
      </c>
      <c r="U870">
        <v>0</v>
      </c>
      <c r="V870">
        <v>0</v>
      </c>
      <c r="W870" s="1">
        <v>44160</v>
      </c>
      <c r="AA870" t="s">
        <v>40</v>
      </c>
      <c r="AE870" t="s">
        <v>40</v>
      </c>
      <c r="AI870" t="s">
        <v>40</v>
      </c>
    </row>
    <row r="871" spans="1:37" x14ac:dyDescent="0.3">
      <c r="A871">
        <v>2019</v>
      </c>
      <c r="B871">
        <v>8</v>
      </c>
      <c r="C871" t="str">
        <f t="shared" si="26"/>
        <v>8/01/2019</v>
      </c>
      <c r="D871" s="1" t="str">
        <f t="shared" si="27"/>
        <v>8/01/2019</v>
      </c>
      <c r="E871" t="s">
        <v>37</v>
      </c>
      <c r="F871" t="s">
        <v>51</v>
      </c>
      <c r="G871" t="s">
        <v>49</v>
      </c>
      <c r="H871" s="2">
        <v>1073</v>
      </c>
      <c r="I871" s="2">
        <v>1041</v>
      </c>
      <c r="J871">
        <v>11</v>
      </c>
      <c r="K871">
        <v>142</v>
      </c>
      <c r="L871">
        <v>34</v>
      </c>
      <c r="M871">
        <v>92</v>
      </c>
      <c r="N871">
        <v>32</v>
      </c>
      <c r="O871">
        <v>27</v>
      </c>
      <c r="P871">
        <v>12</v>
      </c>
      <c r="Q871">
        <v>26</v>
      </c>
      <c r="R871">
        <v>12</v>
      </c>
      <c r="S871">
        <v>256</v>
      </c>
      <c r="T871">
        <v>118</v>
      </c>
      <c r="U871">
        <v>0</v>
      </c>
      <c r="V871">
        <v>0</v>
      </c>
      <c r="W871" s="1">
        <v>44160</v>
      </c>
    </row>
    <row r="872" spans="1:37" x14ac:dyDescent="0.3">
      <c r="A872">
        <v>2019</v>
      </c>
      <c r="B872">
        <v>8</v>
      </c>
      <c r="C872" t="str">
        <f t="shared" si="26"/>
        <v>8/01/2019</v>
      </c>
      <c r="D872" s="1" t="str">
        <f t="shared" si="27"/>
        <v>8/01/2019</v>
      </c>
      <c r="E872" t="s">
        <v>37</v>
      </c>
      <c r="F872" t="s">
        <v>52</v>
      </c>
      <c r="G872" t="s">
        <v>39</v>
      </c>
      <c r="H872">
        <v>275</v>
      </c>
      <c r="I872">
        <v>244</v>
      </c>
      <c r="L872">
        <v>0</v>
      </c>
      <c r="M872">
        <v>0</v>
      </c>
      <c r="O872">
        <v>0</v>
      </c>
      <c r="R872">
        <v>36</v>
      </c>
      <c r="U872">
        <v>0</v>
      </c>
      <c r="V872">
        <v>0</v>
      </c>
      <c r="W872" s="1">
        <v>44160</v>
      </c>
      <c r="AA872" t="s">
        <v>40</v>
      </c>
      <c r="AB872" t="s">
        <v>40</v>
      </c>
      <c r="AE872" t="s">
        <v>40</v>
      </c>
      <c r="AG872" t="s">
        <v>40</v>
      </c>
      <c r="AH872" t="s">
        <v>40</v>
      </c>
      <c r="AJ872" t="s">
        <v>40</v>
      </c>
      <c r="AK872" t="s">
        <v>40</v>
      </c>
    </row>
    <row r="873" spans="1:37" x14ac:dyDescent="0.3">
      <c r="A873">
        <v>2019</v>
      </c>
      <c r="B873">
        <v>8</v>
      </c>
      <c r="C873" t="str">
        <f t="shared" si="26"/>
        <v>8/01/2019</v>
      </c>
      <c r="D873" s="1" t="str">
        <f t="shared" si="27"/>
        <v>8/01/2019</v>
      </c>
      <c r="E873" t="s">
        <v>37</v>
      </c>
      <c r="F873" t="s">
        <v>52</v>
      </c>
      <c r="G873" t="s">
        <v>41</v>
      </c>
      <c r="H873">
        <v>138</v>
      </c>
      <c r="I873">
        <v>55</v>
      </c>
      <c r="J873">
        <v>0</v>
      </c>
      <c r="M873">
        <v>0</v>
      </c>
      <c r="Q873">
        <v>0</v>
      </c>
      <c r="U873">
        <v>0</v>
      </c>
      <c r="V873">
        <v>0</v>
      </c>
      <c r="W873" s="1">
        <v>44160</v>
      </c>
      <c r="AB873" t="s">
        <v>40</v>
      </c>
      <c r="AC873" t="s">
        <v>40</v>
      </c>
      <c r="AE873" t="s">
        <v>40</v>
      </c>
      <c r="AF873" t="s">
        <v>40</v>
      </c>
      <c r="AG873" t="s">
        <v>40</v>
      </c>
      <c r="AI873" t="s">
        <v>40</v>
      </c>
      <c r="AJ873" t="s">
        <v>40</v>
      </c>
      <c r="AK873" t="s">
        <v>40</v>
      </c>
    </row>
    <row r="874" spans="1:37" x14ac:dyDescent="0.3">
      <c r="A874">
        <v>2019</v>
      </c>
      <c r="B874">
        <v>8</v>
      </c>
      <c r="C874" t="str">
        <f t="shared" si="26"/>
        <v>8/01/2019</v>
      </c>
      <c r="D874" s="1" t="str">
        <f t="shared" si="27"/>
        <v>8/01/2019</v>
      </c>
      <c r="E874" t="s">
        <v>37</v>
      </c>
      <c r="F874" t="s">
        <v>52</v>
      </c>
      <c r="G874" t="s">
        <v>42</v>
      </c>
      <c r="H874">
        <v>310</v>
      </c>
      <c r="I874">
        <v>176</v>
      </c>
      <c r="K874">
        <v>33</v>
      </c>
      <c r="M874">
        <v>0</v>
      </c>
      <c r="S874">
        <v>29</v>
      </c>
      <c r="U874">
        <v>0</v>
      </c>
      <c r="V874">
        <v>0</v>
      </c>
      <c r="W874" s="1">
        <v>44160</v>
      </c>
      <c r="AA874" t="s">
        <v>40</v>
      </c>
      <c r="AC874" t="s">
        <v>40</v>
      </c>
      <c r="AE874" t="s">
        <v>40</v>
      </c>
      <c r="AF874" t="s">
        <v>40</v>
      </c>
      <c r="AG874" t="s">
        <v>40</v>
      </c>
      <c r="AH874" t="s">
        <v>40</v>
      </c>
      <c r="AI874" t="s">
        <v>40</v>
      </c>
      <c r="AK874" t="s">
        <v>40</v>
      </c>
    </row>
    <row r="875" spans="1:37" x14ac:dyDescent="0.3">
      <c r="A875">
        <v>2019</v>
      </c>
      <c r="B875">
        <v>8</v>
      </c>
      <c r="C875" t="str">
        <f t="shared" si="26"/>
        <v>8/01/2019</v>
      </c>
      <c r="D875" s="1" t="str">
        <f t="shared" si="27"/>
        <v>8/01/2019</v>
      </c>
      <c r="E875" t="s">
        <v>37</v>
      </c>
      <c r="F875" t="s">
        <v>52</v>
      </c>
      <c r="G875" t="s">
        <v>43</v>
      </c>
      <c r="H875">
        <v>534</v>
      </c>
      <c r="I875">
        <v>414</v>
      </c>
      <c r="K875">
        <v>101</v>
      </c>
      <c r="L875">
        <v>17</v>
      </c>
      <c r="M875">
        <v>0</v>
      </c>
      <c r="S875">
        <v>96</v>
      </c>
      <c r="T875">
        <v>16</v>
      </c>
      <c r="U875">
        <v>0</v>
      </c>
      <c r="V875">
        <v>0</v>
      </c>
      <c r="W875" s="1">
        <v>44160</v>
      </c>
      <c r="AA875" t="s">
        <v>40</v>
      </c>
      <c r="AE875" t="s">
        <v>40</v>
      </c>
      <c r="AF875" t="s">
        <v>40</v>
      </c>
      <c r="AG875" t="s">
        <v>40</v>
      </c>
      <c r="AH875" t="s">
        <v>40</v>
      </c>
      <c r="AI875" t="s">
        <v>40</v>
      </c>
    </row>
    <row r="876" spans="1:37" x14ac:dyDescent="0.3">
      <c r="A876">
        <v>2019</v>
      </c>
      <c r="B876">
        <v>8</v>
      </c>
      <c r="C876" t="str">
        <f t="shared" si="26"/>
        <v>8/01/2019</v>
      </c>
      <c r="D876" s="1" t="str">
        <f t="shared" si="27"/>
        <v>8/01/2019</v>
      </c>
      <c r="E876" t="s">
        <v>37</v>
      </c>
      <c r="F876" t="s">
        <v>52</v>
      </c>
      <c r="G876" t="s">
        <v>44</v>
      </c>
      <c r="H876">
        <v>997</v>
      </c>
      <c r="I876">
        <v>885</v>
      </c>
      <c r="J876">
        <v>30</v>
      </c>
      <c r="K876">
        <v>256</v>
      </c>
      <c r="L876">
        <v>56</v>
      </c>
      <c r="N876">
        <v>10</v>
      </c>
      <c r="O876">
        <v>24</v>
      </c>
      <c r="P876">
        <v>15</v>
      </c>
      <c r="Q876">
        <v>17</v>
      </c>
      <c r="R876">
        <v>11</v>
      </c>
      <c r="S876">
        <v>199</v>
      </c>
      <c r="T876">
        <v>51</v>
      </c>
      <c r="U876">
        <v>0</v>
      </c>
      <c r="V876">
        <v>0</v>
      </c>
      <c r="W876" s="1">
        <v>44160</v>
      </c>
      <c r="AD876" t="s">
        <v>40</v>
      </c>
    </row>
    <row r="877" spans="1:37" x14ac:dyDescent="0.3">
      <c r="A877">
        <v>2019</v>
      </c>
      <c r="B877">
        <v>8</v>
      </c>
      <c r="C877" t="str">
        <f t="shared" si="26"/>
        <v>8/01/2019</v>
      </c>
      <c r="D877" s="1" t="str">
        <f t="shared" si="27"/>
        <v>8/01/2019</v>
      </c>
      <c r="E877" t="s">
        <v>37</v>
      </c>
      <c r="F877" t="s">
        <v>52</v>
      </c>
      <c r="G877" t="s">
        <v>45</v>
      </c>
      <c r="H877">
        <v>46</v>
      </c>
      <c r="I877">
        <v>24</v>
      </c>
      <c r="J877">
        <v>0</v>
      </c>
      <c r="L877">
        <v>0</v>
      </c>
      <c r="M877">
        <v>0</v>
      </c>
      <c r="N877">
        <v>0</v>
      </c>
      <c r="O877">
        <v>0</v>
      </c>
      <c r="Q877">
        <v>0</v>
      </c>
      <c r="U877">
        <v>0</v>
      </c>
      <c r="V877">
        <v>0</v>
      </c>
      <c r="W877" s="1">
        <v>44160</v>
      </c>
      <c r="AB877" t="s">
        <v>40</v>
      </c>
      <c r="AG877" t="s">
        <v>40</v>
      </c>
      <c r="AI877" t="s">
        <v>40</v>
      </c>
      <c r="AJ877" t="s">
        <v>40</v>
      </c>
      <c r="AK877" t="s">
        <v>40</v>
      </c>
    </row>
    <row r="878" spans="1:37" x14ac:dyDescent="0.3">
      <c r="A878">
        <v>2019</v>
      </c>
      <c r="B878">
        <v>8</v>
      </c>
      <c r="C878" t="str">
        <f t="shared" si="26"/>
        <v>8/01/2019</v>
      </c>
      <c r="D878" s="1" t="str">
        <f t="shared" si="27"/>
        <v>8/01/2019</v>
      </c>
      <c r="E878" t="s">
        <v>37</v>
      </c>
      <c r="F878" t="s">
        <v>52</v>
      </c>
      <c r="G878" t="s">
        <v>46</v>
      </c>
      <c r="H878" s="2">
        <v>2177</v>
      </c>
      <c r="I878" s="2">
        <v>2052</v>
      </c>
      <c r="J878">
        <v>49</v>
      </c>
      <c r="K878">
        <v>743</v>
      </c>
      <c r="L878">
        <v>112</v>
      </c>
      <c r="N878">
        <v>26</v>
      </c>
      <c r="O878">
        <v>77</v>
      </c>
      <c r="P878">
        <v>31</v>
      </c>
      <c r="Q878">
        <v>56</v>
      </c>
      <c r="R878">
        <v>13</v>
      </c>
      <c r="S878">
        <v>466</v>
      </c>
      <c r="T878">
        <v>90</v>
      </c>
      <c r="U878">
        <v>0</v>
      </c>
      <c r="V878">
        <v>0</v>
      </c>
      <c r="W878" s="1">
        <v>44160</v>
      </c>
      <c r="AD878" t="s">
        <v>40</v>
      </c>
    </row>
    <row r="879" spans="1:37" x14ac:dyDescent="0.3">
      <c r="A879">
        <v>2019</v>
      </c>
      <c r="B879">
        <v>8</v>
      </c>
      <c r="C879" t="str">
        <f t="shared" si="26"/>
        <v>8/01/2019</v>
      </c>
      <c r="D879" s="1" t="str">
        <f t="shared" si="27"/>
        <v>8/01/2019</v>
      </c>
      <c r="E879" t="s">
        <v>37</v>
      </c>
      <c r="F879" t="s">
        <v>52</v>
      </c>
      <c r="G879" t="s">
        <v>47</v>
      </c>
      <c r="H879" s="2">
        <v>2727</v>
      </c>
      <c r="I879" s="2">
        <v>2658</v>
      </c>
      <c r="J879">
        <v>82</v>
      </c>
      <c r="K879">
        <v>849</v>
      </c>
      <c r="L879">
        <v>139</v>
      </c>
      <c r="M879">
        <v>45</v>
      </c>
      <c r="N879">
        <v>38</v>
      </c>
      <c r="O879">
        <v>125</v>
      </c>
      <c r="P879">
        <v>37</v>
      </c>
      <c r="Q879">
        <v>77</v>
      </c>
      <c r="R879">
        <v>24</v>
      </c>
      <c r="S879">
        <v>638</v>
      </c>
      <c r="T879">
        <v>156</v>
      </c>
      <c r="U879">
        <v>0</v>
      </c>
      <c r="V879">
        <v>0</v>
      </c>
      <c r="W879" s="1">
        <v>44160</v>
      </c>
    </row>
    <row r="880" spans="1:37" x14ac:dyDescent="0.3">
      <c r="A880">
        <v>2019</v>
      </c>
      <c r="B880">
        <v>8</v>
      </c>
      <c r="C880" t="str">
        <f t="shared" si="26"/>
        <v>8/01/2019</v>
      </c>
      <c r="D880" s="1" t="str">
        <f t="shared" si="27"/>
        <v>8/01/2019</v>
      </c>
      <c r="E880" t="s">
        <v>37</v>
      </c>
      <c r="F880" t="s">
        <v>52</v>
      </c>
      <c r="G880" t="s">
        <v>48</v>
      </c>
      <c r="H880" s="2">
        <v>2833</v>
      </c>
      <c r="I880" s="2">
        <v>2777</v>
      </c>
      <c r="J880">
        <v>73</v>
      </c>
      <c r="K880">
        <v>642</v>
      </c>
      <c r="L880">
        <v>151</v>
      </c>
      <c r="M880">
        <v>156</v>
      </c>
      <c r="N880">
        <v>48</v>
      </c>
      <c r="O880">
        <v>103</v>
      </c>
      <c r="P880">
        <v>30</v>
      </c>
      <c r="Q880">
        <v>115</v>
      </c>
      <c r="R880">
        <v>25</v>
      </c>
      <c r="S880">
        <v>633</v>
      </c>
      <c r="T880">
        <v>244</v>
      </c>
      <c r="U880">
        <v>0</v>
      </c>
      <c r="V880">
        <v>0</v>
      </c>
      <c r="W880" s="1">
        <v>44160</v>
      </c>
    </row>
    <row r="881" spans="1:37" x14ac:dyDescent="0.3">
      <c r="A881">
        <v>2019</v>
      </c>
      <c r="B881">
        <v>8</v>
      </c>
      <c r="C881" t="str">
        <f t="shared" si="26"/>
        <v>8/01/2019</v>
      </c>
      <c r="D881" s="1" t="str">
        <f t="shared" si="27"/>
        <v>8/01/2019</v>
      </c>
      <c r="E881" t="s">
        <v>37</v>
      </c>
      <c r="F881" t="s">
        <v>52</v>
      </c>
      <c r="G881" t="s">
        <v>49</v>
      </c>
      <c r="H881" s="2">
        <v>3270</v>
      </c>
      <c r="I881" s="2">
        <v>3219</v>
      </c>
      <c r="J881">
        <v>57</v>
      </c>
      <c r="K881">
        <v>379</v>
      </c>
      <c r="L881">
        <v>100</v>
      </c>
      <c r="M881">
        <v>352</v>
      </c>
      <c r="N881">
        <v>48</v>
      </c>
      <c r="O881">
        <v>79</v>
      </c>
      <c r="P881">
        <v>22</v>
      </c>
      <c r="Q881">
        <v>109</v>
      </c>
      <c r="R881">
        <v>44</v>
      </c>
      <c r="S881">
        <v>879</v>
      </c>
      <c r="T881">
        <v>309</v>
      </c>
      <c r="U881">
        <v>0</v>
      </c>
      <c r="V881">
        <v>0</v>
      </c>
      <c r="W881" s="1">
        <v>44160</v>
      </c>
    </row>
    <row r="882" spans="1:37" x14ac:dyDescent="0.3">
      <c r="A882">
        <v>2019</v>
      </c>
      <c r="B882">
        <v>8</v>
      </c>
      <c r="C882" t="str">
        <f t="shared" si="26"/>
        <v>8/01/2019</v>
      </c>
      <c r="D882" s="1" t="str">
        <f t="shared" si="27"/>
        <v>8/01/2019</v>
      </c>
      <c r="E882" t="s">
        <v>37</v>
      </c>
      <c r="F882" t="s">
        <v>53</v>
      </c>
      <c r="G882" t="s">
        <v>39</v>
      </c>
      <c r="H882">
        <v>408</v>
      </c>
      <c r="I882">
        <v>342</v>
      </c>
      <c r="L882">
        <v>0</v>
      </c>
      <c r="M882">
        <v>0</v>
      </c>
      <c r="O882">
        <v>0</v>
      </c>
      <c r="R882">
        <v>36</v>
      </c>
      <c r="U882">
        <v>0</v>
      </c>
      <c r="V882">
        <v>0</v>
      </c>
      <c r="W882" s="1">
        <v>44160</v>
      </c>
      <c r="AA882" t="s">
        <v>40</v>
      </c>
      <c r="AB882" t="s">
        <v>40</v>
      </c>
      <c r="AE882" t="s">
        <v>40</v>
      </c>
      <c r="AG882" t="s">
        <v>40</v>
      </c>
      <c r="AH882" t="s">
        <v>40</v>
      </c>
      <c r="AJ882" t="s">
        <v>40</v>
      </c>
      <c r="AK882" t="s">
        <v>40</v>
      </c>
    </row>
    <row r="883" spans="1:37" x14ac:dyDescent="0.3">
      <c r="A883">
        <v>2019</v>
      </c>
      <c r="B883">
        <v>8</v>
      </c>
      <c r="C883" t="str">
        <f t="shared" si="26"/>
        <v>8/01/2019</v>
      </c>
      <c r="D883" s="1" t="str">
        <f t="shared" si="27"/>
        <v>8/01/2019</v>
      </c>
      <c r="E883" t="s">
        <v>37</v>
      </c>
      <c r="F883" t="s">
        <v>53</v>
      </c>
      <c r="G883" t="s">
        <v>41</v>
      </c>
      <c r="H883">
        <v>368</v>
      </c>
      <c r="I883">
        <v>110</v>
      </c>
      <c r="K883">
        <v>23</v>
      </c>
      <c r="M883">
        <v>0</v>
      </c>
      <c r="S883">
        <v>15</v>
      </c>
      <c r="U883">
        <v>0</v>
      </c>
      <c r="V883">
        <v>0</v>
      </c>
      <c r="W883" s="1">
        <v>44160</v>
      </c>
      <c r="AA883" t="s">
        <v>40</v>
      </c>
      <c r="AC883" t="s">
        <v>40</v>
      </c>
      <c r="AE883" t="s">
        <v>40</v>
      </c>
      <c r="AF883" t="s">
        <v>40</v>
      </c>
      <c r="AG883" t="s">
        <v>40</v>
      </c>
      <c r="AH883" t="s">
        <v>40</v>
      </c>
      <c r="AI883" t="s">
        <v>40</v>
      </c>
      <c r="AK883" t="s">
        <v>40</v>
      </c>
    </row>
    <row r="884" spans="1:37" x14ac:dyDescent="0.3">
      <c r="A884">
        <v>2019</v>
      </c>
      <c r="B884">
        <v>8</v>
      </c>
      <c r="C884" t="str">
        <f t="shared" si="26"/>
        <v>8/01/2019</v>
      </c>
      <c r="D884" s="1" t="str">
        <f t="shared" si="27"/>
        <v>8/01/2019</v>
      </c>
      <c r="E884" t="s">
        <v>37</v>
      </c>
      <c r="F884" t="s">
        <v>53</v>
      </c>
      <c r="G884" t="s">
        <v>42</v>
      </c>
      <c r="H884">
        <v>940</v>
      </c>
      <c r="I884">
        <v>383</v>
      </c>
      <c r="J884">
        <v>17</v>
      </c>
      <c r="K884">
        <v>90</v>
      </c>
      <c r="L884">
        <v>10</v>
      </c>
      <c r="M884">
        <v>0</v>
      </c>
      <c r="R884">
        <v>23</v>
      </c>
      <c r="S884">
        <v>58</v>
      </c>
      <c r="T884">
        <v>13</v>
      </c>
      <c r="U884">
        <v>0</v>
      </c>
      <c r="V884">
        <v>0</v>
      </c>
      <c r="W884" s="1">
        <v>44160</v>
      </c>
      <c r="AE884" t="s">
        <v>40</v>
      </c>
      <c r="AF884" t="s">
        <v>40</v>
      </c>
      <c r="AG884" t="s">
        <v>40</v>
      </c>
      <c r="AH884" t="s">
        <v>40</v>
      </c>
    </row>
    <row r="885" spans="1:37" x14ac:dyDescent="0.3">
      <c r="A885">
        <v>2019</v>
      </c>
      <c r="B885">
        <v>8</v>
      </c>
      <c r="C885" t="str">
        <f t="shared" si="26"/>
        <v>8/01/2019</v>
      </c>
      <c r="D885" s="1" t="str">
        <f t="shared" si="27"/>
        <v>8/01/2019</v>
      </c>
      <c r="E885" t="s">
        <v>37</v>
      </c>
      <c r="F885" t="s">
        <v>53</v>
      </c>
      <c r="G885" t="s">
        <v>43</v>
      </c>
      <c r="H885" s="2">
        <v>1547</v>
      </c>
      <c r="I885">
        <v>935</v>
      </c>
      <c r="J885">
        <v>10</v>
      </c>
      <c r="K885">
        <v>312</v>
      </c>
      <c r="L885">
        <v>38</v>
      </c>
      <c r="M885">
        <v>0</v>
      </c>
      <c r="N885">
        <v>11</v>
      </c>
      <c r="O885">
        <v>16</v>
      </c>
      <c r="P885">
        <v>11</v>
      </c>
      <c r="Q885">
        <v>10</v>
      </c>
      <c r="R885">
        <v>27</v>
      </c>
      <c r="S885">
        <v>140</v>
      </c>
      <c r="T885">
        <v>33</v>
      </c>
      <c r="U885">
        <v>0</v>
      </c>
      <c r="V885">
        <v>0</v>
      </c>
      <c r="W885" s="1">
        <v>44160</v>
      </c>
    </row>
    <row r="886" spans="1:37" x14ac:dyDescent="0.3">
      <c r="A886">
        <v>2019</v>
      </c>
      <c r="B886">
        <v>8</v>
      </c>
      <c r="C886" t="str">
        <f t="shared" si="26"/>
        <v>8/01/2019</v>
      </c>
      <c r="D886" s="1" t="str">
        <f t="shared" si="27"/>
        <v>8/01/2019</v>
      </c>
      <c r="E886" t="s">
        <v>37</v>
      </c>
      <c r="F886" t="s">
        <v>53</v>
      </c>
      <c r="G886" t="s">
        <v>44</v>
      </c>
      <c r="H886" s="2">
        <v>3161</v>
      </c>
      <c r="I886" s="2">
        <v>2547</v>
      </c>
      <c r="J886">
        <v>35</v>
      </c>
      <c r="K886">
        <v>965</v>
      </c>
      <c r="L886">
        <v>95</v>
      </c>
      <c r="N886">
        <v>32</v>
      </c>
      <c r="O886">
        <v>114</v>
      </c>
      <c r="P886">
        <v>30</v>
      </c>
      <c r="Q886">
        <v>19</v>
      </c>
      <c r="R886">
        <v>41</v>
      </c>
      <c r="S886">
        <v>456</v>
      </c>
      <c r="T886">
        <v>88</v>
      </c>
      <c r="U886">
        <v>0</v>
      </c>
      <c r="V886">
        <v>0</v>
      </c>
      <c r="W886" s="1">
        <v>44160</v>
      </c>
      <c r="AD886" t="s">
        <v>40</v>
      </c>
    </row>
    <row r="887" spans="1:37" x14ac:dyDescent="0.3">
      <c r="A887">
        <v>2019</v>
      </c>
      <c r="B887">
        <v>8</v>
      </c>
      <c r="C887" t="str">
        <f t="shared" si="26"/>
        <v>8/01/2019</v>
      </c>
      <c r="D887" s="1" t="str">
        <f t="shared" si="27"/>
        <v>8/01/2019</v>
      </c>
      <c r="E887" t="s">
        <v>37</v>
      </c>
      <c r="F887" t="s">
        <v>53</v>
      </c>
      <c r="G887" t="s">
        <v>45</v>
      </c>
      <c r="H887">
        <v>80</v>
      </c>
      <c r="I887">
        <v>40</v>
      </c>
      <c r="J887">
        <v>0</v>
      </c>
      <c r="K887">
        <v>13</v>
      </c>
      <c r="M887">
        <v>0</v>
      </c>
      <c r="N887">
        <v>0</v>
      </c>
      <c r="P887">
        <v>0</v>
      </c>
      <c r="Q887">
        <v>0</v>
      </c>
      <c r="T887">
        <v>0</v>
      </c>
      <c r="U887">
        <v>0</v>
      </c>
      <c r="V887">
        <v>0</v>
      </c>
      <c r="W887" s="1">
        <v>44160</v>
      </c>
      <c r="AC887" t="s">
        <v>40</v>
      </c>
      <c r="AF887" t="s">
        <v>40</v>
      </c>
      <c r="AI887" t="s">
        <v>40</v>
      </c>
      <c r="AJ887" t="s">
        <v>40</v>
      </c>
    </row>
    <row r="888" spans="1:37" x14ac:dyDescent="0.3">
      <c r="A888">
        <v>2019</v>
      </c>
      <c r="B888">
        <v>8</v>
      </c>
      <c r="C888" t="str">
        <f t="shared" si="26"/>
        <v>8/01/2019</v>
      </c>
      <c r="D888" s="1" t="str">
        <f t="shared" si="27"/>
        <v>8/01/2019</v>
      </c>
      <c r="E888" t="s">
        <v>37</v>
      </c>
      <c r="F888" t="s">
        <v>53</v>
      </c>
      <c r="G888" t="s">
        <v>46</v>
      </c>
      <c r="H888" s="2">
        <v>8169</v>
      </c>
      <c r="I888" s="2">
        <v>7500</v>
      </c>
      <c r="J888">
        <v>142</v>
      </c>
      <c r="K888" s="2">
        <v>3024</v>
      </c>
      <c r="L888">
        <v>239</v>
      </c>
      <c r="M888">
        <v>46</v>
      </c>
      <c r="N888">
        <v>79</v>
      </c>
      <c r="O888">
        <v>556</v>
      </c>
      <c r="P888">
        <v>119</v>
      </c>
      <c r="Q888">
        <v>107</v>
      </c>
      <c r="R888">
        <v>75</v>
      </c>
      <c r="S888" s="2">
        <v>1292</v>
      </c>
      <c r="T888">
        <v>258</v>
      </c>
      <c r="U888">
        <v>0</v>
      </c>
      <c r="V888">
        <v>0</v>
      </c>
      <c r="W888" s="1">
        <v>44160</v>
      </c>
    </row>
    <row r="889" spans="1:37" x14ac:dyDescent="0.3">
      <c r="A889">
        <v>2019</v>
      </c>
      <c r="B889">
        <v>8</v>
      </c>
      <c r="C889" t="str">
        <f t="shared" si="26"/>
        <v>8/01/2019</v>
      </c>
      <c r="D889" s="1" t="str">
        <f t="shared" si="27"/>
        <v>8/01/2019</v>
      </c>
      <c r="E889" t="s">
        <v>37</v>
      </c>
      <c r="F889" t="s">
        <v>53</v>
      </c>
      <c r="G889" t="s">
        <v>47</v>
      </c>
      <c r="H889" s="2">
        <v>14106</v>
      </c>
      <c r="I889" s="2">
        <v>13597</v>
      </c>
      <c r="J889">
        <v>234</v>
      </c>
      <c r="K889" s="2">
        <v>4990</v>
      </c>
      <c r="L889">
        <v>434</v>
      </c>
      <c r="M889">
        <v>279</v>
      </c>
      <c r="N889">
        <v>179</v>
      </c>
      <c r="O889" s="2">
        <v>1185</v>
      </c>
      <c r="P889">
        <v>260</v>
      </c>
      <c r="Q889">
        <v>243</v>
      </c>
      <c r="R889">
        <v>117</v>
      </c>
      <c r="S889" s="2">
        <v>2445</v>
      </c>
      <c r="T889">
        <v>585</v>
      </c>
      <c r="U889">
        <v>0</v>
      </c>
      <c r="V889">
        <v>0</v>
      </c>
      <c r="W889" s="1">
        <v>44160</v>
      </c>
    </row>
    <row r="890" spans="1:37" x14ac:dyDescent="0.3">
      <c r="A890">
        <v>2019</v>
      </c>
      <c r="B890">
        <v>8</v>
      </c>
      <c r="C890" t="str">
        <f t="shared" si="26"/>
        <v>8/01/2019</v>
      </c>
      <c r="D890" s="1" t="str">
        <f t="shared" si="27"/>
        <v>8/01/2019</v>
      </c>
      <c r="E890" t="s">
        <v>37</v>
      </c>
      <c r="F890" t="s">
        <v>53</v>
      </c>
      <c r="G890" t="s">
        <v>48</v>
      </c>
      <c r="H890" s="2">
        <v>20823</v>
      </c>
      <c r="I890" s="2">
        <v>20145</v>
      </c>
      <c r="J890">
        <v>283</v>
      </c>
      <c r="K890" s="2">
        <v>5112</v>
      </c>
      <c r="L890">
        <v>488</v>
      </c>
      <c r="M890" s="2">
        <v>1284</v>
      </c>
      <c r="N890">
        <v>263</v>
      </c>
      <c r="O890" s="2">
        <v>1771</v>
      </c>
      <c r="P890">
        <v>405</v>
      </c>
      <c r="Q890">
        <v>360</v>
      </c>
      <c r="R890">
        <v>164</v>
      </c>
      <c r="S890" s="2">
        <v>4287</v>
      </c>
      <c r="T890" s="2">
        <v>1247</v>
      </c>
      <c r="U890">
        <v>0</v>
      </c>
      <c r="V890">
        <v>0</v>
      </c>
      <c r="W890" s="1">
        <v>44160</v>
      </c>
    </row>
    <row r="891" spans="1:37" x14ac:dyDescent="0.3">
      <c r="A891">
        <v>2019</v>
      </c>
      <c r="B891">
        <v>8</v>
      </c>
      <c r="C891" t="str">
        <f t="shared" si="26"/>
        <v>8/01/2019</v>
      </c>
      <c r="D891" s="1" t="str">
        <f t="shared" si="27"/>
        <v>8/01/2019</v>
      </c>
      <c r="E891" t="s">
        <v>37</v>
      </c>
      <c r="F891" t="s">
        <v>53</v>
      </c>
      <c r="G891" t="s">
        <v>49</v>
      </c>
      <c r="H891" s="2">
        <v>34425</v>
      </c>
      <c r="I891" s="2">
        <v>33309</v>
      </c>
      <c r="J891">
        <v>334</v>
      </c>
      <c r="K891" s="2">
        <v>3711</v>
      </c>
      <c r="L891">
        <v>504</v>
      </c>
      <c r="M891" s="2">
        <v>3659</v>
      </c>
      <c r="N891">
        <v>552</v>
      </c>
      <c r="O891" s="2">
        <v>1667</v>
      </c>
      <c r="P891">
        <v>472</v>
      </c>
      <c r="Q891">
        <v>506</v>
      </c>
      <c r="R891">
        <v>551</v>
      </c>
      <c r="S891" s="2">
        <v>9633</v>
      </c>
      <c r="T891" s="2">
        <v>2763</v>
      </c>
      <c r="U891">
        <v>0</v>
      </c>
      <c r="V891">
        <v>0</v>
      </c>
      <c r="W891" s="1">
        <v>44160</v>
      </c>
    </row>
    <row r="892" spans="1:37" x14ac:dyDescent="0.3">
      <c r="A892">
        <v>2019</v>
      </c>
      <c r="B892">
        <v>8</v>
      </c>
      <c r="C892" t="str">
        <f t="shared" si="26"/>
        <v>8/01/2019</v>
      </c>
      <c r="D892" s="1" t="str">
        <f t="shared" si="27"/>
        <v>8/01/2019</v>
      </c>
      <c r="E892" t="s">
        <v>37</v>
      </c>
      <c r="F892" t="s">
        <v>54</v>
      </c>
      <c r="G892" t="s">
        <v>39</v>
      </c>
      <c r="H892">
        <v>38</v>
      </c>
      <c r="I892">
        <v>30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T892">
        <v>0</v>
      </c>
      <c r="U892">
        <v>0</v>
      </c>
      <c r="V892">
        <v>0</v>
      </c>
      <c r="W892" s="1">
        <v>44160</v>
      </c>
      <c r="AI892" t="s">
        <v>40</v>
      </c>
      <c r="AJ892" t="s">
        <v>40</v>
      </c>
    </row>
    <row r="893" spans="1:37" x14ac:dyDescent="0.3">
      <c r="A893">
        <v>2019</v>
      </c>
      <c r="B893">
        <v>8</v>
      </c>
      <c r="C893" t="str">
        <f t="shared" si="26"/>
        <v>8/01/2019</v>
      </c>
      <c r="D893" s="1" t="str">
        <f t="shared" si="27"/>
        <v>8/01/2019</v>
      </c>
      <c r="E893" t="s">
        <v>37</v>
      </c>
      <c r="F893" t="s">
        <v>54</v>
      </c>
      <c r="G893" t="s">
        <v>41</v>
      </c>
      <c r="H893">
        <v>16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S893">
        <v>0</v>
      </c>
      <c r="T893">
        <v>0</v>
      </c>
      <c r="U893">
        <v>0</v>
      </c>
      <c r="V893">
        <v>0</v>
      </c>
      <c r="W893" s="1">
        <v>44160</v>
      </c>
      <c r="Z893" t="s">
        <v>40</v>
      </c>
      <c r="AA893" t="s">
        <v>40</v>
      </c>
      <c r="AI893" t="s">
        <v>40</v>
      </c>
    </row>
    <row r="894" spans="1:37" x14ac:dyDescent="0.3">
      <c r="A894">
        <v>2019</v>
      </c>
      <c r="B894">
        <v>8</v>
      </c>
      <c r="C894" t="str">
        <f t="shared" si="26"/>
        <v>8/01/2019</v>
      </c>
      <c r="D894" s="1" t="str">
        <f t="shared" si="27"/>
        <v>8/01/2019</v>
      </c>
      <c r="E894" t="s">
        <v>37</v>
      </c>
      <c r="F894" t="s">
        <v>54</v>
      </c>
      <c r="G894" t="s">
        <v>42</v>
      </c>
      <c r="H894">
        <v>29</v>
      </c>
      <c r="I894">
        <v>14</v>
      </c>
      <c r="J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U894">
        <v>0</v>
      </c>
      <c r="V894">
        <v>0</v>
      </c>
      <c r="W894" s="1">
        <v>44160</v>
      </c>
      <c r="AB894" t="s">
        <v>40</v>
      </c>
      <c r="AJ894" t="s">
        <v>40</v>
      </c>
      <c r="AK894" t="s">
        <v>40</v>
      </c>
    </row>
    <row r="895" spans="1:37" x14ac:dyDescent="0.3">
      <c r="A895">
        <v>2019</v>
      </c>
      <c r="B895">
        <v>8</v>
      </c>
      <c r="C895" t="str">
        <f t="shared" si="26"/>
        <v>8/01/2019</v>
      </c>
      <c r="D895" s="1" t="str">
        <f t="shared" si="27"/>
        <v>8/01/2019</v>
      </c>
      <c r="E895" t="s">
        <v>37</v>
      </c>
      <c r="F895" t="s">
        <v>54</v>
      </c>
      <c r="G895" t="s">
        <v>43</v>
      </c>
      <c r="H895">
        <v>44</v>
      </c>
      <c r="I895">
        <v>33</v>
      </c>
      <c r="J895">
        <v>0</v>
      </c>
      <c r="K895">
        <v>11</v>
      </c>
      <c r="L895">
        <v>0</v>
      </c>
      <c r="M895">
        <v>0</v>
      </c>
      <c r="N895">
        <v>0</v>
      </c>
      <c r="O895">
        <v>0</v>
      </c>
      <c r="P895">
        <v>0</v>
      </c>
      <c r="R895">
        <v>0</v>
      </c>
      <c r="U895">
        <v>0</v>
      </c>
      <c r="V895">
        <v>0</v>
      </c>
      <c r="W895" s="1">
        <v>44160</v>
      </c>
      <c r="AH895" t="s">
        <v>40</v>
      </c>
      <c r="AJ895" t="s">
        <v>40</v>
      </c>
      <c r="AK895" t="s">
        <v>40</v>
      </c>
    </row>
    <row r="896" spans="1:37" x14ac:dyDescent="0.3">
      <c r="A896">
        <v>2019</v>
      </c>
      <c r="B896">
        <v>8</v>
      </c>
      <c r="C896" t="str">
        <f t="shared" si="26"/>
        <v>8/01/2019</v>
      </c>
      <c r="D896" s="1" t="str">
        <f t="shared" si="27"/>
        <v>8/01/2019</v>
      </c>
      <c r="E896" t="s">
        <v>37</v>
      </c>
      <c r="F896" t="s">
        <v>54</v>
      </c>
      <c r="G896" t="s">
        <v>44</v>
      </c>
      <c r="H896">
        <v>48</v>
      </c>
      <c r="I896">
        <v>39</v>
      </c>
      <c r="J896">
        <v>0</v>
      </c>
      <c r="K896">
        <v>16</v>
      </c>
      <c r="M896">
        <v>0</v>
      </c>
      <c r="P896">
        <v>0</v>
      </c>
      <c r="Q896">
        <v>0</v>
      </c>
      <c r="R896">
        <v>0</v>
      </c>
      <c r="U896">
        <v>0</v>
      </c>
      <c r="V896">
        <v>0</v>
      </c>
      <c r="W896" s="1">
        <v>44160</v>
      </c>
      <c r="AC896" t="s">
        <v>40</v>
      </c>
      <c r="AE896" t="s">
        <v>40</v>
      </c>
      <c r="AF896" t="s">
        <v>40</v>
      </c>
      <c r="AJ896" t="s">
        <v>40</v>
      </c>
      <c r="AK896" t="s">
        <v>40</v>
      </c>
    </row>
    <row r="897" spans="1:37" x14ac:dyDescent="0.3">
      <c r="A897">
        <v>2019</v>
      </c>
      <c r="B897">
        <v>8</v>
      </c>
      <c r="C897" t="str">
        <f t="shared" si="26"/>
        <v>8/01/2019</v>
      </c>
      <c r="D897" s="1" t="str">
        <f t="shared" si="27"/>
        <v>8/01/2019</v>
      </c>
      <c r="E897" t="s">
        <v>37</v>
      </c>
      <c r="F897" t="s">
        <v>54</v>
      </c>
      <c r="G897" t="s">
        <v>45</v>
      </c>
      <c r="J897">
        <v>0</v>
      </c>
      <c r="L897">
        <v>0</v>
      </c>
      <c r="M897">
        <v>0</v>
      </c>
      <c r="N897">
        <v>0</v>
      </c>
      <c r="Q897">
        <v>0</v>
      </c>
      <c r="R897">
        <v>0</v>
      </c>
      <c r="T897">
        <v>0</v>
      </c>
      <c r="U897">
        <v>0</v>
      </c>
      <c r="V897">
        <v>0</v>
      </c>
      <c r="W897" s="1">
        <v>44160</v>
      </c>
      <c r="Y897" t="s">
        <v>40</v>
      </c>
      <c r="Z897" t="s">
        <v>40</v>
      </c>
      <c r="AB897" t="s">
        <v>40</v>
      </c>
      <c r="AF897" t="s">
        <v>40</v>
      </c>
      <c r="AG897" t="s">
        <v>40</v>
      </c>
      <c r="AJ897" t="s">
        <v>40</v>
      </c>
    </row>
    <row r="898" spans="1:37" x14ac:dyDescent="0.3">
      <c r="A898">
        <v>2019</v>
      </c>
      <c r="B898">
        <v>8</v>
      </c>
      <c r="C898" t="str">
        <f t="shared" si="26"/>
        <v>8/01/2019</v>
      </c>
      <c r="D898" s="1" t="str">
        <f t="shared" si="27"/>
        <v>8/01/2019</v>
      </c>
      <c r="E898" t="s">
        <v>37</v>
      </c>
      <c r="F898" t="s">
        <v>54</v>
      </c>
      <c r="G898" t="s">
        <v>46</v>
      </c>
      <c r="H898">
        <v>119</v>
      </c>
      <c r="I898">
        <v>108</v>
      </c>
      <c r="K898">
        <v>37</v>
      </c>
      <c r="M898">
        <v>0</v>
      </c>
      <c r="S898">
        <v>26</v>
      </c>
      <c r="U898">
        <v>0</v>
      </c>
      <c r="V898">
        <v>0</v>
      </c>
      <c r="W898" s="1">
        <v>44160</v>
      </c>
      <c r="AA898" t="s">
        <v>40</v>
      </c>
      <c r="AC898" t="s">
        <v>40</v>
      </c>
      <c r="AE898" t="s">
        <v>40</v>
      </c>
      <c r="AF898" t="s">
        <v>40</v>
      </c>
      <c r="AG898" t="s">
        <v>40</v>
      </c>
      <c r="AH898" t="s">
        <v>40</v>
      </c>
      <c r="AI898" t="s">
        <v>40</v>
      </c>
      <c r="AK898" t="s">
        <v>40</v>
      </c>
    </row>
    <row r="899" spans="1:37" x14ac:dyDescent="0.3">
      <c r="A899">
        <v>2019</v>
      </c>
      <c r="B899">
        <v>8</v>
      </c>
      <c r="C899" t="str">
        <f t="shared" ref="C899:C962" si="28">CONCATENATE(B899,"/01/",A899)</f>
        <v>8/01/2019</v>
      </c>
      <c r="D899" s="1" t="str">
        <f t="shared" ref="D899:D962" si="29">C899</f>
        <v>8/01/2019</v>
      </c>
      <c r="E899" t="s">
        <v>37</v>
      </c>
      <c r="F899" t="s">
        <v>54</v>
      </c>
      <c r="G899" t="s">
        <v>47</v>
      </c>
      <c r="H899">
        <v>158</v>
      </c>
      <c r="I899">
        <v>154</v>
      </c>
      <c r="K899">
        <v>44</v>
      </c>
      <c r="S899">
        <v>34</v>
      </c>
      <c r="T899">
        <v>11</v>
      </c>
      <c r="U899">
        <v>0</v>
      </c>
      <c r="V899">
        <v>0</v>
      </c>
      <c r="W899" s="1">
        <v>44160</v>
      </c>
      <c r="AA899" t="s">
        <v>40</v>
      </c>
      <c r="AC899" t="s">
        <v>40</v>
      </c>
      <c r="AD899" t="s">
        <v>40</v>
      </c>
      <c r="AE899" t="s">
        <v>40</v>
      </c>
      <c r="AF899" t="s">
        <v>40</v>
      </c>
      <c r="AG899" t="s">
        <v>40</v>
      </c>
      <c r="AH899" t="s">
        <v>40</v>
      </c>
      <c r="AI899" t="s">
        <v>40</v>
      </c>
    </row>
    <row r="900" spans="1:37" x14ac:dyDescent="0.3">
      <c r="A900">
        <v>2019</v>
      </c>
      <c r="B900">
        <v>8</v>
      </c>
      <c r="C900" t="str">
        <f t="shared" si="28"/>
        <v>8/01/2019</v>
      </c>
      <c r="D900" s="1" t="str">
        <f t="shared" si="29"/>
        <v>8/01/2019</v>
      </c>
      <c r="E900" t="s">
        <v>37</v>
      </c>
      <c r="F900" t="s">
        <v>54</v>
      </c>
      <c r="G900" t="s">
        <v>48</v>
      </c>
      <c r="H900">
        <v>167</v>
      </c>
      <c r="I900">
        <v>158</v>
      </c>
      <c r="K900">
        <v>39</v>
      </c>
      <c r="O900">
        <v>11</v>
      </c>
      <c r="S900">
        <v>36</v>
      </c>
      <c r="T900">
        <v>14</v>
      </c>
      <c r="U900">
        <v>0</v>
      </c>
      <c r="V900">
        <v>0</v>
      </c>
      <c r="W900" s="1">
        <v>44160</v>
      </c>
      <c r="AA900" t="s">
        <v>40</v>
      </c>
      <c r="AC900" t="s">
        <v>40</v>
      </c>
      <c r="AD900" t="s">
        <v>40</v>
      </c>
      <c r="AE900" t="s">
        <v>40</v>
      </c>
      <c r="AG900" t="s">
        <v>40</v>
      </c>
      <c r="AH900" t="s">
        <v>40</v>
      </c>
      <c r="AI900" t="s">
        <v>40</v>
      </c>
    </row>
    <row r="901" spans="1:37" x14ac:dyDescent="0.3">
      <c r="A901">
        <v>2019</v>
      </c>
      <c r="B901">
        <v>8</v>
      </c>
      <c r="C901" t="str">
        <f t="shared" si="28"/>
        <v>8/01/2019</v>
      </c>
      <c r="D901" s="1" t="str">
        <f t="shared" si="29"/>
        <v>8/01/2019</v>
      </c>
      <c r="E901" t="s">
        <v>37</v>
      </c>
      <c r="F901" t="s">
        <v>54</v>
      </c>
      <c r="G901" t="s">
        <v>49</v>
      </c>
      <c r="H901">
        <v>150</v>
      </c>
      <c r="I901">
        <v>148</v>
      </c>
      <c r="K901">
        <v>13</v>
      </c>
      <c r="M901">
        <v>16</v>
      </c>
      <c r="S901">
        <v>45</v>
      </c>
      <c r="T901">
        <v>16</v>
      </c>
      <c r="U901">
        <v>0</v>
      </c>
      <c r="V901">
        <v>0</v>
      </c>
      <c r="W901" s="1">
        <v>44160</v>
      </c>
      <c r="AA901" t="s">
        <v>40</v>
      </c>
      <c r="AC901" t="s">
        <v>40</v>
      </c>
      <c r="AE901" t="s">
        <v>40</v>
      </c>
      <c r="AF901" t="s">
        <v>40</v>
      </c>
      <c r="AG901" t="s">
        <v>40</v>
      </c>
      <c r="AH901" t="s">
        <v>40</v>
      </c>
      <c r="AI901" t="s">
        <v>40</v>
      </c>
    </row>
    <row r="902" spans="1:37" x14ac:dyDescent="0.3">
      <c r="A902">
        <v>2019</v>
      </c>
      <c r="B902">
        <v>8</v>
      </c>
      <c r="C902" t="str">
        <f t="shared" si="28"/>
        <v>8/01/2019</v>
      </c>
      <c r="D902" s="1" t="str">
        <f t="shared" si="29"/>
        <v>8/01/2019</v>
      </c>
      <c r="E902" t="s">
        <v>55</v>
      </c>
      <c r="F902" t="s">
        <v>38</v>
      </c>
      <c r="G902" t="s">
        <v>39</v>
      </c>
      <c r="H902">
        <v>253</v>
      </c>
      <c r="I902">
        <v>224</v>
      </c>
      <c r="L902">
        <v>0</v>
      </c>
      <c r="M902">
        <v>0</v>
      </c>
      <c r="O902">
        <v>0</v>
      </c>
      <c r="Q902">
        <v>0</v>
      </c>
      <c r="R902">
        <v>22</v>
      </c>
      <c r="U902">
        <v>0</v>
      </c>
      <c r="V902">
        <v>0</v>
      </c>
      <c r="W902" s="1">
        <v>44160</v>
      </c>
      <c r="AA902" t="s">
        <v>40</v>
      </c>
      <c r="AB902" t="s">
        <v>40</v>
      </c>
      <c r="AE902" t="s">
        <v>40</v>
      </c>
      <c r="AG902" t="s">
        <v>40</v>
      </c>
      <c r="AJ902" t="s">
        <v>40</v>
      </c>
      <c r="AK902" t="s">
        <v>40</v>
      </c>
    </row>
    <row r="903" spans="1:37" x14ac:dyDescent="0.3">
      <c r="A903">
        <v>2019</v>
      </c>
      <c r="B903">
        <v>8</v>
      </c>
      <c r="C903" t="str">
        <f t="shared" si="28"/>
        <v>8/01/2019</v>
      </c>
      <c r="D903" s="1" t="str">
        <f t="shared" si="29"/>
        <v>8/01/2019</v>
      </c>
      <c r="E903" t="s">
        <v>55</v>
      </c>
      <c r="F903" t="s">
        <v>38</v>
      </c>
      <c r="G903" t="s">
        <v>41</v>
      </c>
      <c r="H903">
        <v>391</v>
      </c>
      <c r="I903">
        <v>86</v>
      </c>
      <c r="J903">
        <v>0</v>
      </c>
      <c r="K903">
        <v>27</v>
      </c>
      <c r="M903">
        <v>0</v>
      </c>
      <c r="P903">
        <v>0</v>
      </c>
      <c r="S903">
        <v>11</v>
      </c>
      <c r="U903">
        <v>0</v>
      </c>
      <c r="V903">
        <v>0</v>
      </c>
      <c r="W903" s="1">
        <v>44160</v>
      </c>
      <c r="AC903" t="s">
        <v>40</v>
      </c>
      <c r="AE903" t="s">
        <v>40</v>
      </c>
      <c r="AF903" t="s">
        <v>40</v>
      </c>
      <c r="AH903" t="s">
        <v>40</v>
      </c>
      <c r="AI903" t="s">
        <v>40</v>
      </c>
      <c r="AK903" t="s">
        <v>40</v>
      </c>
    </row>
    <row r="904" spans="1:37" x14ac:dyDescent="0.3">
      <c r="A904">
        <v>2019</v>
      </c>
      <c r="B904">
        <v>8</v>
      </c>
      <c r="C904" t="str">
        <f t="shared" si="28"/>
        <v>8/01/2019</v>
      </c>
      <c r="D904" s="1" t="str">
        <f t="shared" si="29"/>
        <v>8/01/2019</v>
      </c>
      <c r="E904" t="s">
        <v>55</v>
      </c>
      <c r="F904" t="s">
        <v>38</v>
      </c>
      <c r="G904" t="s">
        <v>42</v>
      </c>
      <c r="H904">
        <v>623</v>
      </c>
      <c r="I904">
        <v>174</v>
      </c>
      <c r="K904">
        <v>29</v>
      </c>
      <c r="L904">
        <v>10</v>
      </c>
      <c r="M904">
        <v>0</v>
      </c>
      <c r="S904">
        <v>38</v>
      </c>
      <c r="U904">
        <v>0</v>
      </c>
      <c r="V904">
        <v>0</v>
      </c>
      <c r="W904" s="1">
        <v>44160</v>
      </c>
      <c r="AA904" t="s">
        <v>40</v>
      </c>
      <c r="AE904" t="s">
        <v>40</v>
      </c>
      <c r="AF904" t="s">
        <v>40</v>
      </c>
      <c r="AG904" t="s">
        <v>40</v>
      </c>
      <c r="AH904" t="s">
        <v>40</v>
      </c>
      <c r="AI904" t="s">
        <v>40</v>
      </c>
      <c r="AK904" t="s">
        <v>40</v>
      </c>
    </row>
    <row r="905" spans="1:37" x14ac:dyDescent="0.3">
      <c r="A905">
        <v>2019</v>
      </c>
      <c r="B905">
        <v>8</v>
      </c>
      <c r="C905" t="str">
        <f t="shared" si="28"/>
        <v>8/01/2019</v>
      </c>
      <c r="D905" s="1" t="str">
        <f t="shared" si="29"/>
        <v>8/01/2019</v>
      </c>
      <c r="E905" t="s">
        <v>55</v>
      </c>
      <c r="F905" t="s">
        <v>38</v>
      </c>
      <c r="G905" t="s">
        <v>43</v>
      </c>
      <c r="H905">
        <v>745</v>
      </c>
      <c r="I905">
        <v>361</v>
      </c>
      <c r="K905">
        <v>74</v>
      </c>
      <c r="L905">
        <v>13</v>
      </c>
      <c r="M905">
        <v>0</v>
      </c>
      <c r="S905">
        <v>87</v>
      </c>
      <c r="T905">
        <v>15</v>
      </c>
      <c r="U905">
        <v>0</v>
      </c>
      <c r="V905">
        <v>0</v>
      </c>
      <c r="W905" s="1">
        <v>44160</v>
      </c>
      <c r="AA905" t="s">
        <v>40</v>
      </c>
      <c r="AE905" t="s">
        <v>40</v>
      </c>
      <c r="AF905" t="s">
        <v>40</v>
      </c>
      <c r="AG905" t="s">
        <v>40</v>
      </c>
      <c r="AH905" t="s">
        <v>40</v>
      </c>
      <c r="AI905" t="s">
        <v>40</v>
      </c>
    </row>
    <row r="906" spans="1:37" x14ac:dyDescent="0.3">
      <c r="A906">
        <v>2019</v>
      </c>
      <c r="B906">
        <v>8</v>
      </c>
      <c r="C906" t="str">
        <f t="shared" si="28"/>
        <v>8/01/2019</v>
      </c>
      <c r="D906" s="1" t="str">
        <f t="shared" si="29"/>
        <v>8/01/2019</v>
      </c>
      <c r="E906" t="s">
        <v>55</v>
      </c>
      <c r="F906" t="s">
        <v>38</v>
      </c>
      <c r="G906" t="s">
        <v>44</v>
      </c>
      <c r="H906" s="2">
        <v>1060</v>
      </c>
      <c r="I906">
        <v>784</v>
      </c>
      <c r="J906">
        <v>10</v>
      </c>
      <c r="K906">
        <v>172</v>
      </c>
      <c r="L906">
        <v>48</v>
      </c>
      <c r="M906">
        <v>0</v>
      </c>
      <c r="N906">
        <v>14</v>
      </c>
      <c r="Q906">
        <v>13</v>
      </c>
      <c r="R906">
        <v>17</v>
      </c>
      <c r="S906">
        <v>200</v>
      </c>
      <c r="T906">
        <v>41</v>
      </c>
      <c r="U906">
        <v>0</v>
      </c>
      <c r="V906">
        <v>0</v>
      </c>
      <c r="W906" s="1">
        <v>44160</v>
      </c>
      <c r="AF906" t="s">
        <v>40</v>
      </c>
      <c r="AG906" t="s">
        <v>40</v>
      </c>
    </row>
    <row r="907" spans="1:37" x14ac:dyDescent="0.3">
      <c r="A907">
        <v>2019</v>
      </c>
      <c r="B907">
        <v>8</v>
      </c>
      <c r="C907" t="str">
        <f t="shared" si="28"/>
        <v>8/01/2019</v>
      </c>
      <c r="D907" s="1" t="str">
        <f t="shared" si="29"/>
        <v>8/01/2019</v>
      </c>
      <c r="E907" t="s">
        <v>55</v>
      </c>
      <c r="F907" t="s">
        <v>38</v>
      </c>
      <c r="G907" t="s">
        <v>45</v>
      </c>
      <c r="H907">
        <v>47</v>
      </c>
      <c r="I907">
        <v>26</v>
      </c>
      <c r="M907">
        <v>0</v>
      </c>
      <c r="O907">
        <v>0</v>
      </c>
      <c r="Q907">
        <v>0</v>
      </c>
      <c r="S907">
        <v>0</v>
      </c>
      <c r="U907">
        <v>0</v>
      </c>
      <c r="V907">
        <v>0</v>
      </c>
      <c r="W907" s="1">
        <v>44160</v>
      </c>
      <c r="AA907" t="s">
        <v>40</v>
      </c>
      <c r="AB907" t="s">
        <v>40</v>
      </c>
      <c r="AC907" t="s">
        <v>40</v>
      </c>
      <c r="AE907" t="s">
        <v>40</v>
      </c>
      <c r="AG907" t="s">
        <v>40</v>
      </c>
      <c r="AI907" t="s">
        <v>40</v>
      </c>
      <c r="AK907" t="s">
        <v>40</v>
      </c>
    </row>
    <row r="908" spans="1:37" x14ac:dyDescent="0.3">
      <c r="A908">
        <v>2019</v>
      </c>
      <c r="B908">
        <v>8</v>
      </c>
      <c r="C908" t="str">
        <f t="shared" si="28"/>
        <v>8/01/2019</v>
      </c>
      <c r="D908" s="1" t="str">
        <f t="shared" si="29"/>
        <v>8/01/2019</v>
      </c>
      <c r="E908" t="s">
        <v>55</v>
      </c>
      <c r="F908" t="s">
        <v>38</v>
      </c>
      <c r="G908" t="s">
        <v>46</v>
      </c>
      <c r="H908" s="2">
        <v>1651</v>
      </c>
      <c r="I908" s="2">
        <v>1434</v>
      </c>
      <c r="J908">
        <v>18</v>
      </c>
      <c r="K908">
        <v>447</v>
      </c>
      <c r="L908">
        <v>90</v>
      </c>
      <c r="O908">
        <v>20</v>
      </c>
      <c r="P908">
        <v>11</v>
      </c>
      <c r="Q908">
        <v>32</v>
      </c>
      <c r="R908">
        <v>16</v>
      </c>
      <c r="S908">
        <v>358</v>
      </c>
      <c r="T908">
        <v>62</v>
      </c>
      <c r="U908">
        <v>0</v>
      </c>
      <c r="V908">
        <v>0</v>
      </c>
      <c r="W908" s="1">
        <v>44160</v>
      </c>
      <c r="AD908" t="s">
        <v>40</v>
      </c>
      <c r="AE908" t="s">
        <v>40</v>
      </c>
    </row>
    <row r="909" spans="1:37" x14ac:dyDescent="0.3">
      <c r="A909">
        <v>2019</v>
      </c>
      <c r="B909">
        <v>8</v>
      </c>
      <c r="C909" t="str">
        <f t="shared" si="28"/>
        <v>8/01/2019</v>
      </c>
      <c r="D909" s="1" t="str">
        <f t="shared" si="29"/>
        <v>8/01/2019</v>
      </c>
      <c r="E909" t="s">
        <v>55</v>
      </c>
      <c r="F909" t="s">
        <v>38</v>
      </c>
      <c r="G909" t="s">
        <v>47</v>
      </c>
      <c r="H909" s="2">
        <v>1760</v>
      </c>
      <c r="I909" s="2">
        <v>1648</v>
      </c>
      <c r="J909">
        <v>22</v>
      </c>
      <c r="K909">
        <v>512</v>
      </c>
      <c r="L909">
        <v>126</v>
      </c>
      <c r="M909">
        <v>19</v>
      </c>
      <c r="N909">
        <v>28</v>
      </c>
      <c r="O909">
        <v>48</v>
      </c>
      <c r="P909">
        <v>29</v>
      </c>
      <c r="Q909">
        <v>62</v>
      </c>
      <c r="R909">
        <v>12</v>
      </c>
      <c r="S909">
        <v>373</v>
      </c>
      <c r="T909">
        <v>88</v>
      </c>
      <c r="U909">
        <v>0</v>
      </c>
      <c r="V909">
        <v>0</v>
      </c>
      <c r="W909" s="1">
        <v>44160</v>
      </c>
    </row>
    <row r="910" spans="1:37" x14ac:dyDescent="0.3">
      <c r="A910">
        <v>2019</v>
      </c>
      <c r="B910">
        <v>8</v>
      </c>
      <c r="C910" t="str">
        <f t="shared" si="28"/>
        <v>8/01/2019</v>
      </c>
      <c r="D910" s="1" t="str">
        <f t="shared" si="29"/>
        <v>8/01/2019</v>
      </c>
      <c r="E910" t="s">
        <v>55</v>
      </c>
      <c r="F910" t="s">
        <v>38</v>
      </c>
      <c r="G910" t="s">
        <v>48</v>
      </c>
      <c r="H910" s="2">
        <v>1669</v>
      </c>
      <c r="I910" s="2">
        <v>1616</v>
      </c>
      <c r="J910">
        <v>24</v>
      </c>
      <c r="K910">
        <v>433</v>
      </c>
      <c r="L910">
        <v>82</v>
      </c>
      <c r="M910">
        <v>69</v>
      </c>
      <c r="N910">
        <v>26</v>
      </c>
      <c r="O910">
        <v>59</v>
      </c>
      <c r="P910">
        <v>30</v>
      </c>
      <c r="Q910">
        <v>47</v>
      </c>
      <c r="R910">
        <v>10</v>
      </c>
      <c r="S910">
        <v>404</v>
      </c>
      <c r="T910">
        <v>101</v>
      </c>
      <c r="U910">
        <v>0</v>
      </c>
      <c r="V910">
        <v>0</v>
      </c>
      <c r="W910" s="1">
        <v>44160</v>
      </c>
    </row>
    <row r="911" spans="1:37" x14ac:dyDescent="0.3">
      <c r="A911">
        <v>2019</v>
      </c>
      <c r="B911">
        <v>8</v>
      </c>
      <c r="C911" t="str">
        <f t="shared" si="28"/>
        <v>8/01/2019</v>
      </c>
      <c r="D911" s="1" t="str">
        <f t="shared" si="29"/>
        <v>8/01/2019</v>
      </c>
      <c r="E911" t="s">
        <v>55</v>
      </c>
      <c r="F911" t="s">
        <v>38</v>
      </c>
      <c r="G911" t="s">
        <v>49</v>
      </c>
      <c r="H911" s="2">
        <v>1529</v>
      </c>
      <c r="I911" s="2">
        <v>1476</v>
      </c>
      <c r="J911">
        <v>14</v>
      </c>
      <c r="K911">
        <v>259</v>
      </c>
      <c r="L911">
        <v>47</v>
      </c>
      <c r="M911">
        <v>131</v>
      </c>
      <c r="N911">
        <v>32</v>
      </c>
      <c r="O911">
        <v>68</v>
      </c>
      <c r="P911">
        <v>25</v>
      </c>
      <c r="Q911">
        <v>29</v>
      </c>
      <c r="S911">
        <v>417</v>
      </c>
      <c r="T911">
        <v>126</v>
      </c>
      <c r="U911">
        <v>0</v>
      </c>
      <c r="V911">
        <v>0</v>
      </c>
      <c r="W911" s="1">
        <v>44160</v>
      </c>
      <c r="AI911" t="s">
        <v>40</v>
      </c>
    </row>
    <row r="912" spans="1:37" x14ac:dyDescent="0.3">
      <c r="A912">
        <v>2019</v>
      </c>
      <c r="B912">
        <v>8</v>
      </c>
      <c r="C912" t="str">
        <f t="shared" si="28"/>
        <v>8/01/2019</v>
      </c>
      <c r="D912" s="1" t="str">
        <f t="shared" si="29"/>
        <v>8/01/2019</v>
      </c>
      <c r="E912" t="s">
        <v>55</v>
      </c>
      <c r="F912" t="s">
        <v>50</v>
      </c>
      <c r="G912" t="s">
        <v>39</v>
      </c>
      <c r="H912">
        <v>12</v>
      </c>
      <c r="J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T912">
        <v>0</v>
      </c>
      <c r="U912">
        <v>0</v>
      </c>
      <c r="V912">
        <v>0</v>
      </c>
      <c r="W912" s="1">
        <v>44160</v>
      </c>
      <c r="Z912" t="s">
        <v>40</v>
      </c>
      <c r="AB912" t="s">
        <v>40</v>
      </c>
      <c r="AI912" t="s">
        <v>40</v>
      </c>
      <c r="AJ912" t="s">
        <v>40</v>
      </c>
    </row>
    <row r="913" spans="1:37" x14ac:dyDescent="0.3">
      <c r="A913">
        <v>2019</v>
      </c>
      <c r="B913">
        <v>8</v>
      </c>
      <c r="C913" t="str">
        <f t="shared" si="28"/>
        <v>8/01/2019</v>
      </c>
      <c r="D913" s="1" t="str">
        <f t="shared" si="29"/>
        <v>8/01/2019</v>
      </c>
      <c r="E913" t="s">
        <v>55</v>
      </c>
      <c r="F913" t="s">
        <v>50</v>
      </c>
      <c r="G913" t="s">
        <v>41</v>
      </c>
      <c r="H913">
        <v>25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T913">
        <v>0</v>
      </c>
      <c r="U913">
        <v>0</v>
      </c>
      <c r="V913">
        <v>0</v>
      </c>
      <c r="W913" s="1">
        <v>44160</v>
      </c>
      <c r="Z913" t="s">
        <v>40</v>
      </c>
      <c r="AJ913" t="s">
        <v>40</v>
      </c>
    </row>
    <row r="914" spans="1:37" x14ac:dyDescent="0.3">
      <c r="A914">
        <v>2019</v>
      </c>
      <c r="B914">
        <v>8</v>
      </c>
      <c r="C914" t="str">
        <f t="shared" si="28"/>
        <v>8/01/2019</v>
      </c>
      <c r="D914" s="1" t="str">
        <f t="shared" si="29"/>
        <v>8/01/2019</v>
      </c>
      <c r="E914" t="s">
        <v>55</v>
      </c>
      <c r="F914" t="s">
        <v>50</v>
      </c>
      <c r="G914" t="s">
        <v>42</v>
      </c>
      <c r="H914">
        <v>69</v>
      </c>
      <c r="I914">
        <v>20</v>
      </c>
      <c r="J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U914">
        <v>0</v>
      </c>
      <c r="V914">
        <v>0</v>
      </c>
      <c r="W914" s="1">
        <v>44160</v>
      </c>
      <c r="AB914" t="s">
        <v>40</v>
      </c>
      <c r="AC914" t="s">
        <v>40</v>
      </c>
      <c r="AI914" t="s">
        <v>40</v>
      </c>
      <c r="AJ914" t="s">
        <v>40</v>
      </c>
      <c r="AK914" t="s">
        <v>40</v>
      </c>
    </row>
    <row r="915" spans="1:37" x14ac:dyDescent="0.3">
      <c r="A915">
        <v>2019</v>
      </c>
      <c r="B915">
        <v>8</v>
      </c>
      <c r="C915" t="str">
        <f t="shared" si="28"/>
        <v>8/01/2019</v>
      </c>
      <c r="D915" s="1" t="str">
        <f t="shared" si="29"/>
        <v>8/01/2019</v>
      </c>
      <c r="E915" t="s">
        <v>55</v>
      </c>
      <c r="F915" t="s">
        <v>50</v>
      </c>
      <c r="G915" t="s">
        <v>43</v>
      </c>
      <c r="H915">
        <v>65</v>
      </c>
      <c r="I915">
        <v>29</v>
      </c>
      <c r="L915">
        <v>0</v>
      </c>
      <c r="M915">
        <v>0</v>
      </c>
      <c r="N915">
        <v>0</v>
      </c>
      <c r="O915">
        <v>0</v>
      </c>
      <c r="P915">
        <v>0</v>
      </c>
      <c r="T915">
        <v>0</v>
      </c>
      <c r="U915">
        <v>0</v>
      </c>
      <c r="V915">
        <v>0</v>
      </c>
      <c r="W915" s="1">
        <v>44160</v>
      </c>
      <c r="AA915" t="s">
        <v>40</v>
      </c>
      <c r="AB915" t="s">
        <v>40</v>
      </c>
      <c r="AH915" t="s">
        <v>40</v>
      </c>
      <c r="AI915" t="s">
        <v>40</v>
      </c>
      <c r="AJ915" t="s">
        <v>40</v>
      </c>
    </row>
    <row r="916" spans="1:37" x14ac:dyDescent="0.3">
      <c r="A916">
        <v>2019</v>
      </c>
      <c r="B916">
        <v>8</v>
      </c>
      <c r="C916" t="str">
        <f t="shared" si="28"/>
        <v>8/01/2019</v>
      </c>
      <c r="D916" s="1" t="str">
        <f t="shared" si="29"/>
        <v>8/01/2019</v>
      </c>
      <c r="E916" t="s">
        <v>55</v>
      </c>
      <c r="F916" t="s">
        <v>50</v>
      </c>
      <c r="G916" t="s">
        <v>44</v>
      </c>
      <c r="H916">
        <v>100</v>
      </c>
      <c r="I916">
        <v>79</v>
      </c>
      <c r="M916">
        <v>0</v>
      </c>
      <c r="N916">
        <v>0</v>
      </c>
      <c r="O916">
        <v>0</v>
      </c>
      <c r="S916">
        <v>17</v>
      </c>
      <c r="U916">
        <v>0</v>
      </c>
      <c r="V916">
        <v>0</v>
      </c>
      <c r="W916" s="1">
        <v>44160</v>
      </c>
      <c r="AA916" t="s">
        <v>40</v>
      </c>
      <c r="AB916" t="s">
        <v>40</v>
      </c>
      <c r="AC916" t="s">
        <v>40</v>
      </c>
      <c r="AG916" t="s">
        <v>40</v>
      </c>
      <c r="AH916" t="s">
        <v>40</v>
      </c>
      <c r="AI916" t="s">
        <v>40</v>
      </c>
      <c r="AK916" t="s">
        <v>40</v>
      </c>
    </row>
    <row r="917" spans="1:37" x14ac:dyDescent="0.3">
      <c r="A917">
        <v>2019</v>
      </c>
      <c r="B917">
        <v>8</v>
      </c>
      <c r="C917" t="str">
        <f t="shared" si="28"/>
        <v>8/01/2019</v>
      </c>
      <c r="D917" s="1" t="str">
        <f t="shared" si="29"/>
        <v>8/01/2019</v>
      </c>
      <c r="E917" t="s">
        <v>55</v>
      </c>
      <c r="F917" t="s">
        <v>50</v>
      </c>
      <c r="G917" t="s">
        <v>45</v>
      </c>
      <c r="J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 s="1">
        <v>44160</v>
      </c>
      <c r="Y917" t="s">
        <v>40</v>
      </c>
      <c r="Z917" t="s">
        <v>40</v>
      </c>
      <c r="AB917" t="s">
        <v>40</v>
      </c>
    </row>
    <row r="918" spans="1:37" x14ac:dyDescent="0.3">
      <c r="A918">
        <v>2019</v>
      </c>
      <c r="B918">
        <v>8</v>
      </c>
      <c r="C918" t="str">
        <f t="shared" si="28"/>
        <v>8/01/2019</v>
      </c>
      <c r="D918" s="1" t="str">
        <f t="shared" si="29"/>
        <v>8/01/2019</v>
      </c>
      <c r="E918" t="s">
        <v>55</v>
      </c>
      <c r="F918" t="s">
        <v>50</v>
      </c>
      <c r="G918" t="s">
        <v>46</v>
      </c>
      <c r="H918">
        <v>132</v>
      </c>
      <c r="I918">
        <v>109</v>
      </c>
      <c r="K918">
        <v>24</v>
      </c>
      <c r="M918">
        <v>0</v>
      </c>
      <c r="N918">
        <v>0</v>
      </c>
      <c r="P918">
        <v>0</v>
      </c>
      <c r="S918">
        <v>42</v>
      </c>
      <c r="U918">
        <v>0</v>
      </c>
      <c r="V918">
        <v>0</v>
      </c>
      <c r="W918" s="1">
        <v>44160</v>
      </c>
      <c r="AA918" t="s">
        <v>40</v>
      </c>
      <c r="AC918" t="s">
        <v>40</v>
      </c>
      <c r="AF918" t="s">
        <v>40</v>
      </c>
      <c r="AH918" t="s">
        <v>40</v>
      </c>
      <c r="AI918" t="s">
        <v>40</v>
      </c>
      <c r="AK918" t="s">
        <v>40</v>
      </c>
    </row>
    <row r="919" spans="1:37" x14ac:dyDescent="0.3">
      <c r="A919">
        <v>2019</v>
      </c>
      <c r="B919">
        <v>8</v>
      </c>
      <c r="C919" t="str">
        <f t="shared" si="28"/>
        <v>8/01/2019</v>
      </c>
      <c r="D919" s="1" t="str">
        <f t="shared" si="29"/>
        <v>8/01/2019</v>
      </c>
      <c r="E919" t="s">
        <v>55</v>
      </c>
      <c r="F919" t="s">
        <v>50</v>
      </c>
      <c r="G919" t="s">
        <v>47</v>
      </c>
      <c r="H919">
        <v>147</v>
      </c>
      <c r="I919">
        <v>142</v>
      </c>
      <c r="K919">
        <v>43</v>
      </c>
      <c r="L919">
        <v>11</v>
      </c>
      <c r="N919">
        <v>0</v>
      </c>
      <c r="R919">
        <v>0</v>
      </c>
      <c r="S919">
        <v>34</v>
      </c>
      <c r="T919">
        <v>13</v>
      </c>
      <c r="U919">
        <v>0</v>
      </c>
      <c r="V919">
        <v>0</v>
      </c>
      <c r="W919" s="1">
        <v>44160</v>
      </c>
      <c r="AA919" t="s">
        <v>40</v>
      </c>
      <c r="AD919" t="s">
        <v>40</v>
      </c>
      <c r="AF919" t="s">
        <v>40</v>
      </c>
      <c r="AG919" t="s">
        <v>40</v>
      </c>
      <c r="AH919" t="s">
        <v>40</v>
      </c>
    </row>
    <row r="920" spans="1:37" x14ac:dyDescent="0.3">
      <c r="A920">
        <v>2019</v>
      </c>
      <c r="B920">
        <v>8</v>
      </c>
      <c r="C920" t="str">
        <f t="shared" si="28"/>
        <v>8/01/2019</v>
      </c>
      <c r="D920" s="1" t="str">
        <f t="shared" si="29"/>
        <v>8/01/2019</v>
      </c>
      <c r="E920" t="s">
        <v>55</v>
      </c>
      <c r="F920" t="s">
        <v>50</v>
      </c>
      <c r="G920" t="s">
        <v>48</v>
      </c>
      <c r="H920">
        <v>117</v>
      </c>
      <c r="I920">
        <v>112</v>
      </c>
      <c r="K920">
        <v>24</v>
      </c>
      <c r="M920">
        <v>0</v>
      </c>
      <c r="R920">
        <v>0</v>
      </c>
      <c r="S920">
        <v>40</v>
      </c>
      <c r="U920">
        <v>0</v>
      </c>
      <c r="V920">
        <v>0</v>
      </c>
      <c r="W920" s="1">
        <v>44160</v>
      </c>
      <c r="AA920" t="s">
        <v>40</v>
      </c>
      <c r="AC920" t="s">
        <v>40</v>
      </c>
      <c r="AE920" t="s">
        <v>40</v>
      </c>
      <c r="AF920" t="s">
        <v>40</v>
      </c>
      <c r="AG920" t="s">
        <v>40</v>
      </c>
      <c r="AH920" t="s">
        <v>40</v>
      </c>
      <c r="AK920" t="s">
        <v>40</v>
      </c>
    </row>
    <row r="921" spans="1:37" x14ac:dyDescent="0.3">
      <c r="A921">
        <v>2019</v>
      </c>
      <c r="B921">
        <v>8</v>
      </c>
      <c r="C921" t="str">
        <f t="shared" si="28"/>
        <v>8/01/2019</v>
      </c>
      <c r="D921" s="1" t="str">
        <f t="shared" si="29"/>
        <v>8/01/2019</v>
      </c>
      <c r="E921" t="s">
        <v>55</v>
      </c>
      <c r="F921" t="s">
        <v>50</v>
      </c>
      <c r="G921" t="s">
        <v>49</v>
      </c>
      <c r="H921">
        <v>67</v>
      </c>
      <c r="I921">
        <v>65</v>
      </c>
      <c r="J921">
        <v>0</v>
      </c>
      <c r="K921">
        <v>16</v>
      </c>
      <c r="N921">
        <v>0</v>
      </c>
      <c r="P921">
        <v>0</v>
      </c>
      <c r="R921">
        <v>0</v>
      </c>
      <c r="S921">
        <v>15</v>
      </c>
      <c r="U921">
        <v>0</v>
      </c>
      <c r="V921">
        <v>0</v>
      </c>
      <c r="W921" s="1">
        <v>44160</v>
      </c>
      <c r="AC921" t="s">
        <v>40</v>
      </c>
      <c r="AD921" t="s">
        <v>40</v>
      </c>
      <c r="AF921" t="s">
        <v>40</v>
      </c>
      <c r="AH921" t="s">
        <v>40</v>
      </c>
      <c r="AK921" t="s">
        <v>40</v>
      </c>
    </row>
    <row r="922" spans="1:37" x14ac:dyDescent="0.3">
      <c r="A922">
        <v>2019</v>
      </c>
      <c r="B922">
        <v>8</v>
      </c>
      <c r="C922" t="str">
        <f t="shared" si="28"/>
        <v>8/01/2019</v>
      </c>
      <c r="D922" s="1" t="str">
        <f t="shared" si="29"/>
        <v>8/01/2019</v>
      </c>
      <c r="E922" t="s">
        <v>55</v>
      </c>
      <c r="F922" t="s">
        <v>51</v>
      </c>
      <c r="G922" t="s">
        <v>39</v>
      </c>
      <c r="H922">
        <v>35</v>
      </c>
      <c r="I922">
        <v>29</v>
      </c>
      <c r="L922">
        <v>0</v>
      </c>
      <c r="M922">
        <v>0</v>
      </c>
      <c r="O922">
        <v>0</v>
      </c>
      <c r="P922">
        <v>0</v>
      </c>
      <c r="Q922">
        <v>0</v>
      </c>
      <c r="T922">
        <v>0</v>
      </c>
      <c r="U922">
        <v>0</v>
      </c>
      <c r="V922">
        <v>0</v>
      </c>
      <c r="W922" s="1">
        <v>44160</v>
      </c>
      <c r="AA922" t="s">
        <v>40</v>
      </c>
      <c r="AB922" t="s">
        <v>40</v>
      </c>
      <c r="AE922" t="s">
        <v>40</v>
      </c>
      <c r="AI922" t="s">
        <v>40</v>
      </c>
      <c r="AJ922" t="s">
        <v>40</v>
      </c>
    </row>
    <row r="923" spans="1:37" x14ac:dyDescent="0.3">
      <c r="A923">
        <v>2019</v>
      </c>
      <c r="B923">
        <v>8</v>
      </c>
      <c r="C923" t="str">
        <f t="shared" si="28"/>
        <v>8/01/2019</v>
      </c>
      <c r="D923" s="1" t="str">
        <f t="shared" si="29"/>
        <v>8/01/2019</v>
      </c>
      <c r="E923" t="s">
        <v>55</v>
      </c>
      <c r="F923" t="s">
        <v>51</v>
      </c>
      <c r="G923" t="s">
        <v>41</v>
      </c>
      <c r="H923">
        <v>53</v>
      </c>
      <c r="I923">
        <v>13</v>
      </c>
      <c r="J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T923">
        <v>0</v>
      </c>
      <c r="U923">
        <v>0</v>
      </c>
      <c r="V923">
        <v>0</v>
      </c>
      <c r="W923" s="1">
        <v>44160</v>
      </c>
      <c r="AB923" t="s">
        <v>40</v>
      </c>
      <c r="AI923" t="s">
        <v>40</v>
      </c>
      <c r="AJ923" t="s">
        <v>40</v>
      </c>
    </row>
    <row r="924" spans="1:37" x14ac:dyDescent="0.3">
      <c r="A924">
        <v>2019</v>
      </c>
      <c r="B924">
        <v>8</v>
      </c>
      <c r="C924" t="str">
        <f t="shared" si="28"/>
        <v>8/01/2019</v>
      </c>
      <c r="D924" s="1" t="str">
        <f t="shared" si="29"/>
        <v>8/01/2019</v>
      </c>
      <c r="E924" t="s">
        <v>55</v>
      </c>
      <c r="F924" t="s">
        <v>51</v>
      </c>
      <c r="G924" t="s">
        <v>42</v>
      </c>
      <c r="H924">
        <v>80</v>
      </c>
      <c r="I924">
        <v>17</v>
      </c>
      <c r="J924">
        <v>0</v>
      </c>
      <c r="L924">
        <v>0</v>
      </c>
      <c r="M924">
        <v>0</v>
      </c>
      <c r="O924">
        <v>0</v>
      </c>
      <c r="P924">
        <v>0</v>
      </c>
      <c r="Q924">
        <v>0</v>
      </c>
      <c r="S924">
        <v>0</v>
      </c>
      <c r="U924">
        <v>0</v>
      </c>
      <c r="V924">
        <v>0</v>
      </c>
      <c r="W924" s="1">
        <v>44160</v>
      </c>
      <c r="AB924" t="s">
        <v>40</v>
      </c>
      <c r="AE924" t="s">
        <v>40</v>
      </c>
      <c r="AI924" t="s">
        <v>40</v>
      </c>
      <c r="AK924" t="s">
        <v>40</v>
      </c>
    </row>
    <row r="925" spans="1:37" x14ac:dyDescent="0.3">
      <c r="A925">
        <v>2019</v>
      </c>
      <c r="B925">
        <v>8</v>
      </c>
      <c r="C925" t="str">
        <f t="shared" si="28"/>
        <v>8/01/2019</v>
      </c>
      <c r="D925" s="1" t="str">
        <f t="shared" si="29"/>
        <v>8/01/2019</v>
      </c>
      <c r="E925" t="s">
        <v>55</v>
      </c>
      <c r="F925" t="s">
        <v>51</v>
      </c>
      <c r="G925" t="s">
        <v>43</v>
      </c>
      <c r="H925">
        <v>114</v>
      </c>
      <c r="I925">
        <v>71</v>
      </c>
      <c r="J925">
        <v>0</v>
      </c>
      <c r="K925">
        <v>18</v>
      </c>
      <c r="M925">
        <v>0</v>
      </c>
      <c r="N925">
        <v>0</v>
      </c>
      <c r="O925">
        <v>0</v>
      </c>
      <c r="P925">
        <v>0</v>
      </c>
      <c r="Q925">
        <v>0</v>
      </c>
      <c r="S925">
        <v>28</v>
      </c>
      <c r="U925">
        <v>0</v>
      </c>
      <c r="V925">
        <v>0</v>
      </c>
      <c r="W925" s="1">
        <v>44160</v>
      </c>
      <c r="AC925" t="s">
        <v>40</v>
      </c>
      <c r="AI925" t="s">
        <v>40</v>
      </c>
      <c r="AK925" t="s">
        <v>40</v>
      </c>
    </row>
    <row r="926" spans="1:37" x14ac:dyDescent="0.3">
      <c r="A926">
        <v>2019</v>
      </c>
      <c r="B926">
        <v>8</v>
      </c>
      <c r="C926" t="str">
        <f t="shared" si="28"/>
        <v>8/01/2019</v>
      </c>
      <c r="D926" s="1" t="str">
        <f t="shared" si="29"/>
        <v>8/01/2019</v>
      </c>
      <c r="E926" t="s">
        <v>55</v>
      </c>
      <c r="F926" t="s">
        <v>51</v>
      </c>
      <c r="G926" t="s">
        <v>44</v>
      </c>
      <c r="H926">
        <v>198</v>
      </c>
      <c r="I926">
        <v>153</v>
      </c>
      <c r="K926">
        <v>52</v>
      </c>
      <c r="M926">
        <v>0</v>
      </c>
      <c r="S926">
        <v>46</v>
      </c>
      <c r="U926">
        <v>0</v>
      </c>
      <c r="V926">
        <v>0</v>
      </c>
      <c r="W926" s="1">
        <v>44160</v>
      </c>
      <c r="AA926" t="s">
        <v>40</v>
      </c>
      <c r="AC926" t="s">
        <v>40</v>
      </c>
      <c r="AE926" t="s">
        <v>40</v>
      </c>
      <c r="AF926" t="s">
        <v>40</v>
      </c>
      <c r="AG926" t="s">
        <v>40</v>
      </c>
      <c r="AH926" t="s">
        <v>40</v>
      </c>
      <c r="AI926" t="s">
        <v>40</v>
      </c>
      <c r="AK926" t="s">
        <v>40</v>
      </c>
    </row>
    <row r="927" spans="1:37" x14ac:dyDescent="0.3">
      <c r="A927">
        <v>2019</v>
      </c>
      <c r="B927">
        <v>8</v>
      </c>
      <c r="C927" t="str">
        <f t="shared" si="28"/>
        <v>8/01/2019</v>
      </c>
      <c r="D927" s="1" t="str">
        <f t="shared" si="29"/>
        <v>8/01/2019</v>
      </c>
      <c r="E927" t="s">
        <v>55</v>
      </c>
      <c r="F927" t="s">
        <v>51</v>
      </c>
      <c r="G927" t="s">
        <v>45</v>
      </c>
      <c r="H927">
        <v>10</v>
      </c>
      <c r="J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U927">
        <v>0</v>
      </c>
      <c r="V927">
        <v>0</v>
      </c>
      <c r="W927" s="1">
        <v>44160</v>
      </c>
      <c r="Z927" t="s">
        <v>40</v>
      </c>
      <c r="AB927" t="s">
        <v>40</v>
      </c>
      <c r="AK927" t="s">
        <v>40</v>
      </c>
    </row>
    <row r="928" spans="1:37" x14ac:dyDescent="0.3">
      <c r="A928">
        <v>2019</v>
      </c>
      <c r="B928">
        <v>8</v>
      </c>
      <c r="C928" t="str">
        <f t="shared" si="28"/>
        <v>8/01/2019</v>
      </c>
      <c r="D928" s="1" t="str">
        <f t="shared" si="29"/>
        <v>8/01/2019</v>
      </c>
      <c r="E928" t="s">
        <v>55</v>
      </c>
      <c r="F928" t="s">
        <v>51</v>
      </c>
      <c r="G928" t="s">
        <v>46</v>
      </c>
      <c r="H928">
        <v>371</v>
      </c>
      <c r="I928">
        <v>336</v>
      </c>
      <c r="K928">
        <v>133</v>
      </c>
      <c r="L928">
        <v>28</v>
      </c>
      <c r="M928">
        <v>0</v>
      </c>
      <c r="S928">
        <v>81</v>
      </c>
      <c r="T928">
        <v>21</v>
      </c>
      <c r="U928">
        <v>0</v>
      </c>
      <c r="V928">
        <v>0</v>
      </c>
      <c r="W928" s="1">
        <v>44160</v>
      </c>
      <c r="AA928" t="s">
        <v>40</v>
      </c>
      <c r="AE928" t="s">
        <v>40</v>
      </c>
      <c r="AF928" t="s">
        <v>40</v>
      </c>
      <c r="AG928" t="s">
        <v>40</v>
      </c>
      <c r="AH928" t="s">
        <v>40</v>
      </c>
      <c r="AI928" t="s">
        <v>40</v>
      </c>
    </row>
    <row r="929" spans="1:37" x14ac:dyDescent="0.3">
      <c r="A929">
        <v>2019</v>
      </c>
      <c r="B929">
        <v>8</v>
      </c>
      <c r="C929" t="str">
        <f t="shared" si="28"/>
        <v>8/01/2019</v>
      </c>
      <c r="D929" s="1" t="str">
        <f t="shared" si="29"/>
        <v>8/01/2019</v>
      </c>
      <c r="E929" t="s">
        <v>55</v>
      </c>
      <c r="F929" t="s">
        <v>51</v>
      </c>
      <c r="G929" t="s">
        <v>47</v>
      </c>
      <c r="H929">
        <v>583</v>
      </c>
      <c r="I929">
        <v>543</v>
      </c>
      <c r="K929">
        <v>191</v>
      </c>
      <c r="L929">
        <v>30</v>
      </c>
      <c r="N929">
        <v>15</v>
      </c>
      <c r="O929">
        <v>17</v>
      </c>
      <c r="P929">
        <v>14</v>
      </c>
      <c r="Q929">
        <v>10</v>
      </c>
      <c r="S929">
        <v>129</v>
      </c>
      <c r="T929">
        <v>51</v>
      </c>
      <c r="U929">
        <v>0</v>
      </c>
      <c r="V929">
        <v>0</v>
      </c>
      <c r="W929" s="1">
        <v>44160</v>
      </c>
      <c r="AA929" t="s">
        <v>40</v>
      </c>
      <c r="AD929" t="s">
        <v>40</v>
      </c>
      <c r="AI929" t="s">
        <v>40</v>
      </c>
    </row>
    <row r="930" spans="1:37" x14ac:dyDescent="0.3">
      <c r="A930">
        <v>2019</v>
      </c>
      <c r="B930">
        <v>8</v>
      </c>
      <c r="C930" t="str">
        <f t="shared" si="28"/>
        <v>8/01/2019</v>
      </c>
      <c r="D930" s="1" t="str">
        <f t="shared" si="29"/>
        <v>8/01/2019</v>
      </c>
      <c r="E930" t="s">
        <v>55</v>
      </c>
      <c r="F930" t="s">
        <v>51</v>
      </c>
      <c r="G930" t="s">
        <v>48</v>
      </c>
      <c r="H930">
        <v>701</v>
      </c>
      <c r="I930">
        <v>673</v>
      </c>
      <c r="J930">
        <v>10</v>
      </c>
      <c r="K930">
        <v>196</v>
      </c>
      <c r="L930">
        <v>38</v>
      </c>
      <c r="M930">
        <v>18</v>
      </c>
      <c r="O930">
        <v>20</v>
      </c>
      <c r="P930">
        <v>14</v>
      </c>
      <c r="Q930">
        <v>21</v>
      </c>
      <c r="S930">
        <v>151</v>
      </c>
      <c r="T930">
        <v>55</v>
      </c>
      <c r="U930">
        <v>0</v>
      </c>
      <c r="V930">
        <v>0</v>
      </c>
      <c r="W930" s="1">
        <v>44160</v>
      </c>
      <c r="AE930" t="s">
        <v>40</v>
      </c>
      <c r="AI930" t="s">
        <v>40</v>
      </c>
    </row>
    <row r="931" spans="1:37" x14ac:dyDescent="0.3">
      <c r="A931">
        <v>2019</v>
      </c>
      <c r="B931">
        <v>8</v>
      </c>
      <c r="C931" t="str">
        <f t="shared" si="28"/>
        <v>8/01/2019</v>
      </c>
      <c r="D931" s="1" t="str">
        <f t="shared" si="29"/>
        <v>8/01/2019</v>
      </c>
      <c r="E931" t="s">
        <v>55</v>
      </c>
      <c r="F931" t="s">
        <v>51</v>
      </c>
      <c r="G931" t="s">
        <v>49</v>
      </c>
      <c r="H931">
        <v>698</v>
      </c>
      <c r="I931">
        <v>676</v>
      </c>
      <c r="K931">
        <v>98</v>
      </c>
      <c r="L931">
        <v>21</v>
      </c>
      <c r="M931">
        <v>40</v>
      </c>
      <c r="N931">
        <v>27</v>
      </c>
      <c r="O931">
        <v>33</v>
      </c>
      <c r="P931">
        <v>10</v>
      </c>
      <c r="Q931">
        <v>19</v>
      </c>
      <c r="S931">
        <v>201</v>
      </c>
      <c r="T931">
        <v>57</v>
      </c>
      <c r="U931">
        <v>0</v>
      </c>
      <c r="V931">
        <v>0</v>
      </c>
      <c r="W931" s="1">
        <v>44160</v>
      </c>
      <c r="AA931" t="s">
        <v>40</v>
      </c>
      <c r="AI931" t="s">
        <v>40</v>
      </c>
    </row>
    <row r="932" spans="1:37" x14ac:dyDescent="0.3">
      <c r="A932">
        <v>2019</v>
      </c>
      <c r="B932">
        <v>8</v>
      </c>
      <c r="C932" t="str">
        <f t="shared" si="28"/>
        <v>8/01/2019</v>
      </c>
      <c r="D932" s="1" t="str">
        <f t="shared" si="29"/>
        <v>8/01/2019</v>
      </c>
      <c r="E932" t="s">
        <v>55</v>
      </c>
      <c r="F932" t="s">
        <v>52</v>
      </c>
      <c r="G932" t="s">
        <v>39</v>
      </c>
      <c r="H932">
        <v>344</v>
      </c>
      <c r="I932">
        <v>295</v>
      </c>
      <c r="K932">
        <v>0</v>
      </c>
      <c r="L932">
        <v>0</v>
      </c>
      <c r="M932">
        <v>0</v>
      </c>
      <c r="O932">
        <v>0</v>
      </c>
      <c r="Q932">
        <v>0</v>
      </c>
      <c r="R932">
        <v>35</v>
      </c>
      <c r="U932">
        <v>0</v>
      </c>
      <c r="V932">
        <v>0</v>
      </c>
      <c r="W932" s="1">
        <v>44160</v>
      </c>
      <c r="AA932" t="s">
        <v>40</v>
      </c>
      <c r="AE932" t="s">
        <v>40</v>
      </c>
      <c r="AG932" t="s">
        <v>40</v>
      </c>
      <c r="AJ932" t="s">
        <v>40</v>
      </c>
      <c r="AK932" t="s">
        <v>40</v>
      </c>
    </row>
    <row r="933" spans="1:37" x14ac:dyDescent="0.3">
      <c r="A933">
        <v>2019</v>
      </c>
      <c r="B933">
        <v>8</v>
      </c>
      <c r="C933" t="str">
        <f t="shared" si="28"/>
        <v>8/01/2019</v>
      </c>
      <c r="D933" s="1" t="str">
        <f t="shared" si="29"/>
        <v>8/01/2019</v>
      </c>
      <c r="E933" t="s">
        <v>55</v>
      </c>
      <c r="F933" t="s">
        <v>52</v>
      </c>
      <c r="G933" t="s">
        <v>41</v>
      </c>
      <c r="H933">
        <v>496</v>
      </c>
      <c r="I933">
        <v>67</v>
      </c>
      <c r="M933">
        <v>0</v>
      </c>
      <c r="P933">
        <v>0</v>
      </c>
      <c r="Q933">
        <v>0</v>
      </c>
      <c r="S933">
        <v>13</v>
      </c>
      <c r="U933">
        <v>0</v>
      </c>
      <c r="V933">
        <v>0</v>
      </c>
      <c r="W933" s="1">
        <v>44160</v>
      </c>
      <c r="AA933" t="s">
        <v>40</v>
      </c>
      <c r="AB933" t="s">
        <v>40</v>
      </c>
      <c r="AC933" t="s">
        <v>40</v>
      </c>
      <c r="AE933" t="s">
        <v>40</v>
      </c>
      <c r="AF933" t="s">
        <v>40</v>
      </c>
      <c r="AI933" t="s">
        <v>40</v>
      </c>
      <c r="AK933" t="s">
        <v>40</v>
      </c>
    </row>
    <row r="934" spans="1:37" x14ac:dyDescent="0.3">
      <c r="A934">
        <v>2019</v>
      </c>
      <c r="B934">
        <v>8</v>
      </c>
      <c r="C934" t="str">
        <f t="shared" si="28"/>
        <v>8/01/2019</v>
      </c>
      <c r="D934" s="1" t="str">
        <f t="shared" si="29"/>
        <v>8/01/2019</v>
      </c>
      <c r="E934" t="s">
        <v>55</v>
      </c>
      <c r="F934" t="s">
        <v>52</v>
      </c>
      <c r="G934" t="s">
        <v>42</v>
      </c>
      <c r="H934">
        <v>761</v>
      </c>
      <c r="I934">
        <v>206</v>
      </c>
      <c r="K934">
        <v>20</v>
      </c>
      <c r="L934">
        <v>17</v>
      </c>
      <c r="M934">
        <v>0</v>
      </c>
      <c r="R934">
        <v>16</v>
      </c>
      <c r="S934">
        <v>46</v>
      </c>
      <c r="U934">
        <v>0</v>
      </c>
      <c r="V934">
        <v>0</v>
      </c>
      <c r="W934" s="1">
        <v>44160</v>
      </c>
      <c r="AA934" t="s">
        <v>40</v>
      </c>
      <c r="AE934" t="s">
        <v>40</v>
      </c>
      <c r="AF934" t="s">
        <v>40</v>
      </c>
      <c r="AG934" t="s">
        <v>40</v>
      </c>
      <c r="AH934" t="s">
        <v>40</v>
      </c>
      <c r="AK934" t="s">
        <v>40</v>
      </c>
    </row>
    <row r="935" spans="1:37" x14ac:dyDescent="0.3">
      <c r="A935">
        <v>2019</v>
      </c>
      <c r="B935">
        <v>8</v>
      </c>
      <c r="C935" t="str">
        <f t="shared" si="28"/>
        <v>8/01/2019</v>
      </c>
      <c r="D935" s="1" t="str">
        <f t="shared" si="29"/>
        <v>8/01/2019</v>
      </c>
      <c r="E935" t="s">
        <v>55</v>
      </c>
      <c r="F935" t="s">
        <v>52</v>
      </c>
      <c r="G935" t="s">
        <v>43</v>
      </c>
      <c r="H935">
        <v>852</v>
      </c>
      <c r="I935">
        <v>447</v>
      </c>
      <c r="J935">
        <v>15</v>
      </c>
      <c r="K935">
        <v>55</v>
      </c>
      <c r="L935">
        <v>29</v>
      </c>
      <c r="M935">
        <v>0</v>
      </c>
      <c r="O935">
        <v>11</v>
      </c>
      <c r="Q935">
        <v>13</v>
      </c>
      <c r="R935">
        <v>18</v>
      </c>
      <c r="S935">
        <v>141</v>
      </c>
      <c r="T935">
        <v>14</v>
      </c>
      <c r="U935">
        <v>0</v>
      </c>
      <c r="V935">
        <v>0</v>
      </c>
      <c r="W935" s="1">
        <v>44160</v>
      </c>
      <c r="AE935" t="s">
        <v>40</v>
      </c>
      <c r="AG935" t="s">
        <v>40</v>
      </c>
    </row>
    <row r="936" spans="1:37" x14ac:dyDescent="0.3">
      <c r="A936">
        <v>2019</v>
      </c>
      <c r="B936">
        <v>8</v>
      </c>
      <c r="C936" t="str">
        <f t="shared" si="28"/>
        <v>8/01/2019</v>
      </c>
      <c r="D936" s="1" t="str">
        <f t="shared" si="29"/>
        <v>8/01/2019</v>
      </c>
      <c r="E936" t="s">
        <v>55</v>
      </c>
      <c r="F936" t="s">
        <v>52</v>
      </c>
      <c r="G936" t="s">
        <v>44</v>
      </c>
      <c r="H936" s="2">
        <v>1390</v>
      </c>
      <c r="I936" s="2">
        <v>1043</v>
      </c>
      <c r="J936">
        <v>22</v>
      </c>
      <c r="K936">
        <v>207</v>
      </c>
      <c r="L936">
        <v>43</v>
      </c>
      <c r="M936">
        <v>0</v>
      </c>
      <c r="N936">
        <v>16</v>
      </c>
      <c r="O936">
        <v>12</v>
      </c>
      <c r="P936">
        <v>11</v>
      </c>
      <c r="Q936">
        <v>35</v>
      </c>
      <c r="R936">
        <v>22</v>
      </c>
      <c r="S936">
        <v>346</v>
      </c>
      <c r="T936">
        <v>76</v>
      </c>
      <c r="U936">
        <v>0</v>
      </c>
      <c r="V936">
        <v>0</v>
      </c>
      <c r="W936" s="1">
        <v>44160</v>
      </c>
    </row>
    <row r="937" spans="1:37" x14ac:dyDescent="0.3">
      <c r="A937">
        <v>2019</v>
      </c>
      <c r="B937">
        <v>8</v>
      </c>
      <c r="C937" t="str">
        <f t="shared" si="28"/>
        <v>8/01/2019</v>
      </c>
      <c r="D937" s="1" t="str">
        <f t="shared" si="29"/>
        <v>8/01/2019</v>
      </c>
      <c r="E937" t="s">
        <v>55</v>
      </c>
      <c r="F937" t="s">
        <v>52</v>
      </c>
      <c r="G937" t="s">
        <v>45</v>
      </c>
      <c r="H937">
        <v>71</v>
      </c>
      <c r="I937">
        <v>34</v>
      </c>
      <c r="L937">
        <v>0</v>
      </c>
      <c r="M937">
        <v>0</v>
      </c>
      <c r="N937">
        <v>0</v>
      </c>
      <c r="Q937">
        <v>0</v>
      </c>
      <c r="U937">
        <v>0</v>
      </c>
      <c r="V937">
        <v>0</v>
      </c>
      <c r="W937" s="1">
        <v>44160</v>
      </c>
      <c r="AA937" t="s">
        <v>40</v>
      </c>
      <c r="AB937" t="s">
        <v>40</v>
      </c>
      <c r="AF937" t="s">
        <v>40</v>
      </c>
      <c r="AG937" t="s">
        <v>40</v>
      </c>
      <c r="AI937" t="s">
        <v>40</v>
      </c>
      <c r="AJ937" t="s">
        <v>40</v>
      </c>
      <c r="AK937" t="s">
        <v>40</v>
      </c>
    </row>
    <row r="938" spans="1:37" x14ac:dyDescent="0.3">
      <c r="A938">
        <v>2019</v>
      </c>
      <c r="B938">
        <v>8</v>
      </c>
      <c r="C938" t="str">
        <f t="shared" si="28"/>
        <v>8/01/2019</v>
      </c>
      <c r="D938" s="1" t="str">
        <f t="shared" si="29"/>
        <v>8/01/2019</v>
      </c>
      <c r="E938" t="s">
        <v>55</v>
      </c>
      <c r="F938" t="s">
        <v>52</v>
      </c>
      <c r="G938" t="s">
        <v>46</v>
      </c>
      <c r="H938" s="2">
        <v>3089</v>
      </c>
      <c r="I938" s="2">
        <v>2711</v>
      </c>
      <c r="J938">
        <v>52</v>
      </c>
      <c r="K938">
        <v>745</v>
      </c>
      <c r="L938">
        <v>128</v>
      </c>
      <c r="N938">
        <v>33</v>
      </c>
      <c r="O938">
        <v>77</v>
      </c>
      <c r="P938">
        <v>32</v>
      </c>
      <c r="Q938">
        <v>77</v>
      </c>
      <c r="R938">
        <v>29</v>
      </c>
      <c r="S938">
        <v>809</v>
      </c>
      <c r="T938">
        <v>141</v>
      </c>
      <c r="U938">
        <v>0</v>
      </c>
      <c r="V938">
        <v>0</v>
      </c>
      <c r="W938" s="1">
        <v>44160</v>
      </c>
      <c r="AD938" t="s">
        <v>40</v>
      </c>
    </row>
    <row r="939" spans="1:37" x14ac:dyDescent="0.3">
      <c r="A939">
        <v>2019</v>
      </c>
      <c r="B939">
        <v>8</v>
      </c>
      <c r="C939" t="str">
        <f t="shared" si="28"/>
        <v>8/01/2019</v>
      </c>
      <c r="D939" s="1" t="str">
        <f t="shared" si="29"/>
        <v>8/01/2019</v>
      </c>
      <c r="E939" t="s">
        <v>55</v>
      </c>
      <c r="F939" t="s">
        <v>52</v>
      </c>
      <c r="G939" t="s">
        <v>47</v>
      </c>
      <c r="H939" s="2">
        <v>3386</v>
      </c>
      <c r="I939" s="2">
        <v>3227</v>
      </c>
      <c r="J939">
        <v>58</v>
      </c>
      <c r="K939">
        <v>957</v>
      </c>
      <c r="L939">
        <v>159</v>
      </c>
      <c r="M939">
        <v>23</v>
      </c>
      <c r="N939">
        <v>39</v>
      </c>
      <c r="O939">
        <v>120</v>
      </c>
      <c r="P939">
        <v>39</v>
      </c>
      <c r="Q939">
        <v>95</v>
      </c>
      <c r="R939">
        <v>31</v>
      </c>
      <c r="S939">
        <v>894</v>
      </c>
      <c r="T939">
        <v>210</v>
      </c>
      <c r="U939">
        <v>0</v>
      </c>
      <c r="V939">
        <v>0</v>
      </c>
      <c r="W939" s="1">
        <v>44160</v>
      </c>
    </row>
    <row r="940" spans="1:37" x14ac:dyDescent="0.3">
      <c r="A940">
        <v>2019</v>
      </c>
      <c r="B940">
        <v>8</v>
      </c>
      <c r="C940" t="str">
        <f t="shared" si="28"/>
        <v>8/01/2019</v>
      </c>
      <c r="D940" s="1" t="str">
        <f t="shared" si="29"/>
        <v>8/01/2019</v>
      </c>
      <c r="E940" t="s">
        <v>55</v>
      </c>
      <c r="F940" t="s">
        <v>52</v>
      </c>
      <c r="G940" t="s">
        <v>48</v>
      </c>
      <c r="H940" s="2">
        <v>2538</v>
      </c>
      <c r="I940" s="2">
        <v>2484</v>
      </c>
      <c r="J940">
        <v>66</v>
      </c>
      <c r="K940">
        <v>606</v>
      </c>
      <c r="L940">
        <v>137</v>
      </c>
      <c r="M940">
        <v>89</v>
      </c>
      <c r="N940">
        <v>33</v>
      </c>
      <c r="O940">
        <v>110</v>
      </c>
      <c r="P940">
        <v>35</v>
      </c>
      <c r="Q940">
        <v>88</v>
      </c>
      <c r="R940">
        <v>26</v>
      </c>
      <c r="S940">
        <v>669</v>
      </c>
      <c r="T940">
        <v>154</v>
      </c>
      <c r="U940">
        <v>0</v>
      </c>
      <c r="V940">
        <v>0</v>
      </c>
      <c r="W940" s="1">
        <v>44160</v>
      </c>
    </row>
    <row r="941" spans="1:37" x14ac:dyDescent="0.3">
      <c r="A941">
        <v>2019</v>
      </c>
      <c r="B941">
        <v>8</v>
      </c>
      <c r="C941" t="str">
        <f t="shared" si="28"/>
        <v>8/01/2019</v>
      </c>
      <c r="D941" s="1" t="str">
        <f t="shared" si="29"/>
        <v>8/01/2019</v>
      </c>
      <c r="E941" t="s">
        <v>55</v>
      </c>
      <c r="F941" t="s">
        <v>52</v>
      </c>
      <c r="G941" t="s">
        <v>49</v>
      </c>
      <c r="H941" s="2">
        <v>1550</v>
      </c>
      <c r="I941" s="2">
        <v>1517</v>
      </c>
      <c r="J941">
        <v>41</v>
      </c>
      <c r="K941">
        <v>256</v>
      </c>
      <c r="L941">
        <v>52</v>
      </c>
      <c r="M941">
        <v>77</v>
      </c>
      <c r="N941">
        <v>36</v>
      </c>
      <c r="O941">
        <v>58</v>
      </c>
      <c r="P941">
        <v>12</v>
      </c>
      <c r="Q941">
        <v>57</v>
      </c>
      <c r="R941">
        <v>15</v>
      </c>
      <c r="S941">
        <v>427</v>
      </c>
      <c r="T941">
        <v>110</v>
      </c>
      <c r="U941">
        <v>0</v>
      </c>
      <c r="V941">
        <v>0</v>
      </c>
      <c r="W941" s="1">
        <v>44160</v>
      </c>
    </row>
    <row r="942" spans="1:37" x14ac:dyDescent="0.3">
      <c r="A942">
        <v>2019</v>
      </c>
      <c r="B942">
        <v>8</v>
      </c>
      <c r="C942" t="str">
        <f t="shared" si="28"/>
        <v>8/01/2019</v>
      </c>
      <c r="D942" s="1" t="str">
        <f t="shared" si="29"/>
        <v>8/01/2019</v>
      </c>
      <c r="E942" t="s">
        <v>55</v>
      </c>
      <c r="F942" t="s">
        <v>53</v>
      </c>
      <c r="G942" t="s">
        <v>39</v>
      </c>
      <c r="H942">
        <v>441</v>
      </c>
      <c r="I942">
        <v>374</v>
      </c>
      <c r="L942">
        <v>0</v>
      </c>
      <c r="M942">
        <v>0</v>
      </c>
      <c r="O942">
        <v>0</v>
      </c>
      <c r="Q942">
        <v>0</v>
      </c>
      <c r="R942">
        <v>50</v>
      </c>
      <c r="U942">
        <v>0</v>
      </c>
      <c r="V942">
        <v>0</v>
      </c>
      <c r="W942" s="1">
        <v>44160</v>
      </c>
      <c r="AA942" t="s">
        <v>40</v>
      </c>
      <c r="AB942" t="s">
        <v>40</v>
      </c>
      <c r="AE942" t="s">
        <v>40</v>
      </c>
      <c r="AG942" t="s">
        <v>40</v>
      </c>
      <c r="AJ942" t="s">
        <v>40</v>
      </c>
      <c r="AK942" t="s">
        <v>40</v>
      </c>
    </row>
    <row r="943" spans="1:37" x14ac:dyDescent="0.3">
      <c r="A943">
        <v>2019</v>
      </c>
      <c r="B943">
        <v>8</v>
      </c>
      <c r="C943" t="str">
        <f t="shared" si="28"/>
        <v>8/01/2019</v>
      </c>
      <c r="D943" s="1" t="str">
        <f t="shared" si="29"/>
        <v>8/01/2019</v>
      </c>
      <c r="E943" t="s">
        <v>55</v>
      </c>
      <c r="F943" t="s">
        <v>53</v>
      </c>
      <c r="G943" t="s">
        <v>41</v>
      </c>
      <c r="H943">
        <v>895</v>
      </c>
      <c r="I943">
        <v>152</v>
      </c>
      <c r="K943">
        <v>30</v>
      </c>
      <c r="M943">
        <v>0</v>
      </c>
      <c r="S943">
        <v>25</v>
      </c>
      <c r="U943">
        <v>0</v>
      </c>
      <c r="V943">
        <v>0</v>
      </c>
      <c r="W943" s="1">
        <v>44160</v>
      </c>
      <c r="AA943" t="s">
        <v>40</v>
      </c>
      <c r="AC943" t="s">
        <v>40</v>
      </c>
      <c r="AE943" t="s">
        <v>40</v>
      </c>
      <c r="AF943" t="s">
        <v>40</v>
      </c>
      <c r="AG943" t="s">
        <v>40</v>
      </c>
      <c r="AH943" t="s">
        <v>40</v>
      </c>
      <c r="AI943" t="s">
        <v>40</v>
      </c>
      <c r="AK943" t="s">
        <v>40</v>
      </c>
    </row>
    <row r="944" spans="1:37" x14ac:dyDescent="0.3">
      <c r="A944">
        <v>2019</v>
      </c>
      <c r="B944">
        <v>8</v>
      </c>
      <c r="C944" t="str">
        <f t="shared" si="28"/>
        <v>8/01/2019</v>
      </c>
      <c r="D944" s="1" t="str">
        <f t="shared" si="29"/>
        <v>8/01/2019</v>
      </c>
      <c r="E944" t="s">
        <v>55</v>
      </c>
      <c r="F944" t="s">
        <v>53</v>
      </c>
      <c r="G944" t="s">
        <v>42</v>
      </c>
      <c r="H944" s="2">
        <v>2083</v>
      </c>
      <c r="I944">
        <v>463</v>
      </c>
      <c r="K944">
        <v>92</v>
      </c>
      <c r="L944">
        <v>22</v>
      </c>
      <c r="M944">
        <v>0</v>
      </c>
      <c r="R944">
        <v>31</v>
      </c>
      <c r="S944">
        <v>79</v>
      </c>
      <c r="T944">
        <v>15</v>
      </c>
      <c r="U944">
        <v>0</v>
      </c>
      <c r="V944">
        <v>0</v>
      </c>
      <c r="W944" s="1">
        <v>44160</v>
      </c>
      <c r="AA944" t="s">
        <v>40</v>
      </c>
      <c r="AE944" t="s">
        <v>40</v>
      </c>
      <c r="AF944" t="s">
        <v>40</v>
      </c>
      <c r="AG944" t="s">
        <v>40</v>
      </c>
      <c r="AH944" t="s">
        <v>40</v>
      </c>
    </row>
    <row r="945" spans="1:37" x14ac:dyDescent="0.3">
      <c r="A945">
        <v>2019</v>
      </c>
      <c r="B945">
        <v>8</v>
      </c>
      <c r="C945" t="str">
        <f t="shared" si="28"/>
        <v>8/01/2019</v>
      </c>
      <c r="D945" s="1" t="str">
        <f t="shared" si="29"/>
        <v>8/01/2019</v>
      </c>
      <c r="E945" t="s">
        <v>55</v>
      </c>
      <c r="F945" t="s">
        <v>53</v>
      </c>
      <c r="G945" t="s">
        <v>43</v>
      </c>
      <c r="H945" s="2">
        <v>2742</v>
      </c>
      <c r="I945" s="2">
        <v>1184</v>
      </c>
      <c r="J945">
        <v>17</v>
      </c>
      <c r="K945">
        <v>239</v>
      </c>
      <c r="L945">
        <v>61</v>
      </c>
      <c r="M945">
        <v>0</v>
      </c>
      <c r="N945">
        <v>17</v>
      </c>
      <c r="O945">
        <v>12</v>
      </c>
      <c r="P945">
        <v>14</v>
      </c>
      <c r="Q945">
        <v>12</v>
      </c>
      <c r="R945">
        <v>50</v>
      </c>
      <c r="S945">
        <v>300</v>
      </c>
      <c r="T945">
        <v>22</v>
      </c>
      <c r="U945">
        <v>0</v>
      </c>
      <c r="V945">
        <v>0</v>
      </c>
      <c r="W945" s="1">
        <v>44160</v>
      </c>
    </row>
    <row r="946" spans="1:37" x14ac:dyDescent="0.3">
      <c r="A946">
        <v>2019</v>
      </c>
      <c r="B946">
        <v>8</v>
      </c>
      <c r="C946" t="str">
        <f t="shared" si="28"/>
        <v>8/01/2019</v>
      </c>
      <c r="D946" s="1" t="str">
        <f t="shared" si="29"/>
        <v>8/01/2019</v>
      </c>
      <c r="E946" t="s">
        <v>55</v>
      </c>
      <c r="F946" t="s">
        <v>53</v>
      </c>
      <c r="G946" t="s">
        <v>44</v>
      </c>
      <c r="H946" s="2">
        <v>5226</v>
      </c>
      <c r="I946" s="2">
        <v>3703</v>
      </c>
      <c r="J946">
        <v>64</v>
      </c>
      <c r="K946">
        <v>936</v>
      </c>
      <c r="L946">
        <v>176</v>
      </c>
      <c r="N946">
        <v>34</v>
      </c>
      <c r="O946">
        <v>82</v>
      </c>
      <c r="P946">
        <v>33</v>
      </c>
      <c r="Q946">
        <v>49</v>
      </c>
      <c r="R946">
        <v>56</v>
      </c>
      <c r="S946" s="2">
        <v>1070</v>
      </c>
      <c r="T946">
        <v>121</v>
      </c>
      <c r="U946">
        <v>0</v>
      </c>
      <c r="V946">
        <v>0</v>
      </c>
      <c r="W946" s="1">
        <v>44160</v>
      </c>
      <c r="AD946" t="s">
        <v>40</v>
      </c>
    </row>
    <row r="947" spans="1:37" x14ac:dyDescent="0.3">
      <c r="A947">
        <v>2019</v>
      </c>
      <c r="B947">
        <v>8</v>
      </c>
      <c r="C947" t="str">
        <f t="shared" si="28"/>
        <v>8/01/2019</v>
      </c>
      <c r="D947" s="1" t="str">
        <f t="shared" si="29"/>
        <v>8/01/2019</v>
      </c>
      <c r="E947" t="s">
        <v>55</v>
      </c>
      <c r="F947" t="s">
        <v>53</v>
      </c>
      <c r="G947" t="s">
        <v>45</v>
      </c>
      <c r="H947">
        <v>116</v>
      </c>
      <c r="I947">
        <v>55</v>
      </c>
      <c r="K947">
        <v>13</v>
      </c>
      <c r="L947">
        <v>0</v>
      </c>
      <c r="M947">
        <v>0</v>
      </c>
      <c r="R947">
        <v>0</v>
      </c>
      <c r="U947">
        <v>0</v>
      </c>
      <c r="V947">
        <v>0</v>
      </c>
      <c r="W947" s="1">
        <v>44160</v>
      </c>
      <c r="AA947" t="s">
        <v>40</v>
      </c>
      <c r="AE947" t="s">
        <v>40</v>
      </c>
      <c r="AF947" t="s">
        <v>40</v>
      </c>
      <c r="AG947" t="s">
        <v>40</v>
      </c>
      <c r="AH947" t="s">
        <v>40</v>
      </c>
      <c r="AJ947" t="s">
        <v>40</v>
      </c>
      <c r="AK947" t="s">
        <v>40</v>
      </c>
    </row>
    <row r="948" spans="1:37" x14ac:dyDescent="0.3">
      <c r="A948">
        <v>2019</v>
      </c>
      <c r="B948">
        <v>8</v>
      </c>
      <c r="C948" t="str">
        <f t="shared" si="28"/>
        <v>8/01/2019</v>
      </c>
      <c r="D948" s="1" t="str">
        <f t="shared" si="29"/>
        <v>8/01/2019</v>
      </c>
      <c r="E948" t="s">
        <v>55</v>
      </c>
      <c r="F948" t="s">
        <v>53</v>
      </c>
      <c r="G948" t="s">
        <v>46</v>
      </c>
      <c r="H948" s="2">
        <v>13095</v>
      </c>
      <c r="I948" s="2">
        <v>11420</v>
      </c>
      <c r="J948">
        <v>149</v>
      </c>
      <c r="K948" s="2">
        <v>3649</v>
      </c>
      <c r="L948">
        <v>464</v>
      </c>
      <c r="M948">
        <v>35</v>
      </c>
      <c r="N948">
        <v>119</v>
      </c>
      <c r="O948">
        <v>577</v>
      </c>
      <c r="P948">
        <v>141</v>
      </c>
      <c r="Q948">
        <v>142</v>
      </c>
      <c r="R948">
        <v>133</v>
      </c>
      <c r="S948" s="2">
        <v>3156</v>
      </c>
      <c r="T948">
        <v>359</v>
      </c>
      <c r="U948">
        <v>0</v>
      </c>
      <c r="V948">
        <v>0</v>
      </c>
      <c r="W948" s="1">
        <v>44160</v>
      </c>
    </row>
    <row r="949" spans="1:37" x14ac:dyDescent="0.3">
      <c r="A949">
        <v>2019</v>
      </c>
      <c r="B949">
        <v>8</v>
      </c>
      <c r="C949" t="str">
        <f t="shared" si="28"/>
        <v>8/01/2019</v>
      </c>
      <c r="D949" s="1" t="str">
        <f t="shared" si="29"/>
        <v>8/01/2019</v>
      </c>
      <c r="E949" t="s">
        <v>55</v>
      </c>
      <c r="F949" t="s">
        <v>53</v>
      </c>
      <c r="G949" t="s">
        <v>47</v>
      </c>
      <c r="H949" s="2">
        <v>19849</v>
      </c>
      <c r="I949" s="2">
        <v>18682</v>
      </c>
      <c r="J949">
        <v>240</v>
      </c>
      <c r="K949" s="2">
        <v>6277</v>
      </c>
      <c r="L949">
        <v>703</v>
      </c>
      <c r="M949">
        <v>216</v>
      </c>
      <c r="N949">
        <v>236</v>
      </c>
      <c r="O949" s="2">
        <v>1256</v>
      </c>
      <c r="P949">
        <v>334</v>
      </c>
      <c r="Q949">
        <v>305</v>
      </c>
      <c r="R949">
        <v>163</v>
      </c>
      <c r="S949" s="2">
        <v>4723</v>
      </c>
      <c r="T949">
        <v>698</v>
      </c>
      <c r="U949">
        <v>0</v>
      </c>
      <c r="V949">
        <v>0</v>
      </c>
      <c r="W949" s="1">
        <v>44160</v>
      </c>
    </row>
    <row r="950" spans="1:37" x14ac:dyDescent="0.3">
      <c r="A950">
        <v>2019</v>
      </c>
      <c r="B950">
        <v>8</v>
      </c>
      <c r="C950" t="str">
        <f t="shared" si="28"/>
        <v>8/01/2019</v>
      </c>
      <c r="D950" s="1" t="str">
        <f t="shared" si="29"/>
        <v>8/01/2019</v>
      </c>
      <c r="E950" t="s">
        <v>55</v>
      </c>
      <c r="F950" t="s">
        <v>53</v>
      </c>
      <c r="G950" t="s">
        <v>48</v>
      </c>
      <c r="H950" s="2">
        <v>22871</v>
      </c>
      <c r="I950" s="2">
        <v>21876</v>
      </c>
      <c r="J950">
        <v>285</v>
      </c>
      <c r="K950" s="2">
        <v>5917</v>
      </c>
      <c r="L950">
        <v>669</v>
      </c>
      <c r="M950">
        <v>840</v>
      </c>
      <c r="N950">
        <v>364</v>
      </c>
      <c r="O950" s="2">
        <v>1524</v>
      </c>
      <c r="P950">
        <v>497</v>
      </c>
      <c r="Q950">
        <v>422</v>
      </c>
      <c r="R950">
        <v>156</v>
      </c>
      <c r="S950" s="2">
        <v>5621</v>
      </c>
      <c r="T950" s="2">
        <v>1102</v>
      </c>
      <c r="U950">
        <v>0</v>
      </c>
      <c r="V950">
        <v>0</v>
      </c>
      <c r="W950" s="1">
        <v>44160</v>
      </c>
    </row>
    <row r="951" spans="1:37" x14ac:dyDescent="0.3">
      <c r="A951">
        <v>2019</v>
      </c>
      <c r="B951">
        <v>8</v>
      </c>
      <c r="C951" t="str">
        <f t="shared" si="28"/>
        <v>8/01/2019</v>
      </c>
      <c r="D951" s="1" t="str">
        <f t="shared" si="29"/>
        <v>8/01/2019</v>
      </c>
      <c r="E951" t="s">
        <v>55</v>
      </c>
      <c r="F951" t="s">
        <v>53</v>
      </c>
      <c r="G951" t="s">
        <v>49</v>
      </c>
      <c r="H951" s="2">
        <v>22495</v>
      </c>
      <c r="I951" s="2">
        <v>21589</v>
      </c>
      <c r="J951">
        <v>229</v>
      </c>
      <c r="K951" s="2">
        <v>3502</v>
      </c>
      <c r="L951">
        <v>460</v>
      </c>
      <c r="M951" s="2">
        <v>1432</v>
      </c>
      <c r="N951">
        <v>425</v>
      </c>
      <c r="O951" s="2">
        <v>1130</v>
      </c>
      <c r="P951">
        <v>360</v>
      </c>
      <c r="Q951">
        <v>464</v>
      </c>
      <c r="R951">
        <v>274</v>
      </c>
      <c r="S951" s="2">
        <v>6745</v>
      </c>
      <c r="T951" s="2">
        <v>1376</v>
      </c>
      <c r="U951">
        <v>0</v>
      </c>
      <c r="V951">
        <v>0</v>
      </c>
      <c r="W951" s="1">
        <v>44160</v>
      </c>
    </row>
    <row r="952" spans="1:37" x14ac:dyDescent="0.3">
      <c r="A952">
        <v>2019</v>
      </c>
      <c r="B952">
        <v>8</v>
      </c>
      <c r="C952" t="str">
        <f t="shared" si="28"/>
        <v>8/01/2019</v>
      </c>
      <c r="D952" s="1" t="str">
        <f t="shared" si="29"/>
        <v>8/01/2019</v>
      </c>
      <c r="E952" t="s">
        <v>55</v>
      </c>
      <c r="F952" t="s">
        <v>54</v>
      </c>
      <c r="G952" t="s">
        <v>39</v>
      </c>
      <c r="H952">
        <v>67</v>
      </c>
      <c r="I952">
        <v>57</v>
      </c>
      <c r="L952">
        <v>0</v>
      </c>
      <c r="M952">
        <v>0</v>
      </c>
      <c r="N952">
        <v>0</v>
      </c>
      <c r="O952">
        <v>0</v>
      </c>
      <c r="Q952">
        <v>0</v>
      </c>
      <c r="R952">
        <v>12</v>
      </c>
      <c r="S952">
        <v>0</v>
      </c>
      <c r="T952">
        <v>0</v>
      </c>
      <c r="U952">
        <v>0</v>
      </c>
      <c r="V952">
        <v>0</v>
      </c>
      <c r="W952" s="1">
        <v>44160</v>
      </c>
      <c r="AA952" t="s">
        <v>40</v>
      </c>
      <c r="AB952" t="s">
        <v>40</v>
      </c>
      <c r="AG952" t="s">
        <v>40</v>
      </c>
    </row>
    <row r="953" spans="1:37" x14ac:dyDescent="0.3">
      <c r="A953">
        <v>2019</v>
      </c>
      <c r="B953">
        <v>8</v>
      </c>
      <c r="C953" t="str">
        <f t="shared" si="28"/>
        <v>8/01/2019</v>
      </c>
      <c r="D953" s="1" t="str">
        <f t="shared" si="29"/>
        <v>8/01/2019</v>
      </c>
      <c r="E953" t="s">
        <v>55</v>
      </c>
      <c r="F953" t="s">
        <v>54</v>
      </c>
      <c r="G953" t="s">
        <v>41</v>
      </c>
      <c r="H953">
        <v>44</v>
      </c>
      <c r="J953">
        <v>0</v>
      </c>
      <c r="L953">
        <v>0</v>
      </c>
      <c r="M953">
        <v>0</v>
      </c>
      <c r="N953">
        <v>0</v>
      </c>
      <c r="O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 s="1">
        <v>44160</v>
      </c>
      <c r="Z953" t="s">
        <v>40</v>
      </c>
      <c r="AB953" t="s">
        <v>40</v>
      </c>
      <c r="AG953" t="s">
        <v>40</v>
      </c>
    </row>
    <row r="954" spans="1:37" x14ac:dyDescent="0.3">
      <c r="A954">
        <v>2019</v>
      </c>
      <c r="B954">
        <v>8</v>
      </c>
      <c r="C954" t="str">
        <f t="shared" si="28"/>
        <v>8/01/2019</v>
      </c>
      <c r="D954" s="1" t="str">
        <f t="shared" si="29"/>
        <v>8/01/2019</v>
      </c>
      <c r="E954" t="s">
        <v>55</v>
      </c>
      <c r="F954" t="s">
        <v>54</v>
      </c>
      <c r="G954" t="s">
        <v>42</v>
      </c>
      <c r="H954">
        <v>65</v>
      </c>
      <c r="I954">
        <v>26</v>
      </c>
      <c r="J954">
        <v>0</v>
      </c>
      <c r="M954">
        <v>0</v>
      </c>
      <c r="P954">
        <v>0</v>
      </c>
      <c r="Q954">
        <v>0</v>
      </c>
      <c r="S954">
        <v>10</v>
      </c>
      <c r="T954">
        <v>0</v>
      </c>
      <c r="U954">
        <v>0</v>
      </c>
      <c r="V954">
        <v>0</v>
      </c>
      <c r="W954" s="1">
        <v>44160</v>
      </c>
      <c r="AB954" t="s">
        <v>40</v>
      </c>
      <c r="AC954" t="s">
        <v>40</v>
      </c>
      <c r="AE954" t="s">
        <v>40</v>
      </c>
      <c r="AF954" t="s">
        <v>40</v>
      </c>
      <c r="AI954" t="s">
        <v>40</v>
      </c>
    </row>
    <row r="955" spans="1:37" x14ac:dyDescent="0.3">
      <c r="A955">
        <v>2019</v>
      </c>
      <c r="B955">
        <v>8</v>
      </c>
      <c r="C955" t="str">
        <f t="shared" si="28"/>
        <v>8/01/2019</v>
      </c>
      <c r="D955" s="1" t="str">
        <f t="shared" si="29"/>
        <v>8/01/2019</v>
      </c>
      <c r="E955" t="s">
        <v>55</v>
      </c>
      <c r="F955" t="s">
        <v>54</v>
      </c>
      <c r="G955" t="s">
        <v>43</v>
      </c>
      <c r="H955">
        <v>64</v>
      </c>
      <c r="I955">
        <v>26</v>
      </c>
      <c r="J955">
        <v>0</v>
      </c>
      <c r="M955">
        <v>0</v>
      </c>
      <c r="O955">
        <v>0</v>
      </c>
      <c r="P955">
        <v>0</v>
      </c>
      <c r="T955">
        <v>0</v>
      </c>
      <c r="U955">
        <v>0</v>
      </c>
      <c r="V955">
        <v>0</v>
      </c>
      <c r="W955" s="1">
        <v>44160</v>
      </c>
      <c r="AB955" t="s">
        <v>40</v>
      </c>
      <c r="AC955" t="s">
        <v>40</v>
      </c>
      <c r="AE955" t="s">
        <v>40</v>
      </c>
      <c r="AH955" t="s">
        <v>40</v>
      </c>
      <c r="AI955" t="s">
        <v>40</v>
      </c>
      <c r="AJ955" t="s">
        <v>40</v>
      </c>
    </row>
    <row r="956" spans="1:37" x14ac:dyDescent="0.3">
      <c r="A956">
        <v>2019</v>
      </c>
      <c r="B956">
        <v>8</v>
      </c>
      <c r="C956" t="str">
        <f t="shared" si="28"/>
        <v>8/01/2019</v>
      </c>
      <c r="D956" s="1" t="str">
        <f t="shared" si="29"/>
        <v>8/01/2019</v>
      </c>
      <c r="E956" t="s">
        <v>55</v>
      </c>
      <c r="F956" t="s">
        <v>54</v>
      </c>
      <c r="G956" t="s">
        <v>44</v>
      </c>
      <c r="H956">
        <v>132</v>
      </c>
      <c r="I956">
        <v>85</v>
      </c>
      <c r="K956">
        <v>16</v>
      </c>
      <c r="M956">
        <v>0</v>
      </c>
      <c r="P956">
        <v>0</v>
      </c>
      <c r="S956">
        <v>30</v>
      </c>
      <c r="U956">
        <v>0</v>
      </c>
      <c r="V956">
        <v>0</v>
      </c>
      <c r="W956" s="1">
        <v>44160</v>
      </c>
      <c r="AA956" t="s">
        <v>40</v>
      </c>
      <c r="AC956" t="s">
        <v>40</v>
      </c>
      <c r="AE956" t="s">
        <v>40</v>
      </c>
      <c r="AF956" t="s">
        <v>40</v>
      </c>
      <c r="AH956" t="s">
        <v>40</v>
      </c>
      <c r="AI956" t="s">
        <v>40</v>
      </c>
      <c r="AK956" t="s">
        <v>40</v>
      </c>
    </row>
    <row r="957" spans="1:37" x14ac:dyDescent="0.3">
      <c r="A957">
        <v>2019</v>
      </c>
      <c r="B957">
        <v>8</v>
      </c>
      <c r="C957" t="str">
        <f t="shared" si="28"/>
        <v>8/01/2019</v>
      </c>
      <c r="D957" s="1" t="str">
        <f t="shared" si="29"/>
        <v>8/01/2019</v>
      </c>
      <c r="E957" t="s">
        <v>55</v>
      </c>
      <c r="F957" t="s">
        <v>54</v>
      </c>
      <c r="G957" t="s">
        <v>45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 s="1">
        <v>44160</v>
      </c>
      <c r="Y957" t="s">
        <v>40</v>
      </c>
      <c r="Z957" t="s">
        <v>40</v>
      </c>
    </row>
    <row r="958" spans="1:37" x14ac:dyDescent="0.3">
      <c r="A958">
        <v>2019</v>
      </c>
      <c r="B958">
        <v>8</v>
      </c>
      <c r="C958" t="str">
        <f t="shared" si="28"/>
        <v>8/01/2019</v>
      </c>
      <c r="D958" s="1" t="str">
        <f t="shared" si="29"/>
        <v>8/01/2019</v>
      </c>
      <c r="E958" t="s">
        <v>55</v>
      </c>
      <c r="F958" t="s">
        <v>54</v>
      </c>
      <c r="G958" t="s">
        <v>46</v>
      </c>
      <c r="H958">
        <v>219</v>
      </c>
      <c r="I958">
        <v>184</v>
      </c>
      <c r="K958">
        <v>42</v>
      </c>
      <c r="L958">
        <v>12</v>
      </c>
      <c r="M958">
        <v>0</v>
      </c>
      <c r="O958">
        <v>10</v>
      </c>
      <c r="S958">
        <v>54</v>
      </c>
      <c r="U958">
        <v>0</v>
      </c>
      <c r="V958">
        <v>0</v>
      </c>
      <c r="W958" s="1">
        <v>44160</v>
      </c>
      <c r="AA958" t="s">
        <v>40</v>
      </c>
      <c r="AE958" t="s">
        <v>40</v>
      </c>
      <c r="AG958" t="s">
        <v>40</v>
      </c>
      <c r="AH958" t="s">
        <v>40</v>
      </c>
      <c r="AI958" t="s">
        <v>40</v>
      </c>
      <c r="AK958" t="s">
        <v>40</v>
      </c>
    </row>
    <row r="959" spans="1:37" x14ac:dyDescent="0.3">
      <c r="A959">
        <v>2019</v>
      </c>
      <c r="B959">
        <v>8</v>
      </c>
      <c r="C959" t="str">
        <f t="shared" si="28"/>
        <v>8/01/2019</v>
      </c>
      <c r="D959" s="1" t="str">
        <f t="shared" si="29"/>
        <v>8/01/2019</v>
      </c>
      <c r="E959" t="s">
        <v>55</v>
      </c>
      <c r="F959" t="s">
        <v>54</v>
      </c>
      <c r="G959" t="s">
        <v>47</v>
      </c>
      <c r="H959">
        <v>244</v>
      </c>
      <c r="I959">
        <v>234</v>
      </c>
      <c r="K959">
        <v>73</v>
      </c>
      <c r="L959">
        <v>14</v>
      </c>
      <c r="O959">
        <v>11</v>
      </c>
      <c r="S959">
        <v>62</v>
      </c>
      <c r="U959">
        <v>0</v>
      </c>
      <c r="V959">
        <v>0</v>
      </c>
      <c r="W959" s="1">
        <v>44160</v>
      </c>
      <c r="AA959" t="s">
        <v>40</v>
      </c>
      <c r="AD959" t="s">
        <v>40</v>
      </c>
      <c r="AE959" t="s">
        <v>40</v>
      </c>
      <c r="AG959" t="s">
        <v>40</v>
      </c>
      <c r="AH959" t="s">
        <v>40</v>
      </c>
      <c r="AI959" t="s">
        <v>40</v>
      </c>
      <c r="AK959" t="s">
        <v>40</v>
      </c>
    </row>
    <row r="960" spans="1:37" x14ac:dyDescent="0.3">
      <c r="A960">
        <v>2019</v>
      </c>
      <c r="B960">
        <v>8</v>
      </c>
      <c r="C960" t="str">
        <f t="shared" si="28"/>
        <v>8/01/2019</v>
      </c>
      <c r="D960" s="1" t="str">
        <f t="shared" si="29"/>
        <v>8/01/2019</v>
      </c>
      <c r="E960" t="s">
        <v>55</v>
      </c>
      <c r="F960" t="s">
        <v>54</v>
      </c>
      <c r="G960" t="s">
        <v>48</v>
      </c>
      <c r="H960">
        <v>191</v>
      </c>
      <c r="I960">
        <v>177</v>
      </c>
      <c r="K960">
        <v>39</v>
      </c>
      <c r="M960">
        <v>13</v>
      </c>
      <c r="O960">
        <v>19</v>
      </c>
      <c r="P960">
        <v>0</v>
      </c>
      <c r="S960">
        <v>52</v>
      </c>
      <c r="T960">
        <v>12</v>
      </c>
      <c r="U960">
        <v>0</v>
      </c>
      <c r="V960">
        <v>0</v>
      </c>
      <c r="W960" s="1">
        <v>44160</v>
      </c>
      <c r="AA960" t="s">
        <v>40</v>
      </c>
      <c r="AC960" t="s">
        <v>40</v>
      </c>
      <c r="AE960" t="s">
        <v>40</v>
      </c>
      <c r="AH960" t="s">
        <v>40</v>
      </c>
      <c r="AI960" t="s">
        <v>40</v>
      </c>
    </row>
    <row r="961" spans="1:37" x14ac:dyDescent="0.3">
      <c r="A961">
        <v>2019</v>
      </c>
      <c r="B961">
        <v>8</v>
      </c>
      <c r="C961" t="str">
        <f t="shared" si="28"/>
        <v>8/01/2019</v>
      </c>
      <c r="D961" s="1" t="str">
        <f t="shared" si="29"/>
        <v>8/01/2019</v>
      </c>
      <c r="E961" t="s">
        <v>55</v>
      </c>
      <c r="F961" t="s">
        <v>54</v>
      </c>
      <c r="G961" t="s">
        <v>49</v>
      </c>
      <c r="H961">
        <v>107</v>
      </c>
      <c r="I961">
        <v>104</v>
      </c>
      <c r="K961">
        <v>20</v>
      </c>
      <c r="S961">
        <v>26</v>
      </c>
      <c r="U961">
        <v>0</v>
      </c>
      <c r="V961">
        <v>0</v>
      </c>
      <c r="W961" s="1">
        <v>44160</v>
      </c>
      <c r="AA961" t="s">
        <v>40</v>
      </c>
      <c r="AC961" t="s">
        <v>40</v>
      </c>
      <c r="AD961" t="s">
        <v>40</v>
      </c>
      <c r="AE961" t="s">
        <v>40</v>
      </c>
      <c r="AF961" t="s">
        <v>40</v>
      </c>
      <c r="AG961" t="s">
        <v>40</v>
      </c>
      <c r="AH961" t="s">
        <v>40</v>
      </c>
      <c r="AI961" t="s">
        <v>40</v>
      </c>
      <c r="AK961" t="s">
        <v>40</v>
      </c>
    </row>
    <row r="962" spans="1:37" x14ac:dyDescent="0.3">
      <c r="A962">
        <v>2019</v>
      </c>
      <c r="B962">
        <v>9</v>
      </c>
      <c r="C962" t="str">
        <f t="shared" si="28"/>
        <v>9/01/2019</v>
      </c>
      <c r="D962" s="1" t="str">
        <f t="shared" si="29"/>
        <v>9/01/2019</v>
      </c>
      <c r="E962" t="s">
        <v>37</v>
      </c>
      <c r="F962" t="s">
        <v>38</v>
      </c>
      <c r="G962" t="s">
        <v>39</v>
      </c>
      <c r="H962">
        <v>198</v>
      </c>
      <c r="I962">
        <v>179</v>
      </c>
      <c r="L962">
        <v>0</v>
      </c>
      <c r="M962">
        <v>0</v>
      </c>
      <c r="N962">
        <v>0</v>
      </c>
      <c r="R962">
        <v>12</v>
      </c>
      <c r="U962">
        <v>0</v>
      </c>
      <c r="V962">
        <v>0</v>
      </c>
      <c r="W962" s="1">
        <v>44160</v>
      </c>
      <c r="AA962" t="s">
        <v>40</v>
      </c>
      <c r="AB962" t="s">
        <v>40</v>
      </c>
      <c r="AF962" t="s">
        <v>40</v>
      </c>
      <c r="AG962" t="s">
        <v>40</v>
      </c>
      <c r="AH962" t="s">
        <v>40</v>
      </c>
      <c r="AJ962" t="s">
        <v>40</v>
      </c>
      <c r="AK962" t="s">
        <v>40</v>
      </c>
    </row>
    <row r="963" spans="1:37" x14ac:dyDescent="0.3">
      <c r="A963">
        <v>2019</v>
      </c>
      <c r="B963">
        <v>9</v>
      </c>
      <c r="C963" t="str">
        <f t="shared" ref="C963:C1026" si="30">CONCATENATE(B963,"/01/",A963)</f>
        <v>9/01/2019</v>
      </c>
      <c r="D963" s="1" t="str">
        <f t="shared" ref="D963:D1026" si="31">C963</f>
        <v>9/01/2019</v>
      </c>
      <c r="E963" t="s">
        <v>37</v>
      </c>
      <c r="F963" t="s">
        <v>38</v>
      </c>
      <c r="G963" t="s">
        <v>41</v>
      </c>
      <c r="H963">
        <v>126</v>
      </c>
      <c r="I963">
        <v>57</v>
      </c>
      <c r="K963">
        <v>19</v>
      </c>
      <c r="M963">
        <v>0</v>
      </c>
      <c r="O963">
        <v>0</v>
      </c>
      <c r="Q963">
        <v>0</v>
      </c>
      <c r="T963">
        <v>0</v>
      </c>
      <c r="U963">
        <v>0</v>
      </c>
      <c r="V963">
        <v>0</v>
      </c>
      <c r="W963" s="1">
        <v>44160</v>
      </c>
      <c r="AA963" t="s">
        <v>40</v>
      </c>
      <c r="AC963" t="s">
        <v>40</v>
      </c>
      <c r="AE963" t="s">
        <v>40</v>
      </c>
      <c r="AG963" t="s">
        <v>40</v>
      </c>
      <c r="AI963" t="s">
        <v>40</v>
      </c>
      <c r="AJ963" t="s">
        <v>40</v>
      </c>
    </row>
    <row r="964" spans="1:37" x14ac:dyDescent="0.3">
      <c r="A964">
        <v>2019</v>
      </c>
      <c r="B964">
        <v>9</v>
      </c>
      <c r="C964" t="str">
        <f t="shared" si="30"/>
        <v>9/01/2019</v>
      </c>
      <c r="D964" s="1" t="str">
        <f t="shared" si="31"/>
        <v>9/01/2019</v>
      </c>
      <c r="E964" t="s">
        <v>37</v>
      </c>
      <c r="F964" t="s">
        <v>38</v>
      </c>
      <c r="G964" t="s">
        <v>42</v>
      </c>
      <c r="H964">
        <v>182</v>
      </c>
      <c r="I964">
        <v>78</v>
      </c>
      <c r="K964">
        <v>26</v>
      </c>
      <c r="M964">
        <v>0</v>
      </c>
      <c r="N964">
        <v>0</v>
      </c>
      <c r="O964">
        <v>0</v>
      </c>
      <c r="P964">
        <v>0</v>
      </c>
      <c r="U964">
        <v>0</v>
      </c>
      <c r="V964">
        <v>0</v>
      </c>
      <c r="W964" s="1">
        <v>44160</v>
      </c>
      <c r="AA964" t="s">
        <v>40</v>
      </c>
      <c r="AC964" t="s">
        <v>40</v>
      </c>
      <c r="AH964" t="s">
        <v>40</v>
      </c>
      <c r="AI964" t="s">
        <v>40</v>
      </c>
      <c r="AJ964" t="s">
        <v>40</v>
      </c>
      <c r="AK964" t="s">
        <v>40</v>
      </c>
    </row>
    <row r="965" spans="1:37" x14ac:dyDescent="0.3">
      <c r="A965">
        <v>2019</v>
      </c>
      <c r="B965">
        <v>9</v>
      </c>
      <c r="C965" t="str">
        <f t="shared" si="30"/>
        <v>9/01/2019</v>
      </c>
      <c r="D965" s="1" t="str">
        <f t="shared" si="31"/>
        <v>9/01/2019</v>
      </c>
      <c r="E965" t="s">
        <v>37</v>
      </c>
      <c r="F965" t="s">
        <v>38</v>
      </c>
      <c r="G965" t="s">
        <v>43</v>
      </c>
      <c r="H965">
        <v>303</v>
      </c>
      <c r="I965">
        <v>221</v>
      </c>
      <c r="K965">
        <v>95</v>
      </c>
      <c r="M965">
        <v>0</v>
      </c>
      <c r="S965">
        <v>28</v>
      </c>
      <c r="T965">
        <v>10</v>
      </c>
      <c r="U965">
        <v>0</v>
      </c>
      <c r="V965">
        <v>0</v>
      </c>
      <c r="W965" s="1">
        <v>44160</v>
      </c>
      <c r="AA965" t="s">
        <v>40</v>
      </c>
      <c r="AC965" t="s">
        <v>40</v>
      </c>
      <c r="AE965" t="s">
        <v>40</v>
      </c>
      <c r="AF965" t="s">
        <v>40</v>
      </c>
      <c r="AG965" t="s">
        <v>40</v>
      </c>
      <c r="AH965" t="s">
        <v>40</v>
      </c>
      <c r="AI965" t="s">
        <v>40</v>
      </c>
    </row>
    <row r="966" spans="1:37" x14ac:dyDescent="0.3">
      <c r="A966">
        <v>2019</v>
      </c>
      <c r="B966">
        <v>9</v>
      </c>
      <c r="C966" t="str">
        <f t="shared" si="30"/>
        <v>9/01/2019</v>
      </c>
      <c r="D966" s="1" t="str">
        <f t="shared" si="31"/>
        <v>9/01/2019</v>
      </c>
      <c r="E966" t="s">
        <v>37</v>
      </c>
      <c r="F966" t="s">
        <v>38</v>
      </c>
      <c r="G966" t="s">
        <v>44</v>
      </c>
      <c r="H966">
        <v>555</v>
      </c>
      <c r="I966">
        <v>480</v>
      </c>
      <c r="J966">
        <v>13</v>
      </c>
      <c r="K966">
        <v>221</v>
      </c>
      <c r="L966">
        <v>23</v>
      </c>
      <c r="O966">
        <v>11</v>
      </c>
      <c r="S966">
        <v>58</v>
      </c>
      <c r="T966">
        <v>25</v>
      </c>
      <c r="U966">
        <v>0</v>
      </c>
      <c r="V966">
        <v>0</v>
      </c>
      <c r="W966" s="1">
        <v>44160</v>
      </c>
      <c r="AD966" t="s">
        <v>40</v>
      </c>
      <c r="AE966" t="s">
        <v>40</v>
      </c>
      <c r="AG966" t="s">
        <v>40</v>
      </c>
      <c r="AH966" t="s">
        <v>40</v>
      </c>
      <c r="AI966" t="s">
        <v>40</v>
      </c>
    </row>
    <row r="967" spans="1:37" x14ac:dyDescent="0.3">
      <c r="A967">
        <v>2019</v>
      </c>
      <c r="B967">
        <v>9</v>
      </c>
      <c r="C967" t="str">
        <f t="shared" si="30"/>
        <v>9/01/2019</v>
      </c>
      <c r="D967" s="1" t="str">
        <f t="shared" si="31"/>
        <v>9/01/2019</v>
      </c>
      <c r="E967" t="s">
        <v>37</v>
      </c>
      <c r="F967" t="s">
        <v>38</v>
      </c>
      <c r="G967" t="s">
        <v>45</v>
      </c>
      <c r="H967">
        <v>44</v>
      </c>
      <c r="I967">
        <v>27</v>
      </c>
      <c r="J967">
        <v>0</v>
      </c>
      <c r="K967">
        <v>13</v>
      </c>
      <c r="L967">
        <v>0</v>
      </c>
      <c r="M967">
        <v>0</v>
      </c>
      <c r="N967">
        <v>0</v>
      </c>
      <c r="Q967">
        <v>0</v>
      </c>
      <c r="S967">
        <v>0</v>
      </c>
      <c r="T967">
        <v>0</v>
      </c>
      <c r="U967">
        <v>0</v>
      </c>
      <c r="V967">
        <v>0</v>
      </c>
      <c r="W967" s="1">
        <v>44160</v>
      </c>
      <c r="AF967" t="s">
        <v>40</v>
      </c>
      <c r="AG967" t="s">
        <v>40</v>
      </c>
      <c r="AI967" t="s">
        <v>40</v>
      </c>
    </row>
    <row r="968" spans="1:37" x14ac:dyDescent="0.3">
      <c r="A968">
        <v>2019</v>
      </c>
      <c r="B968">
        <v>9</v>
      </c>
      <c r="C968" t="str">
        <f t="shared" si="30"/>
        <v>9/01/2019</v>
      </c>
      <c r="D968" s="1" t="str">
        <f t="shared" si="31"/>
        <v>9/01/2019</v>
      </c>
      <c r="E968" t="s">
        <v>37</v>
      </c>
      <c r="F968" t="s">
        <v>38</v>
      </c>
      <c r="G968" t="s">
        <v>46</v>
      </c>
      <c r="H968">
        <v>922</v>
      </c>
      <c r="I968">
        <v>860</v>
      </c>
      <c r="J968">
        <v>14</v>
      </c>
      <c r="K968">
        <v>350</v>
      </c>
      <c r="L968">
        <v>55</v>
      </c>
      <c r="N968">
        <v>10</v>
      </c>
      <c r="O968">
        <v>26</v>
      </c>
      <c r="P968">
        <v>18</v>
      </c>
      <c r="Q968">
        <v>17</v>
      </c>
      <c r="S968">
        <v>129</v>
      </c>
      <c r="T968">
        <v>42</v>
      </c>
      <c r="U968">
        <v>0</v>
      </c>
      <c r="V968">
        <v>0</v>
      </c>
      <c r="W968" s="1">
        <v>44160</v>
      </c>
      <c r="AD968" t="s">
        <v>40</v>
      </c>
      <c r="AI968" t="s">
        <v>40</v>
      </c>
    </row>
    <row r="969" spans="1:37" x14ac:dyDescent="0.3">
      <c r="A969">
        <v>2019</v>
      </c>
      <c r="B969">
        <v>9</v>
      </c>
      <c r="C969" t="str">
        <f t="shared" si="30"/>
        <v>9/01/2019</v>
      </c>
      <c r="D969" s="1" t="str">
        <f t="shared" si="31"/>
        <v>9/01/2019</v>
      </c>
      <c r="E969" t="s">
        <v>37</v>
      </c>
      <c r="F969" t="s">
        <v>38</v>
      </c>
      <c r="G969" t="s">
        <v>47</v>
      </c>
      <c r="H969" s="2">
        <v>1221</v>
      </c>
      <c r="I969" s="2">
        <v>1178</v>
      </c>
      <c r="J969">
        <v>14</v>
      </c>
      <c r="K969">
        <v>395</v>
      </c>
      <c r="L969">
        <v>84</v>
      </c>
      <c r="M969">
        <v>29</v>
      </c>
      <c r="N969">
        <v>14</v>
      </c>
      <c r="O969">
        <v>29</v>
      </c>
      <c r="P969">
        <v>31</v>
      </c>
      <c r="Q969">
        <v>31</v>
      </c>
      <c r="S969">
        <v>217</v>
      </c>
      <c r="T969">
        <v>64</v>
      </c>
      <c r="U969">
        <v>0</v>
      </c>
      <c r="V969">
        <v>0</v>
      </c>
      <c r="W969" s="1">
        <v>44160</v>
      </c>
      <c r="AI969" t="s">
        <v>40</v>
      </c>
    </row>
    <row r="970" spans="1:37" x14ac:dyDescent="0.3">
      <c r="A970">
        <v>2019</v>
      </c>
      <c r="B970">
        <v>9</v>
      </c>
      <c r="C970" t="str">
        <f t="shared" si="30"/>
        <v>9/01/2019</v>
      </c>
      <c r="D970" s="1" t="str">
        <f t="shared" si="31"/>
        <v>9/01/2019</v>
      </c>
      <c r="E970" t="s">
        <v>37</v>
      </c>
      <c r="F970" t="s">
        <v>38</v>
      </c>
      <c r="G970" t="s">
        <v>48</v>
      </c>
      <c r="H970" s="2">
        <v>1630</v>
      </c>
      <c r="I970" s="2">
        <v>1592</v>
      </c>
      <c r="J970">
        <v>25</v>
      </c>
      <c r="K970">
        <v>366</v>
      </c>
      <c r="L970">
        <v>103</v>
      </c>
      <c r="M970">
        <v>118</v>
      </c>
      <c r="N970">
        <v>23</v>
      </c>
      <c r="O970">
        <v>54</v>
      </c>
      <c r="P970">
        <v>27</v>
      </c>
      <c r="Q970">
        <v>49</v>
      </c>
      <c r="R970">
        <v>11</v>
      </c>
      <c r="S970">
        <v>334</v>
      </c>
      <c r="T970">
        <v>129</v>
      </c>
      <c r="U970">
        <v>0</v>
      </c>
      <c r="V970">
        <v>0</v>
      </c>
      <c r="W970" s="1">
        <v>44160</v>
      </c>
    </row>
    <row r="971" spans="1:37" x14ac:dyDescent="0.3">
      <c r="A971">
        <v>2019</v>
      </c>
      <c r="B971">
        <v>9</v>
      </c>
      <c r="C971" t="str">
        <f t="shared" si="30"/>
        <v>9/01/2019</v>
      </c>
      <c r="D971" s="1" t="str">
        <f t="shared" si="31"/>
        <v>9/01/2019</v>
      </c>
      <c r="E971" t="s">
        <v>37</v>
      </c>
      <c r="F971" t="s">
        <v>38</v>
      </c>
      <c r="G971" t="s">
        <v>49</v>
      </c>
      <c r="H971" s="2">
        <v>2302</v>
      </c>
      <c r="I971" s="2">
        <v>2261</v>
      </c>
      <c r="J971">
        <v>18</v>
      </c>
      <c r="K971">
        <v>275</v>
      </c>
      <c r="L971">
        <v>72</v>
      </c>
      <c r="M971">
        <v>317</v>
      </c>
      <c r="N971">
        <v>35</v>
      </c>
      <c r="O971">
        <v>72</v>
      </c>
      <c r="P971">
        <v>31</v>
      </c>
      <c r="Q971">
        <v>48</v>
      </c>
      <c r="R971">
        <v>16</v>
      </c>
      <c r="S971">
        <v>557</v>
      </c>
      <c r="T971">
        <v>227</v>
      </c>
      <c r="U971">
        <v>0</v>
      </c>
      <c r="V971">
        <v>0</v>
      </c>
      <c r="W971" s="1">
        <v>44160</v>
      </c>
    </row>
    <row r="972" spans="1:37" x14ac:dyDescent="0.3">
      <c r="A972">
        <v>2019</v>
      </c>
      <c r="B972">
        <v>9</v>
      </c>
      <c r="C972" t="str">
        <f t="shared" si="30"/>
        <v>9/01/2019</v>
      </c>
      <c r="D972" s="1" t="str">
        <f t="shared" si="31"/>
        <v>9/01/2019</v>
      </c>
      <c r="E972" t="s">
        <v>37</v>
      </c>
      <c r="F972" t="s">
        <v>50</v>
      </c>
      <c r="G972" t="s">
        <v>39</v>
      </c>
      <c r="H972">
        <v>12</v>
      </c>
      <c r="I972">
        <v>10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S972">
        <v>0</v>
      </c>
      <c r="T972">
        <v>0</v>
      </c>
      <c r="U972">
        <v>0</v>
      </c>
      <c r="V972">
        <v>0</v>
      </c>
      <c r="W972" s="1">
        <v>44160</v>
      </c>
      <c r="AI972" t="s">
        <v>40</v>
      </c>
    </row>
    <row r="973" spans="1:37" x14ac:dyDescent="0.3">
      <c r="A973">
        <v>2019</v>
      </c>
      <c r="B973">
        <v>9</v>
      </c>
      <c r="C973" t="str">
        <f t="shared" si="30"/>
        <v>9/01/2019</v>
      </c>
      <c r="D973" s="1" t="str">
        <f t="shared" si="31"/>
        <v>9/01/2019</v>
      </c>
      <c r="E973" t="s">
        <v>37</v>
      </c>
      <c r="F973" t="s">
        <v>50</v>
      </c>
      <c r="G973" t="s">
        <v>41</v>
      </c>
      <c r="H973">
        <v>21</v>
      </c>
      <c r="J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T973">
        <v>0</v>
      </c>
      <c r="U973">
        <v>0</v>
      </c>
      <c r="V973">
        <v>0</v>
      </c>
      <c r="W973" s="1">
        <v>44160</v>
      </c>
      <c r="Z973" t="s">
        <v>40</v>
      </c>
      <c r="AB973" t="s">
        <v>40</v>
      </c>
      <c r="AJ973" t="s">
        <v>40</v>
      </c>
    </row>
    <row r="974" spans="1:37" x14ac:dyDescent="0.3">
      <c r="A974">
        <v>2019</v>
      </c>
      <c r="B974">
        <v>9</v>
      </c>
      <c r="C974" t="str">
        <f t="shared" si="30"/>
        <v>9/01/2019</v>
      </c>
      <c r="D974" s="1" t="str">
        <f t="shared" si="31"/>
        <v>9/01/2019</v>
      </c>
      <c r="E974" t="s">
        <v>37</v>
      </c>
      <c r="F974" t="s">
        <v>50</v>
      </c>
      <c r="G974" t="s">
        <v>42</v>
      </c>
      <c r="H974">
        <v>35</v>
      </c>
      <c r="I974">
        <v>16</v>
      </c>
      <c r="J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T974">
        <v>0</v>
      </c>
      <c r="U974">
        <v>0</v>
      </c>
      <c r="V974">
        <v>0</v>
      </c>
      <c r="W974" s="1">
        <v>44160</v>
      </c>
      <c r="AB974" t="s">
        <v>40</v>
      </c>
      <c r="AJ974" t="s">
        <v>40</v>
      </c>
    </row>
    <row r="975" spans="1:37" x14ac:dyDescent="0.3">
      <c r="A975">
        <v>2019</v>
      </c>
      <c r="B975">
        <v>9</v>
      </c>
      <c r="C975" t="str">
        <f t="shared" si="30"/>
        <v>9/01/2019</v>
      </c>
      <c r="D975" s="1" t="str">
        <f t="shared" si="31"/>
        <v>9/01/2019</v>
      </c>
      <c r="E975" t="s">
        <v>37</v>
      </c>
      <c r="F975" t="s">
        <v>50</v>
      </c>
      <c r="G975" t="s">
        <v>43</v>
      </c>
      <c r="H975">
        <v>51</v>
      </c>
      <c r="I975">
        <v>33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T975">
        <v>0</v>
      </c>
      <c r="U975">
        <v>0</v>
      </c>
      <c r="V975">
        <v>0</v>
      </c>
      <c r="W975" s="1">
        <v>44160</v>
      </c>
      <c r="AA975" t="s">
        <v>40</v>
      </c>
      <c r="AB975" t="s">
        <v>40</v>
      </c>
      <c r="AC975" t="s">
        <v>40</v>
      </c>
      <c r="AJ975" t="s">
        <v>40</v>
      </c>
    </row>
    <row r="976" spans="1:37" x14ac:dyDescent="0.3">
      <c r="A976">
        <v>2019</v>
      </c>
      <c r="B976">
        <v>9</v>
      </c>
      <c r="C976" t="str">
        <f t="shared" si="30"/>
        <v>9/01/2019</v>
      </c>
      <c r="D976" s="1" t="str">
        <f t="shared" si="31"/>
        <v>9/01/2019</v>
      </c>
      <c r="E976" t="s">
        <v>37</v>
      </c>
      <c r="F976" t="s">
        <v>50</v>
      </c>
      <c r="G976" t="s">
        <v>44</v>
      </c>
      <c r="H976">
        <v>61</v>
      </c>
      <c r="I976">
        <v>51</v>
      </c>
      <c r="J976">
        <v>0</v>
      </c>
      <c r="N976">
        <v>0</v>
      </c>
      <c r="O976">
        <v>0</v>
      </c>
      <c r="P976">
        <v>0</v>
      </c>
      <c r="U976">
        <v>0</v>
      </c>
      <c r="V976">
        <v>0</v>
      </c>
      <c r="W976" s="1">
        <v>44160</v>
      </c>
      <c r="AB976" t="s">
        <v>40</v>
      </c>
      <c r="AC976" t="s">
        <v>40</v>
      </c>
      <c r="AD976" t="s">
        <v>40</v>
      </c>
      <c r="AH976" t="s">
        <v>40</v>
      </c>
      <c r="AI976" t="s">
        <v>40</v>
      </c>
      <c r="AJ976" t="s">
        <v>40</v>
      </c>
      <c r="AK976" t="s">
        <v>40</v>
      </c>
    </row>
    <row r="977" spans="1:37" x14ac:dyDescent="0.3">
      <c r="A977">
        <v>2019</v>
      </c>
      <c r="B977">
        <v>9</v>
      </c>
      <c r="C977" t="str">
        <f t="shared" si="30"/>
        <v>9/01/2019</v>
      </c>
      <c r="D977" s="1" t="str">
        <f t="shared" si="31"/>
        <v>9/01/2019</v>
      </c>
      <c r="E977" t="s">
        <v>37</v>
      </c>
      <c r="F977" t="s">
        <v>50</v>
      </c>
      <c r="G977" t="s">
        <v>45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 s="1">
        <v>44160</v>
      </c>
      <c r="Y977" t="s">
        <v>40</v>
      </c>
    </row>
    <row r="978" spans="1:37" x14ac:dyDescent="0.3">
      <c r="A978">
        <v>2019</v>
      </c>
      <c r="B978">
        <v>9</v>
      </c>
      <c r="C978" t="str">
        <f t="shared" si="30"/>
        <v>9/01/2019</v>
      </c>
      <c r="D978" s="1" t="str">
        <f t="shared" si="31"/>
        <v>9/01/2019</v>
      </c>
      <c r="E978" t="s">
        <v>37</v>
      </c>
      <c r="F978" t="s">
        <v>50</v>
      </c>
      <c r="G978" t="s">
        <v>46</v>
      </c>
      <c r="H978">
        <v>102</v>
      </c>
      <c r="I978">
        <v>92</v>
      </c>
      <c r="K978">
        <v>28</v>
      </c>
      <c r="M978">
        <v>0</v>
      </c>
      <c r="R978">
        <v>0</v>
      </c>
      <c r="S978">
        <v>12</v>
      </c>
      <c r="U978">
        <v>0</v>
      </c>
      <c r="V978">
        <v>0</v>
      </c>
      <c r="W978" s="1">
        <v>44160</v>
      </c>
      <c r="AA978" t="s">
        <v>40</v>
      </c>
      <c r="AC978" t="s">
        <v>40</v>
      </c>
      <c r="AE978" t="s">
        <v>40</v>
      </c>
      <c r="AF978" t="s">
        <v>40</v>
      </c>
      <c r="AG978" t="s">
        <v>40</v>
      </c>
      <c r="AH978" t="s">
        <v>40</v>
      </c>
      <c r="AK978" t="s">
        <v>40</v>
      </c>
    </row>
    <row r="979" spans="1:37" x14ac:dyDescent="0.3">
      <c r="A979">
        <v>2019</v>
      </c>
      <c r="B979">
        <v>9</v>
      </c>
      <c r="C979" t="str">
        <f t="shared" si="30"/>
        <v>9/01/2019</v>
      </c>
      <c r="D979" s="1" t="str">
        <f t="shared" si="31"/>
        <v>9/01/2019</v>
      </c>
      <c r="E979" t="s">
        <v>37</v>
      </c>
      <c r="F979" t="s">
        <v>50</v>
      </c>
      <c r="G979" t="s">
        <v>47</v>
      </c>
      <c r="H979">
        <v>126</v>
      </c>
      <c r="I979">
        <v>120</v>
      </c>
      <c r="K979">
        <v>28</v>
      </c>
      <c r="L979">
        <v>12</v>
      </c>
      <c r="R979">
        <v>0</v>
      </c>
      <c r="S979">
        <v>22</v>
      </c>
      <c r="T979">
        <v>0</v>
      </c>
      <c r="U979">
        <v>0</v>
      </c>
      <c r="V979">
        <v>0</v>
      </c>
      <c r="W979" s="1">
        <v>44160</v>
      </c>
      <c r="AA979" t="s">
        <v>40</v>
      </c>
      <c r="AD979" t="s">
        <v>40</v>
      </c>
      <c r="AE979" t="s">
        <v>40</v>
      </c>
      <c r="AF979" t="s">
        <v>40</v>
      </c>
      <c r="AG979" t="s">
        <v>40</v>
      </c>
      <c r="AH979" t="s">
        <v>40</v>
      </c>
    </row>
    <row r="980" spans="1:37" x14ac:dyDescent="0.3">
      <c r="A980">
        <v>2019</v>
      </c>
      <c r="B980">
        <v>9</v>
      </c>
      <c r="C980" t="str">
        <f t="shared" si="30"/>
        <v>9/01/2019</v>
      </c>
      <c r="D980" s="1" t="str">
        <f t="shared" si="31"/>
        <v>9/01/2019</v>
      </c>
      <c r="E980" t="s">
        <v>37</v>
      </c>
      <c r="F980" t="s">
        <v>50</v>
      </c>
      <c r="G980" t="s">
        <v>48</v>
      </c>
      <c r="H980">
        <v>146</v>
      </c>
      <c r="I980">
        <v>141</v>
      </c>
      <c r="K980">
        <v>32</v>
      </c>
      <c r="L980">
        <v>13</v>
      </c>
      <c r="O980">
        <v>11</v>
      </c>
      <c r="S980">
        <v>26</v>
      </c>
      <c r="T980">
        <v>14</v>
      </c>
      <c r="U980">
        <v>0</v>
      </c>
      <c r="V980">
        <v>0</v>
      </c>
      <c r="W980" s="1">
        <v>44160</v>
      </c>
      <c r="AA980" t="s">
        <v>40</v>
      </c>
      <c r="AD980" t="s">
        <v>40</v>
      </c>
      <c r="AE980" t="s">
        <v>40</v>
      </c>
      <c r="AG980" t="s">
        <v>40</v>
      </c>
      <c r="AH980" t="s">
        <v>40</v>
      </c>
      <c r="AI980" t="s">
        <v>40</v>
      </c>
    </row>
    <row r="981" spans="1:37" x14ac:dyDescent="0.3">
      <c r="A981">
        <v>2019</v>
      </c>
      <c r="B981">
        <v>9</v>
      </c>
      <c r="C981" t="str">
        <f t="shared" si="30"/>
        <v>9/01/2019</v>
      </c>
      <c r="D981" s="1" t="str">
        <f t="shared" si="31"/>
        <v>9/01/2019</v>
      </c>
      <c r="E981" t="s">
        <v>37</v>
      </c>
      <c r="F981" t="s">
        <v>50</v>
      </c>
      <c r="G981" t="s">
        <v>49</v>
      </c>
      <c r="H981">
        <v>90</v>
      </c>
      <c r="I981">
        <v>90</v>
      </c>
      <c r="S981">
        <v>17</v>
      </c>
      <c r="U981">
        <v>0</v>
      </c>
      <c r="V981">
        <v>0</v>
      </c>
      <c r="W981" s="1">
        <v>44160</v>
      </c>
      <c r="AA981" t="s">
        <v>40</v>
      </c>
      <c r="AB981" t="s">
        <v>40</v>
      </c>
      <c r="AC981" t="s">
        <v>40</v>
      </c>
      <c r="AD981" t="s">
        <v>40</v>
      </c>
      <c r="AE981" t="s">
        <v>40</v>
      </c>
      <c r="AF981" t="s">
        <v>40</v>
      </c>
      <c r="AG981" t="s">
        <v>40</v>
      </c>
      <c r="AH981" t="s">
        <v>40</v>
      </c>
      <c r="AI981" t="s">
        <v>40</v>
      </c>
      <c r="AK981" t="s">
        <v>40</v>
      </c>
    </row>
    <row r="982" spans="1:37" x14ac:dyDescent="0.3">
      <c r="A982">
        <v>2019</v>
      </c>
      <c r="B982">
        <v>9</v>
      </c>
      <c r="C982" t="str">
        <f t="shared" si="30"/>
        <v>9/01/2019</v>
      </c>
      <c r="D982" s="1" t="str">
        <f t="shared" si="31"/>
        <v>9/01/2019</v>
      </c>
      <c r="E982" t="s">
        <v>37</v>
      </c>
      <c r="F982" t="s">
        <v>51</v>
      </c>
      <c r="G982" t="s">
        <v>39</v>
      </c>
      <c r="H982">
        <v>25</v>
      </c>
      <c r="I982">
        <v>24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T982">
        <v>0</v>
      </c>
      <c r="U982">
        <v>0</v>
      </c>
      <c r="V982">
        <v>0</v>
      </c>
      <c r="W982" s="1">
        <v>44160</v>
      </c>
      <c r="AJ982" t="s">
        <v>40</v>
      </c>
    </row>
    <row r="983" spans="1:37" x14ac:dyDescent="0.3">
      <c r="A983">
        <v>2019</v>
      </c>
      <c r="B983">
        <v>9</v>
      </c>
      <c r="C983" t="str">
        <f t="shared" si="30"/>
        <v>9/01/2019</v>
      </c>
      <c r="D983" s="1" t="str">
        <f t="shared" si="31"/>
        <v>9/01/2019</v>
      </c>
      <c r="E983" t="s">
        <v>37</v>
      </c>
      <c r="F983" t="s">
        <v>51</v>
      </c>
      <c r="G983" t="s">
        <v>41</v>
      </c>
      <c r="H983">
        <v>14</v>
      </c>
      <c r="J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 s="1">
        <v>44160</v>
      </c>
      <c r="Z983" t="s">
        <v>40</v>
      </c>
      <c r="AB983" t="s">
        <v>40</v>
      </c>
    </row>
    <row r="984" spans="1:37" x14ac:dyDescent="0.3">
      <c r="A984">
        <v>2019</v>
      </c>
      <c r="B984">
        <v>9</v>
      </c>
      <c r="C984" t="str">
        <f t="shared" si="30"/>
        <v>9/01/2019</v>
      </c>
      <c r="D984" s="1" t="str">
        <f t="shared" si="31"/>
        <v>9/01/2019</v>
      </c>
      <c r="E984" t="s">
        <v>37</v>
      </c>
      <c r="F984" t="s">
        <v>51</v>
      </c>
      <c r="G984" t="s">
        <v>42</v>
      </c>
      <c r="H984">
        <v>34</v>
      </c>
      <c r="I984">
        <v>14</v>
      </c>
      <c r="J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U984">
        <v>0</v>
      </c>
      <c r="V984">
        <v>0</v>
      </c>
      <c r="W984" s="1">
        <v>44160</v>
      </c>
      <c r="AB984" t="s">
        <v>40</v>
      </c>
      <c r="AC984" t="s">
        <v>40</v>
      </c>
      <c r="AI984" t="s">
        <v>40</v>
      </c>
      <c r="AJ984" t="s">
        <v>40</v>
      </c>
      <c r="AK984" t="s">
        <v>40</v>
      </c>
    </row>
    <row r="985" spans="1:37" x14ac:dyDescent="0.3">
      <c r="A985">
        <v>2019</v>
      </c>
      <c r="B985">
        <v>9</v>
      </c>
      <c r="C985" t="str">
        <f t="shared" si="30"/>
        <v>9/01/2019</v>
      </c>
      <c r="D985" s="1" t="str">
        <f t="shared" si="31"/>
        <v>9/01/2019</v>
      </c>
      <c r="E985" t="s">
        <v>37</v>
      </c>
      <c r="F985" t="s">
        <v>51</v>
      </c>
      <c r="G985" t="s">
        <v>43</v>
      </c>
      <c r="H985">
        <v>61</v>
      </c>
      <c r="I985">
        <v>49</v>
      </c>
      <c r="J985">
        <v>0</v>
      </c>
      <c r="K985">
        <v>27</v>
      </c>
      <c r="M985">
        <v>0</v>
      </c>
      <c r="N985">
        <v>0</v>
      </c>
      <c r="Q985">
        <v>0</v>
      </c>
      <c r="R985">
        <v>0</v>
      </c>
      <c r="U985">
        <v>0</v>
      </c>
      <c r="V985">
        <v>0</v>
      </c>
      <c r="W985" s="1">
        <v>44160</v>
      </c>
      <c r="AC985" t="s">
        <v>40</v>
      </c>
      <c r="AF985" t="s">
        <v>40</v>
      </c>
      <c r="AG985" t="s">
        <v>40</v>
      </c>
      <c r="AJ985" t="s">
        <v>40</v>
      </c>
      <c r="AK985" t="s">
        <v>40</v>
      </c>
    </row>
    <row r="986" spans="1:37" x14ac:dyDescent="0.3">
      <c r="A986">
        <v>2019</v>
      </c>
      <c r="B986">
        <v>9</v>
      </c>
      <c r="C986" t="str">
        <f t="shared" si="30"/>
        <v>9/01/2019</v>
      </c>
      <c r="D986" s="1" t="str">
        <f t="shared" si="31"/>
        <v>9/01/2019</v>
      </c>
      <c r="E986" t="s">
        <v>37</v>
      </c>
      <c r="F986" t="s">
        <v>51</v>
      </c>
      <c r="G986" t="s">
        <v>44</v>
      </c>
      <c r="H986">
        <v>123</v>
      </c>
      <c r="I986">
        <v>111</v>
      </c>
      <c r="K986">
        <v>69</v>
      </c>
      <c r="O986">
        <v>0</v>
      </c>
      <c r="P986">
        <v>0</v>
      </c>
      <c r="R986">
        <v>0</v>
      </c>
      <c r="T986">
        <v>10</v>
      </c>
      <c r="U986">
        <v>0</v>
      </c>
      <c r="V986">
        <v>0</v>
      </c>
      <c r="W986" s="1">
        <v>44160</v>
      </c>
      <c r="AA986" t="s">
        <v>40</v>
      </c>
      <c r="AC986" t="s">
        <v>40</v>
      </c>
      <c r="AD986" t="s">
        <v>40</v>
      </c>
      <c r="AE986" t="s">
        <v>40</v>
      </c>
      <c r="AH986" t="s">
        <v>40</v>
      </c>
      <c r="AJ986" t="s">
        <v>40</v>
      </c>
    </row>
    <row r="987" spans="1:37" x14ac:dyDescent="0.3">
      <c r="A987">
        <v>2019</v>
      </c>
      <c r="B987">
        <v>9</v>
      </c>
      <c r="C987" t="str">
        <f t="shared" si="30"/>
        <v>9/01/2019</v>
      </c>
      <c r="D987" s="1" t="str">
        <f t="shared" si="31"/>
        <v>9/01/2019</v>
      </c>
      <c r="E987" t="s">
        <v>37</v>
      </c>
      <c r="F987" t="s">
        <v>51</v>
      </c>
      <c r="G987" t="s">
        <v>45</v>
      </c>
      <c r="J987">
        <v>0</v>
      </c>
      <c r="K987">
        <v>0</v>
      </c>
      <c r="L987">
        <v>0</v>
      </c>
      <c r="M987">
        <v>0</v>
      </c>
      <c r="O987">
        <v>0</v>
      </c>
      <c r="P987">
        <v>0</v>
      </c>
      <c r="Q987">
        <v>0</v>
      </c>
      <c r="R987">
        <v>0</v>
      </c>
      <c r="U987">
        <v>0</v>
      </c>
      <c r="V987">
        <v>0</v>
      </c>
      <c r="W987" s="1">
        <v>44160</v>
      </c>
      <c r="Y987" t="s">
        <v>40</v>
      </c>
      <c r="Z987" t="s">
        <v>40</v>
      </c>
      <c r="AE987" t="s">
        <v>40</v>
      </c>
      <c r="AJ987" t="s">
        <v>40</v>
      </c>
      <c r="AK987" t="s">
        <v>40</v>
      </c>
    </row>
    <row r="988" spans="1:37" x14ac:dyDescent="0.3">
      <c r="A988">
        <v>2019</v>
      </c>
      <c r="B988">
        <v>9</v>
      </c>
      <c r="C988" t="str">
        <f t="shared" si="30"/>
        <v>9/01/2019</v>
      </c>
      <c r="D988" s="1" t="str">
        <f t="shared" si="31"/>
        <v>9/01/2019</v>
      </c>
      <c r="E988" t="s">
        <v>37</v>
      </c>
      <c r="F988" t="s">
        <v>51</v>
      </c>
      <c r="G988" t="s">
        <v>46</v>
      </c>
      <c r="H988">
        <v>245</v>
      </c>
      <c r="I988">
        <v>232</v>
      </c>
      <c r="K988">
        <v>122</v>
      </c>
      <c r="R988">
        <v>0</v>
      </c>
      <c r="S988">
        <v>35</v>
      </c>
      <c r="T988">
        <v>18</v>
      </c>
      <c r="U988">
        <v>0</v>
      </c>
      <c r="V988">
        <v>0</v>
      </c>
      <c r="W988" s="1">
        <v>44160</v>
      </c>
      <c r="AA988" t="s">
        <v>40</v>
      </c>
      <c r="AC988" t="s">
        <v>40</v>
      </c>
      <c r="AD988" t="s">
        <v>40</v>
      </c>
      <c r="AE988" t="s">
        <v>40</v>
      </c>
      <c r="AF988" t="s">
        <v>40</v>
      </c>
      <c r="AG988" t="s">
        <v>40</v>
      </c>
      <c r="AH988" t="s">
        <v>40</v>
      </c>
    </row>
    <row r="989" spans="1:37" x14ac:dyDescent="0.3">
      <c r="A989">
        <v>2019</v>
      </c>
      <c r="B989">
        <v>9</v>
      </c>
      <c r="C989" t="str">
        <f t="shared" si="30"/>
        <v>9/01/2019</v>
      </c>
      <c r="D989" s="1" t="str">
        <f t="shared" si="31"/>
        <v>9/01/2019</v>
      </c>
      <c r="E989" t="s">
        <v>37</v>
      </c>
      <c r="F989" t="s">
        <v>51</v>
      </c>
      <c r="G989" t="s">
        <v>47</v>
      </c>
      <c r="H989">
        <v>402</v>
      </c>
      <c r="I989">
        <v>388</v>
      </c>
      <c r="K989">
        <v>187</v>
      </c>
      <c r="L989">
        <v>18</v>
      </c>
      <c r="S989">
        <v>55</v>
      </c>
      <c r="T989">
        <v>33</v>
      </c>
      <c r="U989">
        <v>0</v>
      </c>
      <c r="V989">
        <v>0</v>
      </c>
      <c r="W989" s="1">
        <v>44160</v>
      </c>
      <c r="AA989" t="s">
        <v>40</v>
      </c>
      <c r="AD989" t="s">
        <v>40</v>
      </c>
      <c r="AE989" t="s">
        <v>40</v>
      </c>
      <c r="AF989" t="s">
        <v>40</v>
      </c>
      <c r="AG989" t="s">
        <v>40</v>
      </c>
      <c r="AH989" t="s">
        <v>40</v>
      </c>
      <c r="AI989" t="s">
        <v>40</v>
      </c>
    </row>
    <row r="990" spans="1:37" x14ac:dyDescent="0.3">
      <c r="A990">
        <v>2019</v>
      </c>
      <c r="B990">
        <v>9</v>
      </c>
      <c r="C990" t="str">
        <f t="shared" si="30"/>
        <v>9/01/2019</v>
      </c>
      <c r="D990" s="1" t="str">
        <f t="shared" si="31"/>
        <v>9/01/2019</v>
      </c>
      <c r="E990" t="s">
        <v>37</v>
      </c>
      <c r="F990" t="s">
        <v>51</v>
      </c>
      <c r="G990" t="s">
        <v>48</v>
      </c>
      <c r="H990">
        <v>612</v>
      </c>
      <c r="I990">
        <v>589</v>
      </c>
      <c r="K990">
        <v>178</v>
      </c>
      <c r="L990">
        <v>24</v>
      </c>
      <c r="M990">
        <v>25</v>
      </c>
      <c r="N990">
        <v>10</v>
      </c>
      <c r="O990">
        <v>13</v>
      </c>
      <c r="Q990">
        <v>17</v>
      </c>
      <c r="S990">
        <v>131</v>
      </c>
      <c r="T990">
        <v>50</v>
      </c>
      <c r="U990">
        <v>0</v>
      </c>
      <c r="V990">
        <v>0</v>
      </c>
      <c r="W990" s="1">
        <v>44160</v>
      </c>
      <c r="AA990" t="s">
        <v>40</v>
      </c>
      <c r="AG990" t="s">
        <v>40</v>
      </c>
      <c r="AI990" t="s">
        <v>40</v>
      </c>
    </row>
    <row r="991" spans="1:37" x14ac:dyDescent="0.3">
      <c r="A991">
        <v>2019</v>
      </c>
      <c r="B991">
        <v>9</v>
      </c>
      <c r="C991" t="str">
        <f t="shared" si="30"/>
        <v>9/01/2019</v>
      </c>
      <c r="D991" s="1" t="str">
        <f t="shared" si="31"/>
        <v>9/01/2019</v>
      </c>
      <c r="E991" t="s">
        <v>37</v>
      </c>
      <c r="F991" t="s">
        <v>51</v>
      </c>
      <c r="G991" t="s">
        <v>49</v>
      </c>
      <c r="H991" s="2">
        <v>1105</v>
      </c>
      <c r="I991" s="2">
        <v>1083</v>
      </c>
      <c r="K991">
        <v>143</v>
      </c>
      <c r="L991">
        <v>41</v>
      </c>
      <c r="M991">
        <v>125</v>
      </c>
      <c r="N991">
        <v>24</v>
      </c>
      <c r="O991">
        <v>26</v>
      </c>
      <c r="P991">
        <v>19</v>
      </c>
      <c r="Q991">
        <v>28</v>
      </c>
      <c r="S991">
        <v>275</v>
      </c>
      <c r="T991">
        <v>113</v>
      </c>
      <c r="U991">
        <v>0</v>
      </c>
      <c r="V991">
        <v>0</v>
      </c>
      <c r="W991" s="1">
        <v>44160</v>
      </c>
      <c r="AA991" t="s">
        <v>40</v>
      </c>
      <c r="AI991" t="s">
        <v>40</v>
      </c>
    </row>
    <row r="992" spans="1:37" x14ac:dyDescent="0.3">
      <c r="A992">
        <v>2019</v>
      </c>
      <c r="B992">
        <v>9</v>
      </c>
      <c r="C992" t="str">
        <f t="shared" si="30"/>
        <v>9/01/2019</v>
      </c>
      <c r="D992" s="1" t="str">
        <f t="shared" si="31"/>
        <v>9/01/2019</v>
      </c>
      <c r="E992" t="s">
        <v>37</v>
      </c>
      <c r="F992" t="s">
        <v>52</v>
      </c>
      <c r="G992" t="s">
        <v>39</v>
      </c>
      <c r="H992">
        <v>237</v>
      </c>
      <c r="I992">
        <v>203</v>
      </c>
      <c r="K992">
        <v>0</v>
      </c>
      <c r="L992">
        <v>0</v>
      </c>
      <c r="M992">
        <v>0</v>
      </c>
      <c r="R992">
        <v>30</v>
      </c>
      <c r="U992">
        <v>0</v>
      </c>
      <c r="V992">
        <v>0</v>
      </c>
      <c r="W992" s="1">
        <v>44160</v>
      </c>
      <c r="AA992" t="s">
        <v>40</v>
      </c>
      <c r="AE992" t="s">
        <v>40</v>
      </c>
      <c r="AF992" t="s">
        <v>40</v>
      </c>
      <c r="AG992" t="s">
        <v>40</v>
      </c>
      <c r="AH992" t="s">
        <v>40</v>
      </c>
      <c r="AJ992" t="s">
        <v>40</v>
      </c>
      <c r="AK992" t="s">
        <v>40</v>
      </c>
    </row>
    <row r="993" spans="1:37" x14ac:dyDescent="0.3">
      <c r="A993">
        <v>2019</v>
      </c>
      <c r="B993">
        <v>9</v>
      </c>
      <c r="C993" t="str">
        <f t="shared" si="30"/>
        <v>9/01/2019</v>
      </c>
      <c r="D993" s="1" t="str">
        <f t="shared" si="31"/>
        <v>9/01/2019</v>
      </c>
      <c r="E993" t="s">
        <v>37</v>
      </c>
      <c r="F993" t="s">
        <v>52</v>
      </c>
      <c r="G993" t="s">
        <v>41</v>
      </c>
      <c r="H993">
        <v>118</v>
      </c>
      <c r="I993">
        <v>38</v>
      </c>
      <c r="M993">
        <v>0</v>
      </c>
      <c r="N993">
        <v>0</v>
      </c>
      <c r="P993">
        <v>0</v>
      </c>
      <c r="Q993">
        <v>0</v>
      </c>
      <c r="T993">
        <v>0</v>
      </c>
      <c r="U993">
        <v>0</v>
      </c>
      <c r="V993">
        <v>0</v>
      </c>
      <c r="W993" s="1">
        <v>44160</v>
      </c>
      <c r="AA993" t="s">
        <v>40</v>
      </c>
      <c r="AB993" t="s">
        <v>40</v>
      </c>
      <c r="AC993" t="s">
        <v>40</v>
      </c>
      <c r="AF993" t="s">
        <v>40</v>
      </c>
      <c r="AI993" t="s">
        <v>40</v>
      </c>
      <c r="AJ993" t="s">
        <v>40</v>
      </c>
    </row>
    <row r="994" spans="1:37" x14ac:dyDescent="0.3">
      <c r="A994">
        <v>2019</v>
      </c>
      <c r="B994">
        <v>9</v>
      </c>
      <c r="C994" t="str">
        <f t="shared" si="30"/>
        <v>9/01/2019</v>
      </c>
      <c r="D994" s="1" t="str">
        <f t="shared" si="31"/>
        <v>9/01/2019</v>
      </c>
      <c r="E994" t="s">
        <v>37</v>
      </c>
      <c r="F994" t="s">
        <v>52</v>
      </c>
      <c r="G994" t="s">
        <v>42</v>
      </c>
      <c r="H994">
        <v>278</v>
      </c>
      <c r="I994">
        <v>156</v>
      </c>
      <c r="J994">
        <v>0</v>
      </c>
      <c r="K994">
        <v>23</v>
      </c>
      <c r="M994">
        <v>0</v>
      </c>
      <c r="N994">
        <v>0</v>
      </c>
      <c r="P994">
        <v>0</v>
      </c>
      <c r="S994">
        <v>26</v>
      </c>
      <c r="U994">
        <v>0</v>
      </c>
      <c r="V994">
        <v>0</v>
      </c>
      <c r="W994" s="1">
        <v>44160</v>
      </c>
      <c r="AC994" t="s">
        <v>40</v>
      </c>
      <c r="AF994" t="s">
        <v>40</v>
      </c>
      <c r="AH994" t="s">
        <v>40</v>
      </c>
      <c r="AI994" t="s">
        <v>40</v>
      </c>
      <c r="AK994" t="s">
        <v>40</v>
      </c>
    </row>
    <row r="995" spans="1:37" x14ac:dyDescent="0.3">
      <c r="A995">
        <v>2019</v>
      </c>
      <c r="B995">
        <v>9</v>
      </c>
      <c r="C995" t="str">
        <f t="shared" si="30"/>
        <v>9/01/2019</v>
      </c>
      <c r="D995" s="1" t="str">
        <f t="shared" si="31"/>
        <v>9/01/2019</v>
      </c>
      <c r="E995" t="s">
        <v>37</v>
      </c>
      <c r="F995" t="s">
        <v>52</v>
      </c>
      <c r="G995" t="s">
        <v>43</v>
      </c>
      <c r="H995">
        <v>491</v>
      </c>
      <c r="I995">
        <v>374</v>
      </c>
      <c r="K995">
        <v>88</v>
      </c>
      <c r="L995">
        <v>21</v>
      </c>
      <c r="M995">
        <v>0</v>
      </c>
      <c r="O995">
        <v>10</v>
      </c>
      <c r="S995">
        <v>74</v>
      </c>
      <c r="T995">
        <v>20</v>
      </c>
      <c r="U995">
        <v>0</v>
      </c>
      <c r="V995">
        <v>0</v>
      </c>
      <c r="W995" s="1">
        <v>44160</v>
      </c>
      <c r="AA995" t="s">
        <v>40</v>
      </c>
      <c r="AE995" t="s">
        <v>40</v>
      </c>
      <c r="AG995" t="s">
        <v>40</v>
      </c>
      <c r="AH995" t="s">
        <v>40</v>
      </c>
      <c r="AI995" t="s">
        <v>40</v>
      </c>
    </row>
    <row r="996" spans="1:37" x14ac:dyDescent="0.3">
      <c r="A996">
        <v>2019</v>
      </c>
      <c r="B996">
        <v>9</v>
      </c>
      <c r="C996" t="str">
        <f t="shared" si="30"/>
        <v>9/01/2019</v>
      </c>
      <c r="D996" s="1" t="str">
        <f t="shared" si="31"/>
        <v>9/01/2019</v>
      </c>
      <c r="E996" t="s">
        <v>37</v>
      </c>
      <c r="F996" t="s">
        <v>52</v>
      </c>
      <c r="G996" t="s">
        <v>44</v>
      </c>
      <c r="H996">
        <v>961</v>
      </c>
      <c r="I996">
        <v>848</v>
      </c>
      <c r="J996">
        <v>15</v>
      </c>
      <c r="K996">
        <v>254</v>
      </c>
      <c r="L996">
        <v>48</v>
      </c>
      <c r="M996">
        <v>0</v>
      </c>
      <c r="N996">
        <v>13</v>
      </c>
      <c r="O996">
        <v>20</v>
      </c>
      <c r="P996">
        <v>13</v>
      </c>
      <c r="Q996">
        <v>22</v>
      </c>
      <c r="R996">
        <v>15</v>
      </c>
      <c r="S996">
        <v>191</v>
      </c>
      <c r="T996">
        <v>39</v>
      </c>
      <c r="U996">
        <v>0</v>
      </c>
      <c r="V996">
        <v>0</v>
      </c>
      <c r="W996" s="1">
        <v>44160</v>
      </c>
    </row>
    <row r="997" spans="1:37" x14ac:dyDescent="0.3">
      <c r="A997">
        <v>2019</v>
      </c>
      <c r="B997">
        <v>9</v>
      </c>
      <c r="C997" t="str">
        <f t="shared" si="30"/>
        <v>9/01/2019</v>
      </c>
      <c r="D997" s="1" t="str">
        <f t="shared" si="31"/>
        <v>9/01/2019</v>
      </c>
      <c r="E997" t="s">
        <v>37</v>
      </c>
      <c r="F997" t="s">
        <v>52</v>
      </c>
      <c r="G997" t="s">
        <v>45</v>
      </c>
      <c r="H997">
        <v>39</v>
      </c>
      <c r="I997">
        <v>26</v>
      </c>
      <c r="L997">
        <v>0</v>
      </c>
      <c r="M997">
        <v>0</v>
      </c>
      <c r="N997">
        <v>0</v>
      </c>
      <c r="Q997">
        <v>0</v>
      </c>
      <c r="T997">
        <v>0</v>
      </c>
      <c r="U997">
        <v>0</v>
      </c>
      <c r="V997">
        <v>0</v>
      </c>
      <c r="W997" s="1">
        <v>44160</v>
      </c>
      <c r="AA997" t="s">
        <v>40</v>
      </c>
      <c r="AB997" t="s">
        <v>40</v>
      </c>
      <c r="AF997" t="s">
        <v>40</v>
      </c>
      <c r="AG997" t="s">
        <v>40</v>
      </c>
      <c r="AI997" t="s">
        <v>40</v>
      </c>
      <c r="AJ997" t="s">
        <v>40</v>
      </c>
    </row>
    <row r="998" spans="1:37" x14ac:dyDescent="0.3">
      <c r="A998">
        <v>2019</v>
      </c>
      <c r="B998">
        <v>9</v>
      </c>
      <c r="C998" t="str">
        <f t="shared" si="30"/>
        <v>9/01/2019</v>
      </c>
      <c r="D998" s="1" t="str">
        <f t="shared" si="31"/>
        <v>9/01/2019</v>
      </c>
      <c r="E998" t="s">
        <v>37</v>
      </c>
      <c r="F998" t="s">
        <v>52</v>
      </c>
      <c r="G998" t="s">
        <v>46</v>
      </c>
      <c r="H998" s="2">
        <v>2135</v>
      </c>
      <c r="I998" s="2">
        <v>2022</v>
      </c>
      <c r="J998">
        <v>44</v>
      </c>
      <c r="K998">
        <v>707</v>
      </c>
      <c r="L998">
        <v>101</v>
      </c>
      <c r="N998">
        <v>19</v>
      </c>
      <c r="O998">
        <v>61</v>
      </c>
      <c r="P998">
        <v>30</v>
      </c>
      <c r="Q998">
        <v>60</v>
      </c>
      <c r="R998">
        <v>25</v>
      </c>
      <c r="S998">
        <v>443</v>
      </c>
      <c r="T998">
        <v>98</v>
      </c>
      <c r="U998">
        <v>0</v>
      </c>
      <c r="V998">
        <v>0</v>
      </c>
      <c r="W998" s="1">
        <v>44160</v>
      </c>
      <c r="AD998" t="s">
        <v>40</v>
      </c>
    </row>
    <row r="999" spans="1:37" x14ac:dyDescent="0.3">
      <c r="A999">
        <v>2019</v>
      </c>
      <c r="B999">
        <v>9</v>
      </c>
      <c r="C999" t="str">
        <f t="shared" si="30"/>
        <v>9/01/2019</v>
      </c>
      <c r="D999" s="1" t="str">
        <f t="shared" si="31"/>
        <v>9/01/2019</v>
      </c>
      <c r="E999" t="s">
        <v>37</v>
      </c>
      <c r="F999" t="s">
        <v>52</v>
      </c>
      <c r="G999" t="s">
        <v>47</v>
      </c>
      <c r="H999" s="2">
        <v>2697</v>
      </c>
      <c r="I999" s="2">
        <v>2642</v>
      </c>
      <c r="J999">
        <v>61</v>
      </c>
      <c r="K999">
        <v>828</v>
      </c>
      <c r="L999">
        <v>123</v>
      </c>
      <c r="M999">
        <v>47</v>
      </c>
      <c r="N999">
        <v>42</v>
      </c>
      <c r="O999">
        <v>113</v>
      </c>
      <c r="P999">
        <v>44</v>
      </c>
      <c r="Q999">
        <v>79</v>
      </c>
      <c r="R999">
        <v>15</v>
      </c>
      <c r="S999">
        <v>611</v>
      </c>
      <c r="T999">
        <v>189</v>
      </c>
      <c r="U999">
        <v>0</v>
      </c>
      <c r="V999">
        <v>0</v>
      </c>
      <c r="W999" s="1">
        <v>44160</v>
      </c>
    </row>
    <row r="1000" spans="1:37" x14ac:dyDescent="0.3">
      <c r="A1000">
        <v>2019</v>
      </c>
      <c r="B1000">
        <v>9</v>
      </c>
      <c r="C1000" t="str">
        <f t="shared" si="30"/>
        <v>9/01/2019</v>
      </c>
      <c r="D1000" s="1" t="str">
        <f t="shared" si="31"/>
        <v>9/01/2019</v>
      </c>
      <c r="E1000" t="s">
        <v>37</v>
      </c>
      <c r="F1000" t="s">
        <v>52</v>
      </c>
      <c r="G1000" t="s">
        <v>48</v>
      </c>
      <c r="H1000" s="2">
        <v>2759</v>
      </c>
      <c r="I1000" s="2">
        <v>2718</v>
      </c>
      <c r="J1000">
        <v>41</v>
      </c>
      <c r="K1000">
        <v>602</v>
      </c>
      <c r="L1000">
        <v>154</v>
      </c>
      <c r="M1000">
        <v>136</v>
      </c>
      <c r="N1000">
        <v>41</v>
      </c>
      <c r="O1000">
        <v>98</v>
      </c>
      <c r="P1000">
        <v>26</v>
      </c>
      <c r="Q1000">
        <v>103</v>
      </c>
      <c r="R1000">
        <v>28</v>
      </c>
      <c r="S1000">
        <v>691</v>
      </c>
      <c r="T1000">
        <v>207</v>
      </c>
      <c r="U1000">
        <v>0</v>
      </c>
      <c r="V1000">
        <v>0</v>
      </c>
      <c r="W1000" s="1">
        <v>44160</v>
      </c>
    </row>
    <row r="1001" spans="1:37" x14ac:dyDescent="0.3">
      <c r="A1001">
        <v>2019</v>
      </c>
      <c r="B1001">
        <v>9</v>
      </c>
      <c r="C1001" t="str">
        <f t="shared" si="30"/>
        <v>9/01/2019</v>
      </c>
      <c r="D1001" s="1" t="str">
        <f t="shared" si="31"/>
        <v>9/01/2019</v>
      </c>
      <c r="E1001" t="s">
        <v>37</v>
      </c>
      <c r="F1001" t="s">
        <v>52</v>
      </c>
      <c r="G1001" t="s">
        <v>49</v>
      </c>
      <c r="H1001" s="2">
        <v>3244</v>
      </c>
      <c r="I1001" s="2">
        <v>3181</v>
      </c>
      <c r="J1001">
        <v>56</v>
      </c>
      <c r="K1001">
        <v>381</v>
      </c>
      <c r="L1001">
        <v>112</v>
      </c>
      <c r="M1001">
        <v>294</v>
      </c>
      <c r="N1001">
        <v>53</v>
      </c>
      <c r="O1001">
        <v>96</v>
      </c>
      <c r="P1001">
        <v>35</v>
      </c>
      <c r="Q1001">
        <v>88</v>
      </c>
      <c r="R1001">
        <v>38</v>
      </c>
      <c r="S1001">
        <v>846</v>
      </c>
      <c r="T1001">
        <v>308</v>
      </c>
      <c r="U1001">
        <v>0</v>
      </c>
      <c r="V1001">
        <v>0</v>
      </c>
      <c r="W1001" s="1">
        <v>44160</v>
      </c>
    </row>
    <row r="1002" spans="1:37" x14ac:dyDescent="0.3">
      <c r="A1002">
        <v>2019</v>
      </c>
      <c r="B1002">
        <v>9</v>
      </c>
      <c r="C1002" t="str">
        <f t="shared" si="30"/>
        <v>9/01/2019</v>
      </c>
      <c r="D1002" s="1" t="str">
        <f t="shared" si="31"/>
        <v>9/01/2019</v>
      </c>
      <c r="E1002" t="s">
        <v>37</v>
      </c>
      <c r="F1002" t="s">
        <v>53</v>
      </c>
      <c r="G1002" t="s">
        <v>39</v>
      </c>
      <c r="H1002">
        <v>369</v>
      </c>
      <c r="I1002">
        <v>307</v>
      </c>
      <c r="L1002">
        <v>0</v>
      </c>
      <c r="M1002">
        <v>0</v>
      </c>
      <c r="O1002">
        <v>0</v>
      </c>
      <c r="Q1002">
        <v>0</v>
      </c>
      <c r="R1002">
        <v>41</v>
      </c>
      <c r="U1002">
        <v>0</v>
      </c>
      <c r="V1002">
        <v>0</v>
      </c>
      <c r="W1002" s="1">
        <v>44160</v>
      </c>
      <c r="AA1002" t="s">
        <v>40</v>
      </c>
      <c r="AB1002" t="s">
        <v>40</v>
      </c>
      <c r="AE1002" t="s">
        <v>40</v>
      </c>
      <c r="AG1002" t="s">
        <v>40</v>
      </c>
      <c r="AJ1002" t="s">
        <v>40</v>
      </c>
      <c r="AK1002" t="s">
        <v>40</v>
      </c>
    </row>
    <row r="1003" spans="1:37" x14ac:dyDescent="0.3">
      <c r="A1003">
        <v>2019</v>
      </c>
      <c r="B1003">
        <v>9</v>
      </c>
      <c r="C1003" t="str">
        <f t="shared" si="30"/>
        <v>9/01/2019</v>
      </c>
      <c r="D1003" s="1" t="str">
        <f t="shared" si="31"/>
        <v>9/01/2019</v>
      </c>
      <c r="E1003" t="s">
        <v>37</v>
      </c>
      <c r="F1003" t="s">
        <v>53</v>
      </c>
      <c r="G1003" t="s">
        <v>41</v>
      </c>
      <c r="H1003">
        <v>349</v>
      </c>
      <c r="I1003">
        <v>115</v>
      </c>
      <c r="K1003">
        <v>25</v>
      </c>
      <c r="M1003">
        <v>0</v>
      </c>
      <c r="N1003">
        <v>0</v>
      </c>
      <c r="P1003">
        <v>0</v>
      </c>
      <c r="Q1003">
        <v>0</v>
      </c>
      <c r="S1003">
        <v>20</v>
      </c>
      <c r="U1003">
        <v>0</v>
      </c>
      <c r="V1003">
        <v>0</v>
      </c>
      <c r="W1003" s="1">
        <v>44160</v>
      </c>
      <c r="AA1003" t="s">
        <v>40</v>
      </c>
      <c r="AC1003" t="s">
        <v>40</v>
      </c>
      <c r="AF1003" t="s">
        <v>40</v>
      </c>
      <c r="AI1003" t="s">
        <v>40</v>
      </c>
      <c r="AK1003" t="s">
        <v>40</v>
      </c>
    </row>
    <row r="1004" spans="1:37" x14ac:dyDescent="0.3">
      <c r="A1004">
        <v>2019</v>
      </c>
      <c r="B1004">
        <v>9</v>
      </c>
      <c r="C1004" t="str">
        <f t="shared" si="30"/>
        <v>9/01/2019</v>
      </c>
      <c r="D1004" s="1" t="str">
        <f t="shared" si="31"/>
        <v>9/01/2019</v>
      </c>
      <c r="E1004" t="s">
        <v>37</v>
      </c>
      <c r="F1004" t="s">
        <v>53</v>
      </c>
      <c r="G1004" t="s">
        <v>42</v>
      </c>
      <c r="H1004">
        <v>871</v>
      </c>
      <c r="I1004">
        <v>347</v>
      </c>
      <c r="K1004">
        <v>83</v>
      </c>
      <c r="L1004">
        <v>12</v>
      </c>
      <c r="M1004">
        <v>0</v>
      </c>
      <c r="O1004">
        <v>0</v>
      </c>
      <c r="R1004">
        <v>13</v>
      </c>
      <c r="S1004">
        <v>47</v>
      </c>
      <c r="T1004">
        <v>12</v>
      </c>
      <c r="U1004">
        <v>0</v>
      </c>
      <c r="V1004">
        <v>0</v>
      </c>
      <c r="W1004" s="1">
        <v>44160</v>
      </c>
      <c r="AA1004" t="s">
        <v>40</v>
      </c>
      <c r="AE1004" t="s">
        <v>40</v>
      </c>
      <c r="AG1004" t="s">
        <v>40</v>
      </c>
      <c r="AH1004" t="s">
        <v>40</v>
      </c>
    </row>
    <row r="1005" spans="1:37" x14ac:dyDescent="0.3">
      <c r="A1005">
        <v>2019</v>
      </c>
      <c r="B1005">
        <v>9</v>
      </c>
      <c r="C1005" t="str">
        <f t="shared" si="30"/>
        <v>9/01/2019</v>
      </c>
      <c r="D1005" s="1" t="str">
        <f t="shared" si="31"/>
        <v>9/01/2019</v>
      </c>
      <c r="E1005" t="s">
        <v>37</v>
      </c>
      <c r="F1005" t="s">
        <v>53</v>
      </c>
      <c r="G1005" t="s">
        <v>43</v>
      </c>
      <c r="H1005" s="2">
        <v>1453</v>
      </c>
      <c r="I1005">
        <v>869</v>
      </c>
      <c r="J1005">
        <v>17</v>
      </c>
      <c r="K1005">
        <v>287</v>
      </c>
      <c r="L1005">
        <v>13</v>
      </c>
      <c r="M1005">
        <v>0</v>
      </c>
      <c r="O1005">
        <v>14</v>
      </c>
      <c r="P1005">
        <v>10</v>
      </c>
      <c r="Q1005">
        <v>13</v>
      </c>
      <c r="R1005">
        <v>24</v>
      </c>
      <c r="S1005">
        <v>147</v>
      </c>
      <c r="T1005">
        <v>37</v>
      </c>
      <c r="U1005">
        <v>0</v>
      </c>
      <c r="V1005">
        <v>0</v>
      </c>
      <c r="W1005" s="1">
        <v>44160</v>
      </c>
      <c r="AE1005" t="s">
        <v>40</v>
      </c>
    </row>
    <row r="1006" spans="1:37" x14ac:dyDescent="0.3">
      <c r="A1006">
        <v>2019</v>
      </c>
      <c r="B1006">
        <v>9</v>
      </c>
      <c r="C1006" t="str">
        <f t="shared" si="30"/>
        <v>9/01/2019</v>
      </c>
      <c r="D1006" s="1" t="str">
        <f t="shared" si="31"/>
        <v>9/01/2019</v>
      </c>
      <c r="E1006" t="s">
        <v>37</v>
      </c>
      <c r="F1006" t="s">
        <v>53</v>
      </c>
      <c r="G1006" t="s">
        <v>44</v>
      </c>
      <c r="H1006" s="2">
        <v>3081</v>
      </c>
      <c r="I1006" s="2">
        <v>2494</v>
      </c>
      <c r="J1006">
        <v>47</v>
      </c>
      <c r="K1006">
        <v>943</v>
      </c>
      <c r="L1006">
        <v>88</v>
      </c>
      <c r="N1006">
        <v>32</v>
      </c>
      <c r="O1006">
        <v>91</v>
      </c>
      <c r="P1006">
        <v>29</v>
      </c>
      <c r="Q1006">
        <v>30</v>
      </c>
      <c r="R1006">
        <v>37</v>
      </c>
      <c r="S1006">
        <v>430</v>
      </c>
      <c r="T1006">
        <v>98</v>
      </c>
      <c r="U1006">
        <v>0</v>
      </c>
      <c r="V1006">
        <v>0</v>
      </c>
      <c r="W1006" s="1">
        <v>44160</v>
      </c>
      <c r="AD1006" t="s">
        <v>40</v>
      </c>
    </row>
    <row r="1007" spans="1:37" x14ac:dyDescent="0.3">
      <c r="A1007">
        <v>2019</v>
      </c>
      <c r="B1007">
        <v>9</v>
      </c>
      <c r="C1007" t="str">
        <f t="shared" si="30"/>
        <v>9/01/2019</v>
      </c>
      <c r="D1007" s="1" t="str">
        <f t="shared" si="31"/>
        <v>9/01/2019</v>
      </c>
      <c r="E1007" t="s">
        <v>37</v>
      </c>
      <c r="F1007" t="s">
        <v>53</v>
      </c>
      <c r="G1007" t="s">
        <v>45</v>
      </c>
      <c r="H1007">
        <v>87</v>
      </c>
      <c r="I1007">
        <v>53</v>
      </c>
      <c r="K1007">
        <v>17</v>
      </c>
      <c r="L1007">
        <v>0</v>
      </c>
      <c r="M1007">
        <v>0</v>
      </c>
      <c r="N1007">
        <v>0</v>
      </c>
      <c r="U1007">
        <v>0</v>
      </c>
      <c r="V1007">
        <v>0</v>
      </c>
      <c r="W1007" s="1">
        <v>44160</v>
      </c>
      <c r="AA1007" t="s">
        <v>40</v>
      </c>
      <c r="AF1007" t="s">
        <v>40</v>
      </c>
      <c r="AG1007" t="s">
        <v>40</v>
      </c>
      <c r="AH1007" t="s">
        <v>40</v>
      </c>
      <c r="AI1007" t="s">
        <v>40</v>
      </c>
      <c r="AJ1007" t="s">
        <v>40</v>
      </c>
      <c r="AK1007" t="s">
        <v>40</v>
      </c>
    </row>
    <row r="1008" spans="1:37" x14ac:dyDescent="0.3">
      <c r="A1008">
        <v>2019</v>
      </c>
      <c r="B1008">
        <v>9</v>
      </c>
      <c r="C1008" t="str">
        <f t="shared" si="30"/>
        <v>9/01/2019</v>
      </c>
      <c r="D1008" s="1" t="str">
        <f t="shared" si="31"/>
        <v>9/01/2019</v>
      </c>
      <c r="E1008" t="s">
        <v>37</v>
      </c>
      <c r="F1008" t="s">
        <v>53</v>
      </c>
      <c r="G1008" t="s">
        <v>46</v>
      </c>
      <c r="H1008" s="2">
        <v>7996</v>
      </c>
      <c r="I1008" s="2">
        <v>7367</v>
      </c>
      <c r="J1008">
        <v>144</v>
      </c>
      <c r="K1008" s="2">
        <v>2934</v>
      </c>
      <c r="L1008">
        <v>242</v>
      </c>
      <c r="M1008">
        <v>50</v>
      </c>
      <c r="N1008">
        <v>94</v>
      </c>
      <c r="O1008">
        <v>536</v>
      </c>
      <c r="P1008">
        <v>114</v>
      </c>
      <c r="Q1008">
        <v>104</v>
      </c>
      <c r="R1008">
        <v>72</v>
      </c>
      <c r="S1008" s="2">
        <v>1274</v>
      </c>
      <c r="T1008">
        <v>251</v>
      </c>
      <c r="U1008">
        <v>0</v>
      </c>
      <c r="V1008">
        <v>0</v>
      </c>
      <c r="W1008" s="1">
        <v>44160</v>
      </c>
    </row>
    <row r="1009" spans="1:37" x14ac:dyDescent="0.3">
      <c r="A1009">
        <v>2019</v>
      </c>
      <c r="B1009">
        <v>9</v>
      </c>
      <c r="C1009" t="str">
        <f t="shared" si="30"/>
        <v>9/01/2019</v>
      </c>
      <c r="D1009" s="1" t="str">
        <f t="shared" si="31"/>
        <v>9/01/2019</v>
      </c>
      <c r="E1009" t="s">
        <v>37</v>
      </c>
      <c r="F1009" t="s">
        <v>53</v>
      </c>
      <c r="G1009" t="s">
        <v>47</v>
      </c>
      <c r="H1009" s="2">
        <v>13670</v>
      </c>
      <c r="I1009" s="2">
        <v>13177</v>
      </c>
      <c r="J1009">
        <v>241</v>
      </c>
      <c r="K1009" s="2">
        <v>4800</v>
      </c>
      <c r="L1009">
        <v>419</v>
      </c>
      <c r="M1009">
        <v>316</v>
      </c>
      <c r="N1009">
        <v>163</v>
      </c>
      <c r="O1009" s="2">
        <v>1181</v>
      </c>
      <c r="P1009">
        <v>248</v>
      </c>
      <c r="Q1009">
        <v>216</v>
      </c>
      <c r="R1009">
        <v>108</v>
      </c>
      <c r="S1009" s="2">
        <v>2292</v>
      </c>
      <c r="T1009">
        <v>583</v>
      </c>
      <c r="U1009">
        <v>0</v>
      </c>
      <c r="V1009">
        <v>0</v>
      </c>
      <c r="W1009" s="1">
        <v>44160</v>
      </c>
    </row>
    <row r="1010" spans="1:37" x14ac:dyDescent="0.3">
      <c r="A1010">
        <v>2019</v>
      </c>
      <c r="B1010">
        <v>9</v>
      </c>
      <c r="C1010" t="str">
        <f t="shared" si="30"/>
        <v>9/01/2019</v>
      </c>
      <c r="D1010" s="1" t="str">
        <f t="shared" si="31"/>
        <v>9/01/2019</v>
      </c>
      <c r="E1010" t="s">
        <v>37</v>
      </c>
      <c r="F1010" t="s">
        <v>53</v>
      </c>
      <c r="G1010" t="s">
        <v>48</v>
      </c>
      <c r="H1010" s="2">
        <v>20370</v>
      </c>
      <c r="I1010" s="2">
        <v>19750</v>
      </c>
      <c r="J1010">
        <v>315</v>
      </c>
      <c r="K1010" s="2">
        <v>4868</v>
      </c>
      <c r="L1010">
        <v>495</v>
      </c>
      <c r="M1010" s="2">
        <v>1291</v>
      </c>
      <c r="N1010">
        <v>269</v>
      </c>
      <c r="O1010" s="2">
        <v>1639</v>
      </c>
      <c r="P1010">
        <v>406</v>
      </c>
      <c r="Q1010">
        <v>380</v>
      </c>
      <c r="R1010">
        <v>208</v>
      </c>
      <c r="S1010" s="2">
        <v>4111</v>
      </c>
      <c r="T1010" s="2">
        <v>1285</v>
      </c>
      <c r="U1010">
        <v>0</v>
      </c>
      <c r="V1010">
        <v>0</v>
      </c>
      <c r="W1010" s="1">
        <v>44160</v>
      </c>
    </row>
    <row r="1011" spans="1:37" x14ac:dyDescent="0.3">
      <c r="A1011">
        <v>2019</v>
      </c>
      <c r="B1011">
        <v>9</v>
      </c>
      <c r="C1011" t="str">
        <f t="shared" si="30"/>
        <v>9/01/2019</v>
      </c>
      <c r="D1011" s="1" t="str">
        <f t="shared" si="31"/>
        <v>9/01/2019</v>
      </c>
      <c r="E1011" t="s">
        <v>37</v>
      </c>
      <c r="F1011" t="s">
        <v>53</v>
      </c>
      <c r="G1011" t="s">
        <v>49</v>
      </c>
      <c r="H1011" s="2">
        <v>34478</v>
      </c>
      <c r="I1011" s="2">
        <v>33396</v>
      </c>
      <c r="J1011">
        <v>346</v>
      </c>
      <c r="K1011" s="2">
        <v>3655</v>
      </c>
      <c r="L1011">
        <v>509</v>
      </c>
      <c r="M1011" s="2">
        <v>3598</v>
      </c>
      <c r="N1011">
        <v>549</v>
      </c>
      <c r="O1011" s="2">
        <v>1693</v>
      </c>
      <c r="P1011">
        <v>439</v>
      </c>
      <c r="Q1011">
        <v>533</v>
      </c>
      <c r="R1011">
        <v>507</v>
      </c>
      <c r="S1011" s="2">
        <v>9589</v>
      </c>
      <c r="T1011" s="2">
        <v>2784</v>
      </c>
      <c r="U1011">
        <v>0</v>
      </c>
      <c r="V1011">
        <v>0</v>
      </c>
      <c r="W1011" s="1">
        <v>44160</v>
      </c>
    </row>
    <row r="1012" spans="1:37" x14ac:dyDescent="0.3">
      <c r="A1012">
        <v>2019</v>
      </c>
      <c r="B1012">
        <v>9</v>
      </c>
      <c r="C1012" t="str">
        <f t="shared" si="30"/>
        <v>9/01/2019</v>
      </c>
      <c r="D1012" s="1" t="str">
        <f t="shared" si="31"/>
        <v>9/01/2019</v>
      </c>
      <c r="E1012" t="s">
        <v>37</v>
      </c>
      <c r="F1012" t="s">
        <v>54</v>
      </c>
      <c r="G1012" t="s">
        <v>39</v>
      </c>
      <c r="H1012">
        <v>42</v>
      </c>
      <c r="I1012">
        <v>38</v>
      </c>
      <c r="J1012">
        <v>0</v>
      </c>
      <c r="L1012">
        <v>0</v>
      </c>
      <c r="M1012">
        <v>0</v>
      </c>
      <c r="N1012">
        <v>0</v>
      </c>
      <c r="P1012">
        <v>0</v>
      </c>
      <c r="Q1012">
        <v>0</v>
      </c>
      <c r="S1012">
        <v>0</v>
      </c>
      <c r="T1012">
        <v>0</v>
      </c>
      <c r="U1012">
        <v>0</v>
      </c>
      <c r="V1012">
        <v>0</v>
      </c>
      <c r="W1012" s="1">
        <v>44160</v>
      </c>
      <c r="AB1012" t="s">
        <v>40</v>
      </c>
      <c r="AF1012" t="s">
        <v>40</v>
      </c>
      <c r="AI1012" t="s">
        <v>40</v>
      </c>
    </row>
    <row r="1013" spans="1:37" x14ac:dyDescent="0.3">
      <c r="A1013">
        <v>2019</v>
      </c>
      <c r="B1013">
        <v>9</v>
      </c>
      <c r="C1013" t="str">
        <f t="shared" si="30"/>
        <v>9/01/2019</v>
      </c>
      <c r="D1013" s="1" t="str">
        <f t="shared" si="31"/>
        <v>9/01/2019</v>
      </c>
      <c r="E1013" t="s">
        <v>37</v>
      </c>
      <c r="F1013" t="s">
        <v>54</v>
      </c>
      <c r="G1013" t="s">
        <v>41</v>
      </c>
      <c r="H1013">
        <v>22</v>
      </c>
      <c r="J1013">
        <v>0</v>
      </c>
      <c r="L1013">
        <v>0</v>
      </c>
      <c r="M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 s="1">
        <v>44160</v>
      </c>
      <c r="Z1013" t="s">
        <v>40</v>
      </c>
      <c r="AB1013" t="s">
        <v>40</v>
      </c>
      <c r="AE1013" t="s">
        <v>40</v>
      </c>
      <c r="AF1013" t="s">
        <v>40</v>
      </c>
    </row>
    <row r="1014" spans="1:37" x14ac:dyDescent="0.3">
      <c r="A1014">
        <v>2019</v>
      </c>
      <c r="B1014">
        <v>9</v>
      </c>
      <c r="C1014" t="str">
        <f t="shared" si="30"/>
        <v>9/01/2019</v>
      </c>
      <c r="D1014" s="1" t="str">
        <f t="shared" si="31"/>
        <v>9/01/2019</v>
      </c>
      <c r="E1014" t="s">
        <v>37</v>
      </c>
      <c r="F1014" t="s">
        <v>54</v>
      </c>
      <c r="G1014" t="s">
        <v>42</v>
      </c>
      <c r="H1014">
        <v>26</v>
      </c>
      <c r="J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U1014">
        <v>0</v>
      </c>
      <c r="V1014">
        <v>0</v>
      </c>
      <c r="W1014" s="1">
        <v>44160</v>
      </c>
      <c r="Z1014" t="s">
        <v>40</v>
      </c>
      <c r="AB1014" t="s">
        <v>40</v>
      </c>
      <c r="AJ1014" t="s">
        <v>40</v>
      </c>
      <c r="AK1014" t="s">
        <v>40</v>
      </c>
    </row>
    <row r="1015" spans="1:37" x14ac:dyDescent="0.3">
      <c r="A1015">
        <v>2019</v>
      </c>
      <c r="B1015">
        <v>9</v>
      </c>
      <c r="C1015" t="str">
        <f t="shared" si="30"/>
        <v>9/01/2019</v>
      </c>
      <c r="D1015" s="1" t="str">
        <f t="shared" si="31"/>
        <v>9/01/2019</v>
      </c>
      <c r="E1015" t="s">
        <v>37</v>
      </c>
      <c r="F1015" t="s">
        <v>54</v>
      </c>
      <c r="G1015" t="s">
        <v>43</v>
      </c>
      <c r="H1015">
        <v>37</v>
      </c>
      <c r="I1015">
        <v>24</v>
      </c>
      <c r="L1015">
        <v>0</v>
      </c>
      <c r="M1015">
        <v>0</v>
      </c>
      <c r="N1015">
        <v>0</v>
      </c>
      <c r="P1015">
        <v>0</v>
      </c>
      <c r="Q1015">
        <v>0</v>
      </c>
      <c r="U1015">
        <v>0</v>
      </c>
      <c r="V1015">
        <v>0</v>
      </c>
      <c r="W1015" s="1">
        <v>44160</v>
      </c>
      <c r="AA1015" t="s">
        <v>40</v>
      </c>
      <c r="AB1015" t="s">
        <v>40</v>
      </c>
      <c r="AF1015" t="s">
        <v>40</v>
      </c>
      <c r="AI1015" t="s">
        <v>40</v>
      </c>
      <c r="AJ1015" t="s">
        <v>40</v>
      </c>
      <c r="AK1015" t="s">
        <v>40</v>
      </c>
    </row>
    <row r="1016" spans="1:37" x14ac:dyDescent="0.3">
      <c r="A1016">
        <v>2019</v>
      </c>
      <c r="B1016">
        <v>9</v>
      </c>
      <c r="C1016" t="str">
        <f t="shared" si="30"/>
        <v>9/01/2019</v>
      </c>
      <c r="D1016" s="1" t="str">
        <f t="shared" si="31"/>
        <v>9/01/2019</v>
      </c>
      <c r="E1016" t="s">
        <v>37</v>
      </c>
      <c r="F1016" t="s">
        <v>54</v>
      </c>
      <c r="G1016" t="s">
        <v>44</v>
      </c>
      <c r="H1016">
        <v>67</v>
      </c>
      <c r="I1016">
        <v>52</v>
      </c>
      <c r="J1016">
        <v>0</v>
      </c>
      <c r="K1016">
        <v>23</v>
      </c>
      <c r="M1016">
        <v>0</v>
      </c>
      <c r="O1016">
        <v>0</v>
      </c>
      <c r="Q1016">
        <v>0</v>
      </c>
      <c r="S1016">
        <v>10</v>
      </c>
      <c r="U1016">
        <v>0</v>
      </c>
      <c r="V1016">
        <v>0</v>
      </c>
      <c r="W1016" s="1">
        <v>44160</v>
      </c>
      <c r="AC1016" t="s">
        <v>40</v>
      </c>
      <c r="AE1016" t="s">
        <v>40</v>
      </c>
      <c r="AG1016" t="s">
        <v>40</v>
      </c>
      <c r="AI1016" t="s">
        <v>40</v>
      </c>
      <c r="AK1016" t="s">
        <v>40</v>
      </c>
    </row>
    <row r="1017" spans="1:37" x14ac:dyDescent="0.3">
      <c r="A1017">
        <v>2019</v>
      </c>
      <c r="B1017">
        <v>9</v>
      </c>
      <c r="C1017" t="str">
        <f t="shared" si="30"/>
        <v>9/01/2019</v>
      </c>
      <c r="D1017" s="1" t="str">
        <f t="shared" si="31"/>
        <v>9/01/2019</v>
      </c>
      <c r="E1017" t="s">
        <v>37</v>
      </c>
      <c r="F1017" t="s">
        <v>54</v>
      </c>
      <c r="G1017" t="s">
        <v>45</v>
      </c>
      <c r="J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U1017">
        <v>0</v>
      </c>
      <c r="V1017">
        <v>0</v>
      </c>
      <c r="W1017" s="1">
        <v>44160</v>
      </c>
      <c r="Y1017" t="s">
        <v>40</v>
      </c>
      <c r="Z1017" t="s">
        <v>40</v>
      </c>
      <c r="AB1017" t="s">
        <v>40</v>
      </c>
      <c r="AJ1017" t="s">
        <v>40</v>
      </c>
      <c r="AK1017" t="s">
        <v>40</v>
      </c>
    </row>
    <row r="1018" spans="1:37" x14ac:dyDescent="0.3">
      <c r="A1018">
        <v>2019</v>
      </c>
      <c r="B1018">
        <v>9</v>
      </c>
      <c r="C1018" t="str">
        <f t="shared" si="30"/>
        <v>9/01/2019</v>
      </c>
      <c r="D1018" s="1" t="str">
        <f t="shared" si="31"/>
        <v>9/01/2019</v>
      </c>
      <c r="E1018" t="s">
        <v>37</v>
      </c>
      <c r="F1018" t="s">
        <v>54</v>
      </c>
      <c r="G1018" t="s">
        <v>46</v>
      </c>
      <c r="H1018">
        <v>123</v>
      </c>
      <c r="I1018">
        <v>111</v>
      </c>
      <c r="K1018">
        <v>43</v>
      </c>
      <c r="Q1018">
        <v>0</v>
      </c>
      <c r="R1018">
        <v>0</v>
      </c>
      <c r="S1018">
        <v>24</v>
      </c>
      <c r="U1018">
        <v>0</v>
      </c>
      <c r="V1018">
        <v>0</v>
      </c>
      <c r="W1018" s="1">
        <v>44160</v>
      </c>
      <c r="AA1018" t="s">
        <v>40</v>
      </c>
      <c r="AC1018" t="s">
        <v>40</v>
      </c>
      <c r="AD1018" t="s">
        <v>40</v>
      </c>
      <c r="AE1018" t="s">
        <v>40</v>
      </c>
      <c r="AF1018" t="s">
        <v>40</v>
      </c>
      <c r="AG1018" t="s">
        <v>40</v>
      </c>
      <c r="AK1018" t="s">
        <v>40</v>
      </c>
    </row>
    <row r="1019" spans="1:37" x14ac:dyDescent="0.3">
      <c r="A1019">
        <v>2019</v>
      </c>
      <c r="B1019">
        <v>9</v>
      </c>
      <c r="C1019" t="str">
        <f t="shared" si="30"/>
        <v>9/01/2019</v>
      </c>
      <c r="D1019" s="1" t="str">
        <f t="shared" si="31"/>
        <v>9/01/2019</v>
      </c>
      <c r="E1019" t="s">
        <v>37</v>
      </c>
      <c r="F1019" t="s">
        <v>54</v>
      </c>
      <c r="G1019" t="s">
        <v>47</v>
      </c>
      <c r="H1019">
        <v>168</v>
      </c>
      <c r="I1019">
        <v>164</v>
      </c>
      <c r="K1019">
        <v>58</v>
      </c>
      <c r="N1019">
        <v>0</v>
      </c>
      <c r="S1019">
        <v>36</v>
      </c>
      <c r="U1019">
        <v>0</v>
      </c>
      <c r="V1019">
        <v>0</v>
      </c>
      <c r="W1019" s="1">
        <v>44160</v>
      </c>
      <c r="AA1019" t="s">
        <v>40</v>
      </c>
      <c r="AC1019" t="s">
        <v>40</v>
      </c>
      <c r="AD1019" t="s">
        <v>40</v>
      </c>
      <c r="AF1019" t="s">
        <v>40</v>
      </c>
      <c r="AG1019" t="s">
        <v>40</v>
      </c>
      <c r="AH1019" t="s">
        <v>40</v>
      </c>
      <c r="AI1019" t="s">
        <v>40</v>
      </c>
      <c r="AK1019" t="s">
        <v>40</v>
      </c>
    </row>
    <row r="1020" spans="1:37" x14ac:dyDescent="0.3">
      <c r="A1020">
        <v>2019</v>
      </c>
      <c r="B1020">
        <v>9</v>
      </c>
      <c r="C1020" t="str">
        <f t="shared" si="30"/>
        <v>9/01/2019</v>
      </c>
      <c r="D1020" s="1" t="str">
        <f t="shared" si="31"/>
        <v>9/01/2019</v>
      </c>
      <c r="E1020" t="s">
        <v>37</v>
      </c>
      <c r="F1020" t="s">
        <v>54</v>
      </c>
      <c r="G1020" t="s">
        <v>48</v>
      </c>
      <c r="H1020">
        <v>153</v>
      </c>
      <c r="I1020">
        <v>149</v>
      </c>
      <c r="K1020">
        <v>38</v>
      </c>
      <c r="O1020">
        <v>10</v>
      </c>
      <c r="S1020">
        <v>34</v>
      </c>
      <c r="T1020">
        <v>15</v>
      </c>
      <c r="U1020">
        <v>0</v>
      </c>
      <c r="V1020">
        <v>0</v>
      </c>
      <c r="W1020" s="1">
        <v>44160</v>
      </c>
      <c r="AA1020" t="s">
        <v>40</v>
      </c>
      <c r="AC1020" t="s">
        <v>40</v>
      </c>
      <c r="AD1020" t="s">
        <v>40</v>
      </c>
      <c r="AE1020" t="s">
        <v>40</v>
      </c>
      <c r="AG1020" t="s">
        <v>40</v>
      </c>
      <c r="AH1020" t="s">
        <v>40</v>
      </c>
      <c r="AI1020" t="s">
        <v>40</v>
      </c>
    </row>
    <row r="1021" spans="1:37" x14ac:dyDescent="0.3">
      <c r="A1021">
        <v>2019</v>
      </c>
      <c r="B1021">
        <v>9</v>
      </c>
      <c r="C1021" t="str">
        <f t="shared" si="30"/>
        <v>9/01/2019</v>
      </c>
      <c r="D1021" s="1" t="str">
        <f t="shared" si="31"/>
        <v>9/01/2019</v>
      </c>
      <c r="E1021" t="s">
        <v>37</v>
      </c>
      <c r="F1021" t="s">
        <v>54</v>
      </c>
      <c r="G1021" t="s">
        <v>49</v>
      </c>
      <c r="H1021">
        <v>176</v>
      </c>
      <c r="I1021">
        <v>172</v>
      </c>
      <c r="K1021">
        <v>19</v>
      </c>
      <c r="M1021">
        <v>14</v>
      </c>
      <c r="S1021">
        <v>65</v>
      </c>
      <c r="T1021">
        <v>13</v>
      </c>
      <c r="U1021">
        <v>0</v>
      </c>
      <c r="V1021">
        <v>0</v>
      </c>
      <c r="W1021" s="1">
        <v>44160</v>
      </c>
      <c r="AA1021" t="s">
        <v>40</v>
      </c>
      <c r="AC1021" t="s">
        <v>40</v>
      </c>
      <c r="AE1021" t="s">
        <v>40</v>
      </c>
      <c r="AF1021" t="s">
        <v>40</v>
      </c>
      <c r="AG1021" t="s">
        <v>40</v>
      </c>
      <c r="AH1021" t="s">
        <v>40</v>
      </c>
      <c r="AI1021" t="s">
        <v>40</v>
      </c>
    </row>
    <row r="1022" spans="1:37" x14ac:dyDescent="0.3">
      <c r="A1022">
        <v>2019</v>
      </c>
      <c r="B1022">
        <v>9</v>
      </c>
      <c r="C1022" t="str">
        <f t="shared" si="30"/>
        <v>9/01/2019</v>
      </c>
      <c r="D1022" s="1" t="str">
        <f t="shared" si="31"/>
        <v>9/01/2019</v>
      </c>
      <c r="E1022" t="s">
        <v>55</v>
      </c>
      <c r="F1022" t="s">
        <v>38</v>
      </c>
      <c r="G1022" t="s">
        <v>39</v>
      </c>
      <c r="H1022">
        <v>254</v>
      </c>
      <c r="I1022">
        <v>220</v>
      </c>
      <c r="L1022">
        <v>0</v>
      </c>
      <c r="M1022">
        <v>0</v>
      </c>
      <c r="O1022">
        <v>0</v>
      </c>
      <c r="Q1022">
        <v>0</v>
      </c>
      <c r="R1022">
        <v>30</v>
      </c>
      <c r="T1022">
        <v>0</v>
      </c>
      <c r="U1022">
        <v>0</v>
      </c>
      <c r="V1022">
        <v>0</v>
      </c>
      <c r="W1022" s="1">
        <v>44160</v>
      </c>
      <c r="AA1022" t="s">
        <v>40</v>
      </c>
      <c r="AB1022" t="s">
        <v>40</v>
      </c>
      <c r="AE1022" t="s">
        <v>40</v>
      </c>
      <c r="AG1022" t="s">
        <v>40</v>
      </c>
      <c r="AJ1022" t="s">
        <v>40</v>
      </c>
    </row>
    <row r="1023" spans="1:37" x14ac:dyDescent="0.3">
      <c r="A1023">
        <v>2019</v>
      </c>
      <c r="B1023">
        <v>9</v>
      </c>
      <c r="C1023" t="str">
        <f t="shared" si="30"/>
        <v>9/01/2019</v>
      </c>
      <c r="D1023" s="1" t="str">
        <f t="shared" si="31"/>
        <v>9/01/2019</v>
      </c>
      <c r="E1023" t="s">
        <v>55</v>
      </c>
      <c r="F1023" t="s">
        <v>38</v>
      </c>
      <c r="G1023" t="s">
        <v>41</v>
      </c>
      <c r="H1023">
        <v>379</v>
      </c>
      <c r="I1023">
        <v>75</v>
      </c>
      <c r="J1023">
        <v>0</v>
      </c>
      <c r="K1023">
        <v>23</v>
      </c>
      <c r="M1023">
        <v>0</v>
      </c>
      <c r="N1023">
        <v>0</v>
      </c>
      <c r="R1023">
        <v>12</v>
      </c>
      <c r="U1023">
        <v>0</v>
      </c>
      <c r="V1023">
        <v>0</v>
      </c>
      <c r="W1023" s="1">
        <v>44160</v>
      </c>
      <c r="AC1023" t="s">
        <v>40</v>
      </c>
      <c r="AF1023" t="s">
        <v>40</v>
      </c>
      <c r="AG1023" t="s">
        <v>40</v>
      </c>
      <c r="AH1023" t="s">
        <v>40</v>
      </c>
      <c r="AJ1023" t="s">
        <v>40</v>
      </c>
      <c r="AK1023" t="s">
        <v>40</v>
      </c>
    </row>
    <row r="1024" spans="1:37" x14ac:dyDescent="0.3">
      <c r="A1024">
        <v>2019</v>
      </c>
      <c r="B1024">
        <v>9</v>
      </c>
      <c r="C1024" t="str">
        <f t="shared" si="30"/>
        <v>9/01/2019</v>
      </c>
      <c r="D1024" s="1" t="str">
        <f t="shared" si="31"/>
        <v>9/01/2019</v>
      </c>
      <c r="E1024" t="s">
        <v>55</v>
      </c>
      <c r="F1024" t="s">
        <v>38</v>
      </c>
      <c r="G1024" t="s">
        <v>42</v>
      </c>
      <c r="H1024">
        <v>615</v>
      </c>
      <c r="I1024">
        <v>182</v>
      </c>
      <c r="K1024">
        <v>47</v>
      </c>
      <c r="M1024">
        <v>0</v>
      </c>
      <c r="R1024">
        <v>19</v>
      </c>
      <c r="S1024">
        <v>24</v>
      </c>
      <c r="U1024">
        <v>0</v>
      </c>
      <c r="V1024">
        <v>0</v>
      </c>
      <c r="W1024" s="1">
        <v>44160</v>
      </c>
      <c r="AA1024" t="s">
        <v>40</v>
      </c>
      <c r="AC1024" t="s">
        <v>40</v>
      </c>
      <c r="AE1024" t="s">
        <v>40</v>
      </c>
      <c r="AF1024" t="s">
        <v>40</v>
      </c>
      <c r="AG1024" t="s">
        <v>40</v>
      </c>
      <c r="AH1024" t="s">
        <v>40</v>
      </c>
      <c r="AK1024" t="s">
        <v>40</v>
      </c>
    </row>
    <row r="1025" spans="1:37" x14ac:dyDescent="0.3">
      <c r="A1025">
        <v>2019</v>
      </c>
      <c r="B1025">
        <v>9</v>
      </c>
      <c r="C1025" t="str">
        <f t="shared" si="30"/>
        <v>9/01/2019</v>
      </c>
      <c r="D1025" s="1" t="str">
        <f t="shared" si="31"/>
        <v>9/01/2019</v>
      </c>
      <c r="E1025" t="s">
        <v>55</v>
      </c>
      <c r="F1025" t="s">
        <v>38</v>
      </c>
      <c r="G1025" t="s">
        <v>43</v>
      </c>
      <c r="H1025">
        <v>692</v>
      </c>
      <c r="I1025">
        <v>330</v>
      </c>
      <c r="K1025">
        <v>63</v>
      </c>
      <c r="L1025">
        <v>14</v>
      </c>
      <c r="M1025">
        <v>0</v>
      </c>
      <c r="S1025">
        <v>67</v>
      </c>
      <c r="T1025">
        <v>17</v>
      </c>
      <c r="U1025">
        <v>0</v>
      </c>
      <c r="V1025">
        <v>0</v>
      </c>
      <c r="W1025" s="1">
        <v>44160</v>
      </c>
      <c r="AA1025" t="s">
        <v>40</v>
      </c>
      <c r="AE1025" t="s">
        <v>40</v>
      </c>
      <c r="AF1025" t="s">
        <v>40</v>
      </c>
      <c r="AG1025" t="s">
        <v>40</v>
      </c>
      <c r="AH1025" t="s">
        <v>40</v>
      </c>
      <c r="AI1025" t="s">
        <v>40</v>
      </c>
    </row>
    <row r="1026" spans="1:37" x14ac:dyDescent="0.3">
      <c r="A1026">
        <v>2019</v>
      </c>
      <c r="B1026">
        <v>9</v>
      </c>
      <c r="C1026" t="str">
        <f t="shared" si="30"/>
        <v>9/01/2019</v>
      </c>
      <c r="D1026" s="1" t="str">
        <f t="shared" si="31"/>
        <v>9/01/2019</v>
      </c>
      <c r="E1026" t="s">
        <v>55</v>
      </c>
      <c r="F1026" t="s">
        <v>38</v>
      </c>
      <c r="G1026" t="s">
        <v>44</v>
      </c>
      <c r="H1026" s="2">
        <v>1047</v>
      </c>
      <c r="I1026">
        <v>746</v>
      </c>
      <c r="J1026">
        <v>15</v>
      </c>
      <c r="K1026">
        <v>175</v>
      </c>
      <c r="L1026">
        <v>45</v>
      </c>
      <c r="M1026">
        <v>0</v>
      </c>
      <c r="P1026">
        <v>11</v>
      </c>
      <c r="Q1026">
        <v>12</v>
      </c>
      <c r="R1026">
        <v>10</v>
      </c>
      <c r="S1026">
        <v>193</v>
      </c>
      <c r="T1026">
        <v>38</v>
      </c>
      <c r="U1026">
        <v>0</v>
      </c>
      <c r="V1026">
        <v>0</v>
      </c>
      <c r="W1026" s="1">
        <v>44160</v>
      </c>
      <c r="AE1026" t="s">
        <v>40</v>
      </c>
      <c r="AF1026" t="s">
        <v>40</v>
      </c>
    </row>
    <row r="1027" spans="1:37" x14ac:dyDescent="0.3">
      <c r="A1027">
        <v>2019</v>
      </c>
      <c r="B1027">
        <v>9</v>
      </c>
      <c r="C1027" t="str">
        <f t="shared" ref="C1027:C1090" si="32">CONCATENATE(B1027,"/01/",A1027)</f>
        <v>9/01/2019</v>
      </c>
      <c r="D1027" s="1" t="str">
        <f t="shared" ref="D1027:D1090" si="33">C1027</f>
        <v>9/01/2019</v>
      </c>
      <c r="E1027" t="s">
        <v>55</v>
      </c>
      <c r="F1027" t="s">
        <v>38</v>
      </c>
      <c r="G1027" t="s">
        <v>45</v>
      </c>
      <c r="H1027">
        <v>63</v>
      </c>
      <c r="I1027">
        <v>32</v>
      </c>
      <c r="K1027">
        <v>10</v>
      </c>
      <c r="L1027">
        <v>0</v>
      </c>
      <c r="M1027">
        <v>0</v>
      </c>
      <c r="N1027">
        <v>0</v>
      </c>
      <c r="P1027">
        <v>0</v>
      </c>
      <c r="Q1027">
        <v>0</v>
      </c>
      <c r="R1027">
        <v>0</v>
      </c>
      <c r="U1027">
        <v>0</v>
      </c>
      <c r="V1027">
        <v>0</v>
      </c>
      <c r="W1027" s="1">
        <v>44160</v>
      </c>
      <c r="AA1027" t="s">
        <v>40</v>
      </c>
      <c r="AF1027" t="s">
        <v>40</v>
      </c>
      <c r="AJ1027" t="s">
        <v>40</v>
      </c>
      <c r="AK1027" t="s">
        <v>40</v>
      </c>
    </row>
    <row r="1028" spans="1:37" x14ac:dyDescent="0.3">
      <c r="A1028">
        <v>2019</v>
      </c>
      <c r="B1028">
        <v>9</v>
      </c>
      <c r="C1028" t="str">
        <f t="shared" si="32"/>
        <v>9/01/2019</v>
      </c>
      <c r="D1028" s="1" t="str">
        <f t="shared" si="33"/>
        <v>9/01/2019</v>
      </c>
      <c r="E1028" t="s">
        <v>55</v>
      </c>
      <c r="F1028" t="s">
        <v>38</v>
      </c>
      <c r="G1028" t="s">
        <v>46</v>
      </c>
      <c r="H1028" s="2">
        <v>1602</v>
      </c>
      <c r="I1028" s="2">
        <v>1397</v>
      </c>
      <c r="J1028">
        <v>25</v>
      </c>
      <c r="K1028">
        <v>400</v>
      </c>
      <c r="L1028">
        <v>100</v>
      </c>
      <c r="N1028">
        <v>18</v>
      </c>
      <c r="O1028">
        <v>22</v>
      </c>
      <c r="P1028">
        <v>19</v>
      </c>
      <c r="Q1028">
        <v>30</v>
      </c>
      <c r="R1028">
        <v>14</v>
      </c>
      <c r="S1028">
        <v>358</v>
      </c>
      <c r="T1028">
        <v>61</v>
      </c>
      <c r="U1028">
        <v>0</v>
      </c>
      <c r="V1028">
        <v>0</v>
      </c>
      <c r="W1028" s="1">
        <v>44160</v>
      </c>
      <c r="AD1028" t="s">
        <v>40</v>
      </c>
    </row>
    <row r="1029" spans="1:37" x14ac:dyDescent="0.3">
      <c r="A1029">
        <v>2019</v>
      </c>
      <c r="B1029">
        <v>9</v>
      </c>
      <c r="C1029" t="str">
        <f t="shared" si="32"/>
        <v>9/01/2019</v>
      </c>
      <c r="D1029" s="1" t="str">
        <f t="shared" si="33"/>
        <v>9/01/2019</v>
      </c>
      <c r="E1029" t="s">
        <v>55</v>
      </c>
      <c r="F1029" t="s">
        <v>38</v>
      </c>
      <c r="G1029" t="s">
        <v>47</v>
      </c>
      <c r="H1029" s="2">
        <v>1691</v>
      </c>
      <c r="I1029" s="2">
        <v>1611</v>
      </c>
      <c r="J1029">
        <v>23</v>
      </c>
      <c r="K1029">
        <v>505</v>
      </c>
      <c r="L1029">
        <v>94</v>
      </c>
      <c r="M1029">
        <v>21</v>
      </c>
      <c r="N1029">
        <v>17</v>
      </c>
      <c r="O1029">
        <v>45</v>
      </c>
      <c r="P1029">
        <v>29</v>
      </c>
      <c r="Q1029">
        <v>51</v>
      </c>
      <c r="R1029">
        <v>13</v>
      </c>
      <c r="S1029">
        <v>395</v>
      </c>
      <c r="T1029">
        <v>102</v>
      </c>
      <c r="U1029">
        <v>0</v>
      </c>
      <c r="V1029">
        <v>0</v>
      </c>
      <c r="W1029" s="1">
        <v>44160</v>
      </c>
    </row>
    <row r="1030" spans="1:37" x14ac:dyDescent="0.3">
      <c r="A1030">
        <v>2019</v>
      </c>
      <c r="B1030">
        <v>9</v>
      </c>
      <c r="C1030" t="str">
        <f t="shared" si="32"/>
        <v>9/01/2019</v>
      </c>
      <c r="D1030" s="1" t="str">
        <f t="shared" si="33"/>
        <v>9/01/2019</v>
      </c>
      <c r="E1030" t="s">
        <v>55</v>
      </c>
      <c r="F1030" t="s">
        <v>38</v>
      </c>
      <c r="G1030" t="s">
        <v>48</v>
      </c>
      <c r="H1030" s="2">
        <v>1700</v>
      </c>
      <c r="I1030" s="2">
        <v>1641</v>
      </c>
      <c r="J1030">
        <v>30</v>
      </c>
      <c r="K1030">
        <v>409</v>
      </c>
      <c r="L1030">
        <v>76</v>
      </c>
      <c r="M1030">
        <v>67</v>
      </c>
      <c r="N1030">
        <v>30</v>
      </c>
      <c r="O1030">
        <v>72</v>
      </c>
      <c r="P1030">
        <v>47</v>
      </c>
      <c r="Q1030">
        <v>35</v>
      </c>
      <c r="S1030">
        <v>415</v>
      </c>
      <c r="T1030">
        <v>107</v>
      </c>
      <c r="U1030">
        <v>0</v>
      </c>
      <c r="V1030">
        <v>0</v>
      </c>
      <c r="W1030" s="1">
        <v>44160</v>
      </c>
      <c r="AI1030" t="s">
        <v>40</v>
      </c>
    </row>
    <row r="1031" spans="1:37" x14ac:dyDescent="0.3">
      <c r="A1031">
        <v>2019</v>
      </c>
      <c r="B1031">
        <v>9</v>
      </c>
      <c r="C1031" t="str">
        <f t="shared" si="32"/>
        <v>9/01/2019</v>
      </c>
      <c r="D1031" s="1" t="str">
        <f t="shared" si="33"/>
        <v>9/01/2019</v>
      </c>
      <c r="E1031" t="s">
        <v>55</v>
      </c>
      <c r="F1031" t="s">
        <v>38</v>
      </c>
      <c r="G1031" t="s">
        <v>49</v>
      </c>
      <c r="H1031" s="2">
        <v>1468</v>
      </c>
      <c r="I1031" s="2">
        <v>1420</v>
      </c>
      <c r="J1031">
        <v>16</v>
      </c>
      <c r="K1031">
        <v>228</v>
      </c>
      <c r="L1031">
        <v>47</v>
      </c>
      <c r="M1031">
        <v>129</v>
      </c>
      <c r="N1031">
        <v>20</v>
      </c>
      <c r="O1031">
        <v>79</v>
      </c>
      <c r="P1031">
        <v>21</v>
      </c>
      <c r="Q1031">
        <v>35</v>
      </c>
      <c r="S1031">
        <v>406</v>
      </c>
      <c r="T1031">
        <v>107</v>
      </c>
      <c r="U1031">
        <v>0</v>
      </c>
      <c r="V1031">
        <v>0</v>
      </c>
      <c r="W1031" s="1">
        <v>44160</v>
      </c>
      <c r="AI1031" t="s">
        <v>40</v>
      </c>
    </row>
    <row r="1032" spans="1:37" x14ac:dyDescent="0.3">
      <c r="A1032">
        <v>2019</v>
      </c>
      <c r="B1032">
        <v>9</v>
      </c>
      <c r="C1032" t="str">
        <f t="shared" si="32"/>
        <v>9/01/2019</v>
      </c>
      <c r="D1032" s="1" t="str">
        <f t="shared" si="33"/>
        <v>9/01/2019</v>
      </c>
      <c r="E1032" t="s">
        <v>55</v>
      </c>
      <c r="F1032" t="s">
        <v>50</v>
      </c>
      <c r="G1032" t="s">
        <v>39</v>
      </c>
      <c r="H1032">
        <v>10</v>
      </c>
      <c r="J1032">
        <v>0</v>
      </c>
      <c r="L1032">
        <v>0</v>
      </c>
      <c r="M1032">
        <v>0</v>
      </c>
      <c r="N1032">
        <v>0</v>
      </c>
      <c r="O1032">
        <v>0</v>
      </c>
      <c r="Q1032">
        <v>0</v>
      </c>
      <c r="S1032">
        <v>0</v>
      </c>
      <c r="T1032">
        <v>0</v>
      </c>
      <c r="U1032">
        <v>0</v>
      </c>
      <c r="V1032">
        <v>0</v>
      </c>
      <c r="W1032" s="1">
        <v>44160</v>
      </c>
      <c r="Z1032" t="s">
        <v>40</v>
      </c>
      <c r="AB1032" t="s">
        <v>40</v>
      </c>
      <c r="AG1032" t="s">
        <v>40</v>
      </c>
      <c r="AI1032" t="s">
        <v>40</v>
      </c>
    </row>
    <row r="1033" spans="1:37" x14ac:dyDescent="0.3">
      <c r="A1033">
        <v>2019</v>
      </c>
      <c r="B1033">
        <v>9</v>
      </c>
      <c r="C1033" t="str">
        <f t="shared" si="32"/>
        <v>9/01/2019</v>
      </c>
      <c r="D1033" s="1" t="str">
        <f t="shared" si="33"/>
        <v>9/01/2019</v>
      </c>
      <c r="E1033" t="s">
        <v>55</v>
      </c>
      <c r="F1033" t="s">
        <v>50</v>
      </c>
      <c r="G1033" t="s">
        <v>41</v>
      </c>
      <c r="H1033">
        <v>35</v>
      </c>
      <c r="J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 s="1">
        <v>44160</v>
      </c>
      <c r="Z1033" t="s">
        <v>40</v>
      </c>
      <c r="AB1033" t="s">
        <v>40</v>
      </c>
    </row>
    <row r="1034" spans="1:37" x14ac:dyDescent="0.3">
      <c r="A1034">
        <v>2019</v>
      </c>
      <c r="B1034">
        <v>9</v>
      </c>
      <c r="C1034" t="str">
        <f t="shared" si="32"/>
        <v>9/01/2019</v>
      </c>
      <c r="D1034" s="1" t="str">
        <f t="shared" si="33"/>
        <v>9/01/2019</v>
      </c>
      <c r="E1034" t="s">
        <v>55</v>
      </c>
      <c r="F1034" t="s">
        <v>50</v>
      </c>
      <c r="G1034" t="s">
        <v>42</v>
      </c>
      <c r="H1034">
        <v>56</v>
      </c>
      <c r="I1034">
        <v>24</v>
      </c>
      <c r="J1034">
        <v>0</v>
      </c>
      <c r="L1034">
        <v>0</v>
      </c>
      <c r="M1034">
        <v>0</v>
      </c>
      <c r="N1034">
        <v>0</v>
      </c>
      <c r="P1034">
        <v>0</v>
      </c>
      <c r="T1034">
        <v>0</v>
      </c>
      <c r="U1034">
        <v>0</v>
      </c>
      <c r="V1034">
        <v>0</v>
      </c>
      <c r="W1034" s="1">
        <v>44160</v>
      </c>
      <c r="AB1034" t="s">
        <v>40</v>
      </c>
      <c r="AF1034" t="s">
        <v>40</v>
      </c>
      <c r="AH1034" t="s">
        <v>40</v>
      </c>
      <c r="AI1034" t="s">
        <v>40</v>
      </c>
      <c r="AJ1034" t="s">
        <v>40</v>
      </c>
    </row>
    <row r="1035" spans="1:37" x14ac:dyDescent="0.3">
      <c r="A1035">
        <v>2019</v>
      </c>
      <c r="B1035">
        <v>9</v>
      </c>
      <c r="C1035" t="str">
        <f t="shared" si="32"/>
        <v>9/01/2019</v>
      </c>
      <c r="D1035" s="1" t="str">
        <f t="shared" si="33"/>
        <v>9/01/2019</v>
      </c>
      <c r="E1035" t="s">
        <v>55</v>
      </c>
      <c r="F1035" t="s">
        <v>50</v>
      </c>
      <c r="G1035" t="s">
        <v>43</v>
      </c>
      <c r="H1035">
        <v>61</v>
      </c>
      <c r="I1035">
        <v>34</v>
      </c>
      <c r="M1035">
        <v>0</v>
      </c>
      <c r="N1035">
        <v>0</v>
      </c>
      <c r="P1035">
        <v>0</v>
      </c>
      <c r="S1035">
        <v>11</v>
      </c>
      <c r="U1035">
        <v>0</v>
      </c>
      <c r="V1035">
        <v>0</v>
      </c>
      <c r="W1035" s="1">
        <v>44160</v>
      </c>
      <c r="AA1035" t="s">
        <v>40</v>
      </c>
      <c r="AB1035" t="s">
        <v>40</v>
      </c>
      <c r="AC1035" t="s">
        <v>40</v>
      </c>
      <c r="AF1035" t="s">
        <v>40</v>
      </c>
      <c r="AH1035" t="s">
        <v>40</v>
      </c>
      <c r="AI1035" t="s">
        <v>40</v>
      </c>
      <c r="AK1035" t="s">
        <v>40</v>
      </c>
    </row>
    <row r="1036" spans="1:37" x14ac:dyDescent="0.3">
      <c r="A1036">
        <v>2019</v>
      </c>
      <c r="B1036">
        <v>9</v>
      </c>
      <c r="C1036" t="str">
        <f t="shared" si="32"/>
        <v>9/01/2019</v>
      </c>
      <c r="D1036" s="1" t="str">
        <f t="shared" si="33"/>
        <v>9/01/2019</v>
      </c>
      <c r="E1036" t="s">
        <v>55</v>
      </c>
      <c r="F1036" t="s">
        <v>50</v>
      </c>
      <c r="G1036" t="s">
        <v>44</v>
      </c>
      <c r="H1036">
        <v>105</v>
      </c>
      <c r="I1036">
        <v>81</v>
      </c>
      <c r="K1036">
        <v>11</v>
      </c>
      <c r="M1036">
        <v>0</v>
      </c>
      <c r="N1036">
        <v>0</v>
      </c>
      <c r="Q1036">
        <v>0</v>
      </c>
      <c r="S1036">
        <v>23</v>
      </c>
      <c r="U1036">
        <v>0</v>
      </c>
      <c r="V1036">
        <v>0</v>
      </c>
      <c r="W1036" s="1">
        <v>44160</v>
      </c>
      <c r="AA1036" t="s">
        <v>40</v>
      </c>
      <c r="AC1036" t="s">
        <v>40</v>
      </c>
      <c r="AF1036" t="s">
        <v>40</v>
      </c>
      <c r="AG1036" t="s">
        <v>40</v>
      </c>
      <c r="AI1036" t="s">
        <v>40</v>
      </c>
      <c r="AK1036" t="s">
        <v>40</v>
      </c>
    </row>
    <row r="1037" spans="1:37" x14ac:dyDescent="0.3">
      <c r="A1037">
        <v>2019</v>
      </c>
      <c r="B1037">
        <v>9</v>
      </c>
      <c r="C1037" t="str">
        <f t="shared" si="32"/>
        <v>9/01/2019</v>
      </c>
      <c r="D1037" s="1" t="str">
        <f t="shared" si="33"/>
        <v>9/01/2019</v>
      </c>
      <c r="E1037" t="s">
        <v>55</v>
      </c>
      <c r="F1037" t="s">
        <v>50</v>
      </c>
      <c r="G1037" t="s">
        <v>45</v>
      </c>
      <c r="J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 s="1">
        <v>44160</v>
      </c>
      <c r="Y1037" t="s">
        <v>40</v>
      </c>
      <c r="Z1037" t="s">
        <v>40</v>
      </c>
      <c r="AB1037" t="s">
        <v>40</v>
      </c>
    </row>
    <row r="1038" spans="1:37" x14ac:dyDescent="0.3">
      <c r="A1038">
        <v>2019</v>
      </c>
      <c r="B1038">
        <v>9</v>
      </c>
      <c r="C1038" t="str">
        <f t="shared" si="32"/>
        <v>9/01/2019</v>
      </c>
      <c r="D1038" s="1" t="str">
        <f t="shared" si="33"/>
        <v>9/01/2019</v>
      </c>
      <c r="E1038" t="s">
        <v>55</v>
      </c>
      <c r="F1038" t="s">
        <v>50</v>
      </c>
      <c r="G1038" t="s">
        <v>46</v>
      </c>
      <c r="H1038">
        <v>127</v>
      </c>
      <c r="I1038">
        <v>105</v>
      </c>
      <c r="K1038">
        <v>21</v>
      </c>
      <c r="M1038">
        <v>0</v>
      </c>
      <c r="N1038">
        <v>0</v>
      </c>
      <c r="P1038">
        <v>0</v>
      </c>
      <c r="S1038">
        <v>29</v>
      </c>
      <c r="U1038">
        <v>0</v>
      </c>
      <c r="V1038">
        <v>0</v>
      </c>
      <c r="W1038" s="1">
        <v>44160</v>
      </c>
      <c r="AA1038" t="s">
        <v>40</v>
      </c>
      <c r="AC1038" t="s">
        <v>40</v>
      </c>
      <c r="AF1038" t="s">
        <v>40</v>
      </c>
      <c r="AH1038" t="s">
        <v>40</v>
      </c>
      <c r="AI1038" t="s">
        <v>40</v>
      </c>
      <c r="AK1038" t="s">
        <v>40</v>
      </c>
    </row>
    <row r="1039" spans="1:37" x14ac:dyDescent="0.3">
      <c r="A1039">
        <v>2019</v>
      </c>
      <c r="B1039">
        <v>9</v>
      </c>
      <c r="C1039" t="str">
        <f t="shared" si="32"/>
        <v>9/01/2019</v>
      </c>
      <c r="D1039" s="1" t="str">
        <f t="shared" si="33"/>
        <v>9/01/2019</v>
      </c>
      <c r="E1039" t="s">
        <v>55</v>
      </c>
      <c r="F1039" t="s">
        <v>50</v>
      </c>
      <c r="G1039" t="s">
        <v>47</v>
      </c>
      <c r="H1039">
        <v>164</v>
      </c>
      <c r="I1039">
        <v>153</v>
      </c>
      <c r="K1039">
        <v>39</v>
      </c>
      <c r="M1039">
        <v>0</v>
      </c>
      <c r="R1039">
        <v>0</v>
      </c>
      <c r="S1039">
        <v>43</v>
      </c>
      <c r="U1039">
        <v>0</v>
      </c>
      <c r="V1039">
        <v>0</v>
      </c>
      <c r="W1039" s="1">
        <v>44160</v>
      </c>
      <c r="AA1039" t="s">
        <v>40</v>
      </c>
      <c r="AC1039" t="s">
        <v>40</v>
      </c>
      <c r="AE1039" t="s">
        <v>40</v>
      </c>
      <c r="AF1039" t="s">
        <v>40</v>
      </c>
      <c r="AG1039" t="s">
        <v>40</v>
      </c>
      <c r="AH1039" t="s">
        <v>40</v>
      </c>
      <c r="AK1039" t="s">
        <v>40</v>
      </c>
    </row>
    <row r="1040" spans="1:37" x14ac:dyDescent="0.3">
      <c r="A1040">
        <v>2019</v>
      </c>
      <c r="B1040">
        <v>9</v>
      </c>
      <c r="C1040" t="str">
        <f t="shared" si="32"/>
        <v>9/01/2019</v>
      </c>
      <c r="D1040" s="1" t="str">
        <f t="shared" si="33"/>
        <v>9/01/2019</v>
      </c>
      <c r="E1040" t="s">
        <v>55</v>
      </c>
      <c r="F1040" t="s">
        <v>50</v>
      </c>
      <c r="G1040" t="s">
        <v>48</v>
      </c>
      <c r="H1040">
        <v>131</v>
      </c>
      <c r="I1040">
        <v>125</v>
      </c>
      <c r="K1040">
        <v>23</v>
      </c>
      <c r="R1040">
        <v>0</v>
      </c>
      <c r="S1040">
        <v>33</v>
      </c>
      <c r="U1040">
        <v>0</v>
      </c>
      <c r="V1040">
        <v>0</v>
      </c>
      <c r="W1040" s="1">
        <v>44160</v>
      </c>
      <c r="AA1040" t="s">
        <v>40</v>
      </c>
      <c r="AC1040" t="s">
        <v>40</v>
      </c>
      <c r="AD1040" t="s">
        <v>40</v>
      </c>
      <c r="AE1040" t="s">
        <v>40</v>
      </c>
      <c r="AF1040" t="s">
        <v>40</v>
      </c>
      <c r="AG1040" t="s">
        <v>40</v>
      </c>
      <c r="AH1040" t="s">
        <v>40</v>
      </c>
      <c r="AK1040" t="s">
        <v>40</v>
      </c>
    </row>
    <row r="1041" spans="1:37" x14ac:dyDescent="0.3">
      <c r="A1041">
        <v>2019</v>
      </c>
      <c r="B1041">
        <v>9</v>
      </c>
      <c r="C1041" t="str">
        <f t="shared" si="32"/>
        <v>9/01/2019</v>
      </c>
      <c r="D1041" s="1" t="str">
        <f t="shared" si="33"/>
        <v>9/01/2019</v>
      </c>
      <c r="E1041" t="s">
        <v>55</v>
      </c>
      <c r="F1041" t="s">
        <v>50</v>
      </c>
      <c r="G1041" t="s">
        <v>49</v>
      </c>
      <c r="H1041">
        <v>72</v>
      </c>
      <c r="I1041">
        <v>66</v>
      </c>
      <c r="J1041">
        <v>0</v>
      </c>
      <c r="K1041">
        <v>10</v>
      </c>
      <c r="R1041">
        <v>0</v>
      </c>
      <c r="S1041">
        <v>21</v>
      </c>
      <c r="U1041">
        <v>0</v>
      </c>
      <c r="V1041">
        <v>0</v>
      </c>
      <c r="W1041" s="1">
        <v>44160</v>
      </c>
      <c r="AC1041" t="s">
        <v>40</v>
      </c>
      <c r="AD1041" t="s">
        <v>40</v>
      </c>
      <c r="AE1041" t="s">
        <v>40</v>
      </c>
      <c r="AF1041" t="s">
        <v>40</v>
      </c>
      <c r="AG1041" t="s">
        <v>40</v>
      </c>
      <c r="AH1041" t="s">
        <v>40</v>
      </c>
      <c r="AK1041" t="s">
        <v>40</v>
      </c>
    </row>
    <row r="1042" spans="1:37" x14ac:dyDescent="0.3">
      <c r="A1042">
        <v>2019</v>
      </c>
      <c r="B1042">
        <v>9</v>
      </c>
      <c r="C1042" t="str">
        <f t="shared" si="32"/>
        <v>9/01/2019</v>
      </c>
      <c r="D1042" s="1" t="str">
        <f t="shared" si="33"/>
        <v>9/01/2019</v>
      </c>
      <c r="E1042" t="s">
        <v>55</v>
      </c>
      <c r="F1042" t="s">
        <v>51</v>
      </c>
      <c r="G1042" t="s">
        <v>39</v>
      </c>
      <c r="H1042">
        <v>38</v>
      </c>
      <c r="I1042">
        <v>36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Q1042">
        <v>0</v>
      </c>
      <c r="S1042">
        <v>0</v>
      </c>
      <c r="T1042">
        <v>0</v>
      </c>
      <c r="U1042">
        <v>0</v>
      </c>
      <c r="V1042">
        <v>0</v>
      </c>
      <c r="W1042" s="1">
        <v>44160</v>
      </c>
      <c r="AG1042" t="s">
        <v>40</v>
      </c>
      <c r="AI1042" t="s">
        <v>40</v>
      </c>
    </row>
    <row r="1043" spans="1:37" x14ac:dyDescent="0.3">
      <c r="A1043">
        <v>2019</v>
      </c>
      <c r="B1043">
        <v>9</v>
      </c>
      <c r="C1043" t="str">
        <f t="shared" si="32"/>
        <v>9/01/2019</v>
      </c>
      <c r="D1043" s="1" t="str">
        <f t="shared" si="33"/>
        <v>9/01/2019</v>
      </c>
      <c r="E1043" t="s">
        <v>55</v>
      </c>
      <c r="F1043" t="s">
        <v>51</v>
      </c>
      <c r="G1043" t="s">
        <v>41</v>
      </c>
      <c r="H1043">
        <v>38</v>
      </c>
      <c r="J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S1043">
        <v>0</v>
      </c>
      <c r="T1043">
        <v>0</v>
      </c>
      <c r="U1043">
        <v>0</v>
      </c>
      <c r="V1043">
        <v>0</v>
      </c>
      <c r="W1043" s="1">
        <v>44160</v>
      </c>
      <c r="Z1043" t="s">
        <v>40</v>
      </c>
      <c r="AB1043" t="s">
        <v>40</v>
      </c>
      <c r="AI1043" t="s">
        <v>40</v>
      </c>
    </row>
    <row r="1044" spans="1:37" x14ac:dyDescent="0.3">
      <c r="A1044">
        <v>2019</v>
      </c>
      <c r="B1044">
        <v>9</v>
      </c>
      <c r="C1044" t="str">
        <f t="shared" si="32"/>
        <v>9/01/2019</v>
      </c>
      <c r="D1044" s="1" t="str">
        <f t="shared" si="33"/>
        <v>9/01/2019</v>
      </c>
      <c r="E1044" t="s">
        <v>55</v>
      </c>
      <c r="F1044" t="s">
        <v>51</v>
      </c>
      <c r="G1044" t="s">
        <v>42</v>
      </c>
      <c r="H1044">
        <v>74</v>
      </c>
      <c r="I1044">
        <v>30</v>
      </c>
      <c r="J1044">
        <v>0</v>
      </c>
      <c r="K1044">
        <v>12</v>
      </c>
      <c r="M1044">
        <v>0</v>
      </c>
      <c r="N1044">
        <v>0</v>
      </c>
      <c r="O1044">
        <v>0</v>
      </c>
      <c r="P1044">
        <v>0</v>
      </c>
      <c r="Q1044">
        <v>0</v>
      </c>
      <c r="U1044">
        <v>0</v>
      </c>
      <c r="V1044">
        <v>0</v>
      </c>
      <c r="W1044" s="1">
        <v>44160</v>
      </c>
      <c r="AC1044" t="s">
        <v>40</v>
      </c>
      <c r="AI1044" t="s">
        <v>40</v>
      </c>
      <c r="AJ1044" t="s">
        <v>40</v>
      </c>
      <c r="AK1044" t="s">
        <v>40</v>
      </c>
    </row>
    <row r="1045" spans="1:37" x14ac:dyDescent="0.3">
      <c r="A1045">
        <v>2019</v>
      </c>
      <c r="B1045">
        <v>9</v>
      </c>
      <c r="C1045" t="str">
        <f t="shared" si="32"/>
        <v>9/01/2019</v>
      </c>
      <c r="D1045" s="1" t="str">
        <f t="shared" si="33"/>
        <v>9/01/2019</v>
      </c>
      <c r="E1045" t="s">
        <v>55</v>
      </c>
      <c r="F1045" t="s">
        <v>51</v>
      </c>
      <c r="G1045" t="s">
        <v>43</v>
      </c>
      <c r="H1045">
        <v>122</v>
      </c>
      <c r="I1045">
        <v>81</v>
      </c>
      <c r="J1045">
        <v>0</v>
      </c>
      <c r="K1045">
        <v>18</v>
      </c>
      <c r="M1045">
        <v>0</v>
      </c>
      <c r="N1045">
        <v>0</v>
      </c>
      <c r="O1045">
        <v>0</v>
      </c>
      <c r="P1045">
        <v>0</v>
      </c>
      <c r="S1045">
        <v>31</v>
      </c>
      <c r="U1045">
        <v>0</v>
      </c>
      <c r="V1045">
        <v>0</v>
      </c>
      <c r="W1045" s="1">
        <v>44160</v>
      </c>
      <c r="AC1045" t="s">
        <v>40</v>
      </c>
      <c r="AH1045" t="s">
        <v>40</v>
      </c>
      <c r="AI1045" t="s">
        <v>40</v>
      </c>
      <c r="AK1045" t="s">
        <v>40</v>
      </c>
    </row>
    <row r="1046" spans="1:37" x14ac:dyDescent="0.3">
      <c r="A1046">
        <v>2019</v>
      </c>
      <c r="B1046">
        <v>9</v>
      </c>
      <c r="C1046" t="str">
        <f t="shared" si="32"/>
        <v>9/01/2019</v>
      </c>
      <c r="D1046" s="1" t="str">
        <f t="shared" si="33"/>
        <v>9/01/2019</v>
      </c>
      <c r="E1046" t="s">
        <v>55</v>
      </c>
      <c r="F1046" t="s">
        <v>51</v>
      </c>
      <c r="G1046" t="s">
        <v>44</v>
      </c>
      <c r="H1046">
        <v>181</v>
      </c>
      <c r="I1046">
        <v>153</v>
      </c>
      <c r="J1046">
        <v>0</v>
      </c>
      <c r="K1046">
        <v>67</v>
      </c>
      <c r="M1046">
        <v>0</v>
      </c>
      <c r="S1046">
        <v>39</v>
      </c>
      <c r="U1046">
        <v>0</v>
      </c>
      <c r="V1046">
        <v>0</v>
      </c>
      <c r="W1046" s="1">
        <v>44160</v>
      </c>
      <c r="AC1046" t="s">
        <v>40</v>
      </c>
      <c r="AE1046" t="s">
        <v>40</v>
      </c>
      <c r="AF1046" t="s">
        <v>40</v>
      </c>
      <c r="AG1046" t="s">
        <v>40</v>
      </c>
      <c r="AH1046" t="s">
        <v>40</v>
      </c>
      <c r="AI1046" t="s">
        <v>40</v>
      </c>
      <c r="AK1046" t="s">
        <v>40</v>
      </c>
    </row>
    <row r="1047" spans="1:37" x14ac:dyDescent="0.3">
      <c r="A1047">
        <v>2019</v>
      </c>
      <c r="B1047">
        <v>9</v>
      </c>
      <c r="C1047" t="str">
        <f t="shared" si="32"/>
        <v>9/01/2019</v>
      </c>
      <c r="D1047" s="1" t="str">
        <f t="shared" si="33"/>
        <v>9/01/2019</v>
      </c>
      <c r="E1047" t="s">
        <v>55</v>
      </c>
      <c r="F1047" t="s">
        <v>51</v>
      </c>
      <c r="G1047" t="s">
        <v>45</v>
      </c>
      <c r="H1047">
        <v>11</v>
      </c>
      <c r="J1047">
        <v>0</v>
      </c>
      <c r="L1047">
        <v>0</v>
      </c>
      <c r="M1047">
        <v>0</v>
      </c>
      <c r="N1047">
        <v>0</v>
      </c>
      <c r="O1047">
        <v>0</v>
      </c>
      <c r="Q1047">
        <v>0</v>
      </c>
      <c r="R1047">
        <v>0</v>
      </c>
      <c r="S1047">
        <v>0</v>
      </c>
      <c r="U1047">
        <v>0</v>
      </c>
      <c r="V1047">
        <v>0</v>
      </c>
      <c r="W1047" s="1">
        <v>44160</v>
      </c>
      <c r="Z1047" t="s">
        <v>40</v>
      </c>
      <c r="AB1047" t="s">
        <v>40</v>
      </c>
      <c r="AG1047" t="s">
        <v>40</v>
      </c>
      <c r="AK1047" t="s">
        <v>40</v>
      </c>
    </row>
    <row r="1048" spans="1:37" x14ac:dyDescent="0.3">
      <c r="A1048">
        <v>2019</v>
      </c>
      <c r="B1048">
        <v>9</v>
      </c>
      <c r="C1048" t="str">
        <f t="shared" si="32"/>
        <v>9/01/2019</v>
      </c>
      <c r="D1048" s="1" t="str">
        <f t="shared" si="33"/>
        <v>9/01/2019</v>
      </c>
      <c r="E1048" t="s">
        <v>55</v>
      </c>
      <c r="F1048" t="s">
        <v>51</v>
      </c>
      <c r="G1048" t="s">
        <v>46</v>
      </c>
      <c r="H1048">
        <v>400</v>
      </c>
      <c r="I1048">
        <v>363</v>
      </c>
      <c r="K1048">
        <v>152</v>
      </c>
      <c r="L1048">
        <v>14</v>
      </c>
      <c r="M1048">
        <v>0</v>
      </c>
      <c r="S1048">
        <v>81</v>
      </c>
      <c r="T1048">
        <v>25</v>
      </c>
      <c r="U1048">
        <v>0</v>
      </c>
      <c r="V1048">
        <v>0</v>
      </c>
      <c r="W1048" s="1">
        <v>44160</v>
      </c>
      <c r="AA1048" t="s">
        <v>40</v>
      </c>
      <c r="AE1048" t="s">
        <v>40</v>
      </c>
      <c r="AF1048" t="s">
        <v>40</v>
      </c>
      <c r="AG1048" t="s">
        <v>40</v>
      </c>
      <c r="AH1048" t="s">
        <v>40</v>
      </c>
      <c r="AI1048" t="s">
        <v>40</v>
      </c>
    </row>
    <row r="1049" spans="1:37" x14ac:dyDescent="0.3">
      <c r="A1049">
        <v>2019</v>
      </c>
      <c r="B1049">
        <v>9</v>
      </c>
      <c r="C1049" t="str">
        <f t="shared" si="32"/>
        <v>9/01/2019</v>
      </c>
      <c r="D1049" s="1" t="str">
        <f t="shared" si="33"/>
        <v>9/01/2019</v>
      </c>
      <c r="E1049" t="s">
        <v>55</v>
      </c>
      <c r="F1049" t="s">
        <v>51</v>
      </c>
      <c r="G1049" t="s">
        <v>47</v>
      </c>
      <c r="H1049">
        <v>566</v>
      </c>
      <c r="I1049">
        <v>539</v>
      </c>
      <c r="K1049">
        <v>192</v>
      </c>
      <c r="L1049">
        <v>27</v>
      </c>
      <c r="O1049">
        <v>10</v>
      </c>
      <c r="Q1049">
        <v>11</v>
      </c>
      <c r="S1049">
        <v>127</v>
      </c>
      <c r="T1049">
        <v>52</v>
      </c>
      <c r="U1049">
        <v>0</v>
      </c>
      <c r="V1049">
        <v>0</v>
      </c>
      <c r="W1049" s="1">
        <v>44160</v>
      </c>
      <c r="AA1049" t="s">
        <v>40</v>
      </c>
      <c r="AD1049" t="s">
        <v>40</v>
      </c>
      <c r="AE1049" t="s">
        <v>40</v>
      </c>
      <c r="AG1049" t="s">
        <v>40</v>
      </c>
      <c r="AI1049" t="s">
        <v>40</v>
      </c>
    </row>
    <row r="1050" spans="1:37" x14ac:dyDescent="0.3">
      <c r="A1050">
        <v>2019</v>
      </c>
      <c r="B1050">
        <v>9</v>
      </c>
      <c r="C1050" t="str">
        <f t="shared" si="32"/>
        <v>9/01/2019</v>
      </c>
      <c r="D1050" s="1" t="str">
        <f t="shared" si="33"/>
        <v>9/01/2019</v>
      </c>
      <c r="E1050" t="s">
        <v>55</v>
      </c>
      <c r="F1050" t="s">
        <v>51</v>
      </c>
      <c r="G1050" t="s">
        <v>48</v>
      </c>
      <c r="H1050">
        <v>715</v>
      </c>
      <c r="I1050">
        <v>680</v>
      </c>
      <c r="J1050">
        <v>10</v>
      </c>
      <c r="K1050">
        <v>212</v>
      </c>
      <c r="L1050">
        <v>29</v>
      </c>
      <c r="M1050">
        <v>15</v>
      </c>
      <c r="N1050">
        <v>19</v>
      </c>
      <c r="O1050">
        <v>28</v>
      </c>
      <c r="P1050">
        <v>18</v>
      </c>
      <c r="Q1050">
        <v>14</v>
      </c>
      <c r="S1050">
        <v>157</v>
      </c>
      <c r="T1050">
        <v>60</v>
      </c>
      <c r="U1050">
        <v>0</v>
      </c>
      <c r="V1050">
        <v>0</v>
      </c>
      <c r="W1050" s="1">
        <v>44160</v>
      </c>
      <c r="AI1050" t="s">
        <v>40</v>
      </c>
    </row>
    <row r="1051" spans="1:37" x14ac:dyDescent="0.3">
      <c r="A1051">
        <v>2019</v>
      </c>
      <c r="B1051">
        <v>9</v>
      </c>
      <c r="C1051" t="str">
        <f t="shared" si="32"/>
        <v>9/01/2019</v>
      </c>
      <c r="D1051" s="1" t="str">
        <f t="shared" si="33"/>
        <v>9/01/2019</v>
      </c>
      <c r="E1051" t="s">
        <v>55</v>
      </c>
      <c r="F1051" t="s">
        <v>51</v>
      </c>
      <c r="G1051" t="s">
        <v>49</v>
      </c>
      <c r="H1051">
        <v>679</v>
      </c>
      <c r="I1051">
        <v>653</v>
      </c>
      <c r="K1051">
        <v>132</v>
      </c>
      <c r="L1051">
        <v>22</v>
      </c>
      <c r="M1051">
        <v>43</v>
      </c>
      <c r="N1051">
        <v>18</v>
      </c>
      <c r="O1051">
        <v>20</v>
      </c>
      <c r="Q1051">
        <v>16</v>
      </c>
      <c r="S1051">
        <v>176</v>
      </c>
      <c r="T1051">
        <v>55</v>
      </c>
      <c r="U1051">
        <v>0</v>
      </c>
      <c r="V1051">
        <v>0</v>
      </c>
      <c r="W1051" s="1">
        <v>44160</v>
      </c>
      <c r="AA1051" t="s">
        <v>40</v>
      </c>
      <c r="AG1051" t="s">
        <v>40</v>
      </c>
      <c r="AI1051" t="s">
        <v>40</v>
      </c>
    </row>
    <row r="1052" spans="1:37" x14ac:dyDescent="0.3">
      <c r="A1052">
        <v>2019</v>
      </c>
      <c r="B1052">
        <v>9</v>
      </c>
      <c r="C1052" t="str">
        <f t="shared" si="32"/>
        <v>9/01/2019</v>
      </c>
      <c r="D1052" s="1" t="str">
        <f t="shared" si="33"/>
        <v>9/01/2019</v>
      </c>
      <c r="E1052" t="s">
        <v>55</v>
      </c>
      <c r="F1052" t="s">
        <v>52</v>
      </c>
      <c r="G1052" t="s">
        <v>39</v>
      </c>
      <c r="H1052">
        <v>326</v>
      </c>
      <c r="I1052">
        <v>283</v>
      </c>
      <c r="L1052">
        <v>0</v>
      </c>
      <c r="M1052">
        <v>0</v>
      </c>
      <c r="R1052">
        <v>37</v>
      </c>
      <c r="U1052">
        <v>0</v>
      </c>
      <c r="V1052">
        <v>0</v>
      </c>
      <c r="W1052" s="1">
        <v>44160</v>
      </c>
      <c r="AA1052" t="s">
        <v>40</v>
      </c>
      <c r="AB1052" t="s">
        <v>40</v>
      </c>
      <c r="AE1052" t="s">
        <v>40</v>
      </c>
      <c r="AF1052" t="s">
        <v>40</v>
      </c>
      <c r="AG1052" t="s">
        <v>40</v>
      </c>
      <c r="AH1052" t="s">
        <v>40</v>
      </c>
      <c r="AJ1052" t="s">
        <v>40</v>
      </c>
      <c r="AK1052" t="s">
        <v>40</v>
      </c>
    </row>
    <row r="1053" spans="1:37" x14ac:dyDescent="0.3">
      <c r="A1053">
        <v>2019</v>
      </c>
      <c r="B1053">
        <v>9</v>
      </c>
      <c r="C1053" t="str">
        <f t="shared" si="32"/>
        <v>9/01/2019</v>
      </c>
      <c r="D1053" s="1" t="str">
        <f t="shared" si="33"/>
        <v>9/01/2019</v>
      </c>
      <c r="E1053" t="s">
        <v>55</v>
      </c>
      <c r="F1053" t="s">
        <v>52</v>
      </c>
      <c r="G1053" t="s">
        <v>41</v>
      </c>
      <c r="H1053">
        <v>487</v>
      </c>
      <c r="I1053">
        <v>68</v>
      </c>
      <c r="J1053">
        <v>0</v>
      </c>
      <c r="M1053">
        <v>0</v>
      </c>
      <c r="S1053">
        <v>17</v>
      </c>
      <c r="U1053">
        <v>0</v>
      </c>
      <c r="V1053">
        <v>0</v>
      </c>
      <c r="W1053" s="1">
        <v>44160</v>
      </c>
      <c r="AB1053" t="s">
        <v>40</v>
      </c>
      <c r="AC1053" t="s">
        <v>40</v>
      </c>
      <c r="AE1053" t="s">
        <v>40</v>
      </c>
      <c r="AF1053" t="s">
        <v>40</v>
      </c>
      <c r="AG1053" t="s">
        <v>40</v>
      </c>
      <c r="AH1053" t="s">
        <v>40</v>
      </c>
      <c r="AI1053" t="s">
        <v>40</v>
      </c>
      <c r="AK1053" t="s">
        <v>40</v>
      </c>
    </row>
    <row r="1054" spans="1:37" x14ac:dyDescent="0.3">
      <c r="A1054">
        <v>2019</v>
      </c>
      <c r="B1054">
        <v>9</v>
      </c>
      <c r="C1054" t="str">
        <f t="shared" si="32"/>
        <v>9/01/2019</v>
      </c>
      <c r="D1054" s="1" t="str">
        <f t="shared" si="33"/>
        <v>9/01/2019</v>
      </c>
      <c r="E1054" t="s">
        <v>55</v>
      </c>
      <c r="F1054" t="s">
        <v>52</v>
      </c>
      <c r="G1054" t="s">
        <v>42</v>
      </c>
      <c r="H1054">
        <v>750</v>
      </c>
      <c r="I1054">
        <v>199</v>
      </c>
      <c r="K1054">
        <v>25</v>
      </c>
      <c r="L1054">
        <v>14</v>
      </c>
      <c r="M1054">
        <v>0</v>
      </c>
      <c r="N1054">
        <v>0</v>
      </c>
      <c r="R1054">
        <v>10</v>
      </c>
      <c r="S1054">
        <v>50</v>
      </c>
      <c r="U1054">
        <v>0</v>
      </c>
      <c r="V1054">
        <v>0</v>
      </c>
      <c r="W1054" s="1">
        <v>44160</v>
      </c>
      <c r="AA1054" t="s">
        <v>40</v>
      </c>
      <c r="AF1054" t="s">
        <v>40</v>
      </c>
      <c r="AG1054" t="s">
        <v>40</v>
      </c>
      <c r="AH1054" t="s">
        <v>40</v>
      </c>
      <c r="AK1054" t="s">
        <v>40</v>
      </c>
    </row>
    <row r="1055" spans="1:37" x14ac:dyDescent="0.3">
      <c r="A1055">
        <v>2019</v>
      </c>
      <c r="B1055">
        <v>9</v>
      </c>
      <c r="C1055" t="str">
        <f t="shared" si="32"/>
        <v>9/01/2019</v>
      </c>
      <c r="D1055" s="1" t="str">
        <f t="shared" si="33"/>
        <v>9/01/2019</v>
      </c>
      <c r="E1055" t="s">
        <v>55</v>
      </c>
      <c r="F1055" t="s">
        <v>52</v>
      </c>
      <c r="G1055" t="s">
        <v>43</v>
      </c>
      <c r="H1055">
        <v>831</v>
      </c>
      <c r="I1055">
        <v>436</v>
      </c>
      <c r="K1055">
        <v>64</v>
      </c>
      <c r="L1055">
        <v>36</v>
      </c>
      <c r="M1055">
        <v>0</v>
      </c>
      <c r="Q1055">
        <v>11</v>
      </c>
      <c r="R1055">
        <v>15</v>
      </c>
      <c r="S1055">
        <v>144</v>
      </c>
      <c r="T1055">
        <v>18</v>
      </c>
      <c r="U1055">
        <v>0</v>
      </c>
      <c r="V1055">
        <v>0</v>
      </c>
      <c r="W1055" s="1">
        <v>44160</v>
      </c>
      <c r="AA1055" t="s">
        <v>40</v>
      </c>
      <c r="AE1055" t="s">
        <v>40</v>
      </c>
      <c r="AF1055" t="s">
        <v>40</v>
      </c>
      <c r="AG1055" t="s">
        <v>40</v>
      </c>
    </row>
    <row r="1056" spans="1:37" x14ac:dyDescent="0.3">
      <c r="A1056">
        <v>2019</v>
      </c>
      <c r="B1056">
        <v>9</v>
      </c>
      <c r="C1056" t="str">
        <f t="shared" si="32"/>
        <v>9/01/2019</v>
      </c>
      <c r="D1056" s="1" t="str">
        <f t="shared" si="33"/>
        <v>9/01/2019</v>
      </c>
      <c r="E1056" t="s">
        <v>55</v>
      </c>
      <c r="F1056" t="s">
        <v>52</v>
      </c>
      <c r="G1056" t="s">
        <v>44</v>
      </c>
      <c r="H1056" s="2">
        <v>1415</v>
      </c>
      <c r="I1056" s="2">
        <v>1076</v>
      </c>
      <c r="J1056">
        <v>21</v>
      </c>
      <c r="K1056">
        <v>227</v>
      </c>
      <c r="L1056">
        <v>65</v>
      </c>
      <c r="M1056">
        <v>0</v>
      </c>
      <c r="N1056">
        <v>13</v>
      </c>
      <c r="O1056">
        <v>18</v>
      </c>
      <c r="P1056">
        <v>11</v>
      </c>
      <c r="Q1056">
        <v>36</v>
      </c>
      <c r="R1056">
        <v>21</v>
      </c>
      <c r="S1056">
        <v>348</v>
      </c>
      <c r="T1056">
        <v>52</v>
      </c>
      <c r="U1056">
        <v>0</v>
      </c>
      <c r="V1056">
        <v>0</v>
      </c>
      <c r="W1056" s="1">
        <v>44160</v>
      </c>
    </row>
    <row r="1057" spans="1:37" x14ac:dyDescent="0.3">
      <c r="A1057">
        <v>2019</v>
      </c>
      <c r="B1057">
        <v>9</v>
      </c>
      <c r="C1057" t="str">
        <f t="shared" si="32"/>
        <v>9/01/2019</v>
      </c>
      <c r="D1057" s="1" t="str">
        <f t="shared" si="33"/>
        <v>9/01/2019</v>
      </c>
      <c r="E1057" t="s">
        <v>55</v>
      </c>
      <c r="F1057" t="s">
        <v>52</v>
      </c>
      <c r="G1057" t="s">
        <v>45</v>
      </c>
      <c r="H1057">
        <v>51</v>
      </c>
      <c r="I1057">
        <v>21</v>
      </c>
      <c r="J1057">
        <v>0</v>
      </c>
      <c r="L1057">
        <v>0</v>
      </c>
      <c r="M1057">
        <v>0</v>
      </c>
      <c r="N1057">
        <v>0</v>
      </c>
      <c r="P1057">
        <v>0</v>
      </c>
      <c r="Q1057">
        <v>0</v>
      </c>
      <c r="S1057">
        <v>0</v>
      </c>
      <c r="T1057">
        <v>0</v>
      </c>
      <c r="U1057">
        <v>0</v>
      </c>
      <c r="V1057">
        <v>0</v>
      </c>
      <c r="W1057" s="1">
        <v>44160</v>
      </c>
      <c r="AB1057" t="s">
        <v>40</v>
      </c>
      <c r="AF1057" t="s">
        <v>40</v>
      </c>
      <c r="AI1057" t="s">
        <v>40</v>
      </c>
    </row>
    <row r="1058" spans="1:37" x14ac:dyDescent="0.3">
      <c r="A1058">
        <v>2019</v>
      </c>
      <c r="B1058">
        <v>9</v>
      </c>
      <c r="C1058" t="str">
        <f t="shared" si="32"/>
        <v>9/01/2019</v>
      </c>
      <c r="D1058" s="1" t="str">
        <f t="shared" si="33"/>
        <v>9/01/2019</v>
      </c>
      <c r="E1058" t="s">
        <v>55</v>
      </c>
      <c r="F1058" t="s">
        <v>52</v>
      </c>
      <c r="G1058" t="s">
        <v>46</v>
      </c>
      <c r="H1058" s="2">
        <v>3066</v>
      </c>
      <c r="I1058" s="2">
        <v>2691</v>
      </c>
      <c r="J1058">
        <v>56</v>
      </c>
      <c r="K1058">
        <v>700</v>
      </c>
      <c r="L1058">
        <v>164</v>
      </c>
      <c r="N1058">
        <v>26</v>
      </c>
      <c r="O1058">
        <v>85</v>
      </c>
      <c r="P1058">
        <v>24</v>
      </c>
      <c r="Q1058">
        <v>81</v>
      </c>
      <c r="R1058">
        <v>33</v>
      </c>
      <c r="S1058">
        <v>819</v>
      </c>
      <c r="T1058">
        <v>148</v>
      </c>
      <c r="U1058">
        <v>0</v>
      </c>
      <c r="V1058">
        <v>0</v>
      </c>
      <c r="W1058" s="1">
        <v>44160</v>
      </c>
      <c r="AD1058" t="s">
        <v>40</v>
      </c>
    </row>
    <row r="1059" spans="1:37" x14ac:dyDescent="0.3">
      <c r="A1059">
        <v>2019</v>
      </c>
      <c r="B1059">
        <v>9</v>
      </c>
      <c r="C1059" t="str">
        <f t="shared" si="32"/>
        <v>9/01/2019</v>
      </c>
      <c r="D1059" s="1" t="str">
        <f t="shared" si="33"/>
        <v>9/01/2019</v>
      </c>
      <c r="E1059" t="s">
        <v>55</v>
      </c>
      <c r="F1059" t="s">
        <v>52</v>
      </c>
      <c r="G1059" t="s">
        <v>47</v>
      </c>
      <c r="H1059" s="2">
        <v>3371</v>
      </c>
      <c r="I1059" s="2">
        <v>3207</v>
      </c>
      <c r="J1059">
        <v>69</v>
      </c>
      <c r="K1059">
        <v>954</v>
      </c>
      <c r="L1059">
        <v>177</v>
      </c>
      <c r="M1059">
        <v>19</v>
      </c>
      <c r="N1059">
        <v>37</v>
      </c>
      <c r="O1059">
        <v>129</v>
      </c>
      <c r="P1059">
        <v>48</v>
      </c>
      <c r="Q1059">
        <v>112</v>
      </c>
      <c r="R1059">
        <v>34</v>
      </c>
      <c r="S1059">
        <v>855</v>
      </c>
      <c r="T1059">
        <v>210</v>
      </c>
      <c r="U1059">
        <v>0</v>
      </c>
      <c r="V1059">
        <v>0</v>
      </c>
      <c r="W1059" s="1">
        <v>44160</v>
      </c>
    </row>
    <row r="1060" spans="1:37" x14ac:dyDescent="0.3">
      <c r="A1060">
        <v>2019</v>
      </c>
      <c r="B1060">
        <v>9</v>
      </c>
      <c r="C1060" t="str">
        <f t="shared" si="32"/>
        <v>9/01/2019</v>
      </c>
      <c r="D1060" s="1" t="str">
        <f t="shared" si="33"/>
        <v>9/01/2019</v>
      </c>
      <c r="E1060" t="s">
        <v>55</v>
      </c>
      <c r="F1060" t="s">
        <v>52</v>
      </c>
      <c r="G1060" t="s">
        <v>48</v>
      </c>
      <c r="H1060" s="2">
        <v>2557</v>
      </c>
      <c r="I1060" s="2">
        <v>2497</v>
      </c>
      <c r="J1060">
        <v>42</v>
      </c>
      <c r="K1060">
        <v>657</v>
      </c>
      <c r="L1060">
        <v>120</v>
      </c>
      <c r="M1060">
        <v>73</v>
      </c>
      <c r="N1060">
        <v>38</v>
      </c>
      <c r="O1060">
        <v>117</v>
      </c>
      <c r="P1060">
        <v>35</v>
      </c>
      <c r="Q1060">
        <v>87</v>
      </c>
      <c r="R1060">
        <v>20</v>
      </c>
      <c r="S1060">
        <v>641</v>
      </c>
      <c r="T1060">
        <v>181</v>
      </c>
      <c r="U1060">
        <v>0</v>
      </c>
      <c r="V1060">
        <v>0</v>
      </c>
      <c r="W1060" s="1">
        <v>44160</v>
      </c>
    </row>
    <row r="1061" spans="1:37" x14ac:dyDescent="0.3">
      <c r="A1061">
        <v>2019</v>
      </c>
      <c r="B1061">
        <v>9</v>
      </c>
      <c r="C1061" t="str">
        <f t="shared" si="32"/>
        <v>9/01/2019</v>
      </c>
      <c r="D1061" s="1" t="str">
        <f t="shared" si="33"/>
        <v>9/01/2019</v>
      </c>
      <c r="E1061" t="s">
        <v>55</v>
      </c>
      <c r="F1061" t="s">
        <v>52</v>
      </c>
      <c r="G1061" t="s">
        <v>49</v>
      </c>
      <c r="H1061" s="2">
        <v>1610</v>
      </c>
      <c r="I1061" s="2">
        <v>1572</v>
      </c>
      <c r="J1061">
        <v>27</v>
      </c>
      <c r="K1061">
        <v>285</v>
      </c>
      <c r="L1061">
        <v>53</v>
      </c>
      <c r="M1061">
        <v>93</v>
      </c>
      <c r="N1061">
        <v>28</v>
      </c>
      <c r="O1061">
        <v>68</v>
      </c>
      <c r="P1061">
        <v>24</v>
      </c>
      <c r="Q1061">
        <v>55</v>
      </c>
      <c r="R1061">
        <v>16</v>
      </c>
      <c r="S1061">
        <v>393</v>
      </c>
      <c r="T1061">
        <v>126</v>
      </c>
      <c r="U1061">
        <v>0</v>
      </c>
      <c r="V1061">
        <v>0</v>
      </c>
      <c r="W1061" s="1">
        <v>44160</v>
      </c>
    </row>
    <row r="1062" spans="1:37" x14ac:dyDescent="0.3">
      <c r="A1062">
        <v>2019</v>
      </c>
      <c r="B1062">
        <v>9</v>
      </c>
      <c r="C1062" t="str">
        <f t="shared" si="32"/>
        <v>9/01/2019</v>
      </c>
      <c r="D1062" s="1" t="str">
        <f t="shared" si="33"/>
        <v>9/01/2019</v>
      </c>
      <c r="E1062" t="s">
        <v>55</v>
      </c>
      <c r="F1062" t="s">
        <v>53</v>
      </c>
      <c r="G1062" t="s">
        <v>39</v>
      </c>
      <c r="H1062">
        <v>440</v>
      </c>
      <c r="I1062">
        <v>368</v>
      </c>
      <c r="K1062">
        <v>10</v>
      </c>
      <c r="L1062">
        <v>0</v>
      </c>
      <c r="M1062">
        <v>0</v>
      </c>
      <c r="R1062">
        <v>39</v>
      </c>
      <c r="U1062">
        <v>0</v>
      </c>
      <c r="V1062">
        <v>0</v>
      </c>
      <c r="W1062" s="1">
        <v>44160</v>
      </c>
      <c r="AA1062" t="s">
        <v>40</v>
      </c>
      <c r="AE1062" t="s">
        <v>40</v>
      </c>
      <c r="AF1062" t="s">
        <v>40</v>
      </c>
      <c r="AG1062" t="s">
        <v>40</v>
      </c>
      <c r="AH1062" t="s">
        <v>40</v>
      </c>
      <c r="AJ1062" t="s">
        <v>40</v>
      </c>
      <c r="AK1062" t="s">
        <v>40</v>
      </c>
    </row>
    <row r="1063" spans="1:37" x14ac:dyDescent="0.3">
      <c r="A1063">
        <v>2019</v>
      </c>
      <c r="B1063">
        <v>9</v>
      </c>
      <c r="C1063" t="str">
        <f t="shared" si="32"/>
        <v>9/01/2019</v>
      </c>
      <c r="D1063" s="1" t="str">
        <f t="shared" si="33"/>
        <v>9/01/2019</v>
      </c>
      <c r="E1063" t="s">
        <v>55</v>
      </c>
      <c r="F1063" t="s">
        <v>53</v>
      </c>
      <c r="G1063" t="s">
        <v>41</v>
      </c>
      <c r="H1063">
        <v>901</v>
      </c>
      <c r="I1063">
        <v>140</v>
      </c>
      <c r="K1063">
        <v>34</v>
      </c>
      <c r="M1063">
        <v>0</v>
      </c>
      <c r="S1063">
        <v>22</v>
      </c>
      <c r="U1063">
        <v>0</v>
      </c>
      <c r="V1063">
        <v>0</v>
      </c>
      <c r="W1063" s="1">
        <v>44160</v>
      </c>
      <c r="AA1063" t="s">
        <v>40</v>
      </c>
      <c r="AC1063" t="s">
        <v>40</v>
      </c>
      <c r="AE1063" t="s">
        <v>40</v>
      </c>
      <c r="AF1063" t="s">
        <v>40</v>
      </c>
      <c r="AG1063" t="s">
        <v>40</v>
      </c>
      <c r="AH1063" t="s">
        <v>40</v>
      </c>
      <c r="AI1063" t="s">
        <v>40</v>
      </c>
      <c r="AK1063" t="s">
        <v>40</v>
      </c>
    </row>
    <row r="1064" spans="1:37" x14ac:dyDescent="0.3">
      <c r="A1064">
        <v>2019</v>
      </c>
      <c r="B1064">
        <v>9</v>
      </c>
      <c r="C1064" t="str">
        <f t="shared" si="32"/>
        <v>9/01/2019</v>
      </c>
      <c r="D1064" s="1" t="str">
        <f t="shared" si="33"/>
        <v>9/01/2019</v>
      </c>
      <c r="E1064" t="s">
        <v>55</v>
      </c>
      <c r="F1064" t="s">
        <v>53</v>
      </c>
      <c r="G1064" t="s">
        <v>42</v>
      </c>
      <c r="H1064" s="2">
        <v>1937</v>
      </c>
      <c r="I1064">
        <v>422</v>
      </c>
      <c r="K1064">
        <v>76</v>
      </c>
      <c r="L1064">
        <v>11</v>
      </c>
      <c r="M1064">
        <v>0</v>
      </c>
      <c r="R1064">
        <v>32</v>
      </c>
      <c r="S1064">
        <v>100</v>
      </c>
      <c r="U1064">
        <v>0</v>
      </c>
      <c r="V1064">
        <v>0</v>
      </c>
      <c r="W1064" s="1">
        <v>44160</v>
      </c>
      <c r="AA1064" t="s">
        <v>40</v>
      </c>
      <c r="AE1064" t="s">
        <v>40</v>
      </c>
      <c r="AF1064" t="s">
        <v>40</v>
      </c>
      <c r="AG1064" t="s">
        <v>40</v>
      </c>
      <c r="AH1064" t="s">
        <v>40</v>
      </c>
      <c r="AK1064" t="s">
        <v>40</v>
      </c>
    </row>
    <row r="1065" spans="1:37" x14ac:dyDescent="0.3">
      <c r="A1065">
        <v>2019</v>
      </c>
      <c r="B1065">
        <v>9</v>
      </c>
      <c r="C1065" t="str">
        <f t="shared" si="32"/>
        <v>9/01/2019</v>
      </c>
      <c r="D1065" s="1" t="str">
        <f t="shared" si="33"/>
        <v>9/01/2019</v>
      </c>
      <c r="E1065" t="s">
        <v>55</v>
      </c>
      <c r="F1065" t="s">
        <v>53</v>
      </c>
      <c r="G1065" t="s">
        <v>43</v>
      </c>
      <c r="H1065" s="2">
        <v>2748</v>
      </c>
      <c r="I1065" s="2">
        <v>1179</v>
      </c>
      <c r="J1065">
        <v>13</v>
      </c>
      <c r="K1065">
        <v>232</v>
      </c>
      <c r="L1065">
        <v>58</v>
      </c>
      <c r="N1065">
        <v>11</v>
      </c>
      <c r="O1065">
        <v>12</v>
      </c>
      <c r="Q1065">
        <v>12</v>
      </c>
      <c r="R1065">
        <v>45</v>
      </c>
      <c r="S1065">
        <v>292</v>
      </c>
      <c r="T1065">
        <v>37</v>
      </c>
      <c r="U1065">
        <v>0</v>
      </c>
      <c r="V1065">
        <v>0</v>
      </c>
      <c r="W1065" s="1">
        <v>44160</v>
      </c>
      <c r="AD1065" t="s">
        <v>40</v>
      </c>
      <c r="AG1065" t="s">
        <v>40</v>
      </c>
    </row>
    <row r="1066" spans="1:37" x14ac:dyDescent="0.3">
      <c r="A1066">
        <v>2019</v>
      </c>
      <c r="B1066">
        <v>9</v>
      </c>
      <c r="C1066" t="str">
        <f t="shared" si="32"/>
        <v>9/01/2019</v>
      </c>
      <c r="D1066" s="1" t="str">
        <f t="shared" si="33"/>
        <v>9/01/2019</v>
      </c>
      <c r="E1066" t="s">
        <v>55</v>
      </c>
      <c r="F1066" t="s">
        <v>53</v>
      </c>
      <c r="G1066" t="s">
        <v>44</v>
      </c>
      <c r="H1066" s="2">
        <v>4982</v>
      </c>
      <c r="I1066" s="2">
        <v>3656</v>
      </c>
      <c r="J1066">
        <v>53</v>
      </c>
      <c r="K1066">
        <v>886</v>
      </c>
      <c r="L1066">
        <v>178</v>
      </c>
      <c r="N1066">
        <v>44</v>
      </c>
      <c r="O1066">
        <v>90</v>
      </c>
      <c r="P1066">
        <v>47</v>
      </c>
      <c r="Q1066">
        <v>48</v>
      </c>
      <c r="R1066">
        <v>51</v>
      </c>
      <c r="S1066" s="2">
        <v>1127</v>
      </c>
      <c r="T1066">
        <v>121</v>
      </c>
      <c r="U1066">
        <v>0</v>
      </c>
      <c r="V1066">
        <v>0</v>
      </c>
      <c r="W1066" s="1">
        <v>44160</v>
      </c>
      <c r="AD1066" t="s">
        <v>40</v>
      </c>
    </row>
    <row r="1067" spans="1:37" x14ac:dyDescent="0.3">
      <c r="A1067">
        <v>2019</v>
      </c>
      <c r="B1067">
        <v>9</v>
      </c>
      <c r="C1067" t="str">
        <f t="shared" si="32"/>
        <v>9/01/2019</v>
      </c>
      <c r="D1067" s="1" t="str">
        <f t="shared" si="33"/>
        <v>9/01/2019</v>
      </c>
      <c r="E1067" t="s">
        <v>55</v>
      </c>
      <c r="F1067" t="s">
        <v>53</v>
      </c>
      <c r="G1067" t="s">
        <v>45</v>
      </c>
      <c r="H1067">
        <v>126</v>
      </c>
      <c r="I1067">
        <v>73</v>
      </c>
      <c r="K1067">
        <v>19</v>
      </c>
      <c r="M1067">
        <v>0</v>
      </c>
      <c r="N1067">
        <v>0</v>
      </c>
      <c r="Q1067">
        <v>0</v>
      </c>
      <c r="U1067">
        <v>0</v>
      </c>
      <c r="V1067">
        <v>0</v>
      </c>
      <c r="W1067" s="1">
        <v>44160</v>
      </c>
      <c r="AA1067" t="s">
        <v>40</v>
      </c>
      <c r="AC1067" t="s">
        <v>40</v>
      </c>
      <c r="AF1067" t="s">
        <v>40</v>
      </c>
      <c r="AG1067" t="s">
        <v>40</v>
      </c>
      <c r="AI1067" t="s">
        <v>40</v>
      </c>
      <c r="AJ1067" t="s">
        <v>40</v>
      </c>
      <c r="AK1067" t="s">
        <v>40</v>
      </c>
    </row>
    <row r="1068" spans="1:37" x14ac:dyDescent="0.3">
      <c r="A1068">
        <v>2019</v>
      </c>
      <c r="B1068">
        <v>9</v>
      </c>
      <c r="C1068" t="str">
        <f t="shared" si="32"/>
        <v>9/01/2019</v>
      </c>
      <c r="D1068" s="1" t="str">
        <f t="shared" si="33"/>
        <v>9/01/2019</v>
      </c>
      <c r="E1068" t="s">
        <v>55</v>
      </c>
      <c r="F1068" t="s">
        <v>53</v>
      </c>
      <c r="G1068" t="s">
        <v>46</v>
      </c>
      <c r="H1068" s="2">
        <v>12658</v>
      </c>
      <c r="I1068" s="2">
        <v>11051</v>
      </c>
      <c r="J1068">
        <v>167</v>
      </c>
      <c r="K1068" s="2">
        <v>3482</v>
      </c>
      <c r="L1068">
        <v>473</v>
      </c>
      <c r="M1068">
        <v>35</v>
      </c>
      <c r="N1068">
        <v>101</v>
      </c>
      <c r="O1068">
        <v>572</v>
      </c>
      <c r="P1068">
        <v>148</v>
      </c>
      <c r="Q1068">
        <v>170</v>
      </c>
      <c r="R1068">
        <v>106</v>
      </c>
      <c r="S1068" s="2">
        <v>3013</v>
      </c>
      <c r="T1068">
        <v>354</v>
      </c>
      <c r="U1068">
        <v>0</v>
      </c>
      <c r="V1068">
        <v>0</v>
      </c>
      <c r="W1068" s="1">
        <v>44160</v>
      </c>
    </row>
    <row r="1069" spans="1:37" x14ac:dyDescent="0.3">
      <c r="A1069">
        <v>2019</v>
      </c>
      <c r="B1069">
        <v>9</v>
      </c>
      <c r="C1069" t="str">
        <f t="shared" si="32"/>
        <v>9/01/2019</v>
      </c>
      <c r="D1069" s="1" t="str">
        <f t="shared" si="33"/>
        <v>9/01/2019</v>
      </c>
      <c r="E1069" t="s">
        <v>55</v>
      </c>
      <c r="F1069" t="s">
        <v>53</v>
      </c>
      <c r="G1069" t="s">
        <v>47</v>
      </c>
      <c r="H1069" s="2">
        <v>19073</v>
      </c>
      <c r="I1069" s="2">
        <v>17962</v>
      </c>
      <c r="J1069">
        <v>273</v>
      </c>
      <c r="K1069" s="2">
        <v>6024</v>
      </c>
      <c r="L1069">
        <v>689</v>
      </c>
      <c r="M1069">
        <v>166</v>
      </c>
      <c r="N1069">
        <v>200</v>
      </c>
      <c r="O1069" s="2">
        <v>1238</v>
      </c>
      <c r="P1069">
        <v>338</v>
      </c>
      <c r="Q1069">
        <v>262</v>
      </c>
      <c r="R1069">
        <v>147</v>
      </c>
      <c r="S1069" s="2">
        <v>4514</v>
      </c>
      <c r="T1069">
        <v>674</v>
      </c>
      <c r="U1069">
        <v>0</v>
      </c>
      <c r="V1069">
        <v>0</v>
      </c>
      <c r="W1069" s="1">
        <v>44160</v>
      </c>
    </row>
    <row r="1070" spans="1:37" x14ac:dyDescent="0.3">
      <c r="A1070">
        <v>2019</v>
      </c>
      <c r="B1070">
        <v>9</v>
      </c>
      <c r="C1070" t="str">
        <f t="shared" si="32"/>
        <v>9/01/2019</v>
      </c>
      <c r="D1070" s="1" t="str">
        <f t="shared" si="33"/>
        <v>9/01/2019</v>
      </c>
      <c r="E1070" t="s">
        <v>55</v>
      </c>
      <c r="F1070" t="s">
        <v>53</v>
      </c>
      <c r="G1070" t="s">
        <v>48</v>
      </c>
      <c r="H1070" s="2">
        <v>22539</v>
      </c>
      <c r="I1070" s="2">
        <v>21538</v>
      </c>
      <c r="J1070">
        <v>323</v>
      </c>
      <c r="K1070" s="2">
        <v>5719</v>
      </c>
      <c r="L1070">
        <v>672</v>
      </c>
      <c r="M1070">
        <v>852</v>
      </c>
      <c r="N1070">
        <v>331</v>
      </c>
      <c r="O1070" s="2">
        <v>1540</v>
      </c>
      <c r="P1070">
        <v>471</v>
      </c>
      <c r="Q1070">
        <v>418</v>
      </c>
      <c r="R1070">
        <v>178</v>
      </c>
      <c r="S1070" s="2">
        <v>5407</v>
      </c>
      <c r="T1070" s="2">
        <v>1122</v>
      </c>
      <c r="U1070">
        <v>0</v>
      </c>
      <c r="V1070">
        <v>0</v>
      </c>
      <c r="W1070" s="1">
        <v>44160</v>
      </c>
    </row>
    <row r="1071" spans="1:37" x14ac:dyDescent="0.3">
      <c r="A1071">
        <v>2019</v>
      </c>
      <c r="B1071">
        <v>9</v>
      </c>
      <c r="C1071" t="str">
        <f t="shared" si="32"/>
        <v>9/01/2019</v>
      </c>
      <c r="D1071" s="1" t="str">
        <f t="shared" si="33"/>
        <v>9/01/2019</v>
      </c>
      <c r="E1071" t="s">
        <v>55</v>
      </c>
      <c r="F1071" t="s">
        <v>53</v>
      </c>
      <c r="G1071" t="s">
        <v>49</v>
      </c>
      <c r="H1071" s="2">
        <v>21926</v>
      </c>
      <c r="I1071" s="2">
        <v>21102</v>
      </c>
      <c r="J1071">
        <v>243</v>
      </c>
      <c r="K1071" s="2">
        <v>3347</v>
      </c>
      <c r="L1071">
        <v>458</v>
      </c>
      <c r="M1071" s="2">
        <v>1377</v>
      </c>
      <c r="N1071">
        <v>426</v>
      </c>
      <c r="O1071" s="2">
        <v>1119</v>
      </c>
      <c r="P1071">
        <v>354</v>
      </c>
      <c r="Q1071">
        <v>443</v>
      </c>
      <c r="R1071">
        <v>242</v>
      </c>
      <c r="S1071" s="2">
        <v>6630</v>
      </c>
      <c r="T1071" s="2">
        <v>1303</v>
      </c>
      <c r="U1071">
        <v>0</v>
      </c>
      <c r="V1071">
        <v>0</v>
      </c>
      <c r="W1071" s="1">
        <v>44160</v>
      </c>
    </row>
    <row r="1072" spans="1:37" x14ac:dyDescent="0.3">
      <c r="A1072">
        <v>2019</v>
      </c>
      <c r="B1072">
        <v>9</v>
      </c>
      <c r="C1072" t="str">
        <f t="shared" si="32"/>
        <v>9/01/2019</v>
      </c>
      <c r="D1072" s="1" t="str">
        <f t="shared" si="33"/>
        <v>9/01/2019</v>
      </c>
      <c r="E1072" t="s">
        <v>55</v>
      </c>
      <c r="F1072" t="s">
        <v>54</v>
      </c>
      <c r="G1072" t="s">
        <v>39</v>
      </c>
      <c r="H1072">
        <v>56</v>
      </c>
      <c r="I1072">
        <v>46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T1072">
        <v>0</v>
      </c>
      <c r="U1072">
        <v>0</v>
      </c>
      <c r="V1072">
        <v>0</v>
      </c>
      <c r="W1072" s="1">
        <v>44160</v>
      </c>
      <c r="AA1072" t="s">
        <v>40</v>
      </c>
      <c r="AB1072" t="s">
        <v>40</v>
      </c>
      <c r="AI1072" t="s">
        <v>40</v>
      </c>
      <c r="AJ1072" t="s">
        <v>40</v>
      </c>
    </row>
    <row r="1073" spans="1:37" x14ac:dyDescent="0.3">
      <c r="A1073">
        <v>2019</v>
      </c>
      <c r="B1073">
        <v>9</v>
      </c>
      <c r="C1073" t="str">
        <f t="shared" si="32"/>
        <v>9/01/2019</v>
      </c>
      <c r="D1073" s="1" t="str">
        <f t="shared" si="33"/>
        <v>9/01/2019</v>
      </c>
      <c r="E1073" t="s">
        <v>55</v>
      </c>
      <c r="F1073" t="s">
        <v>54</v>
      </c>
      <c r="G1073" t="s">
        <v>41</v>
      </c>
      <c r="H1073">
        <v>36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T1073">
        <v>0</v>
      </c>
      <c r="U1073">
        <v>0</v>
      </c>
      <c r="V1073">
        <v>0</v>
      </c>
      <c r="W1073" s="1">
        <v>44160</v>
      </c>
      <c r="Z1073" t="s">
        <v>40</v>
      </c>
      <c r="AJ1073" t="s">
        <v>40</v>
      </c>
    </row>
    <row r="1074" spans="1:37" x14ac:dyDescent="0.3">
      <c r="A1074">
        <v>2019</v>
      </c>
      <c r="B1074">
        <v>9</v>
      </c>
      <c r="C1074" t="str">
        <f t="shared" si="32"/>
        <v>9/01/2019</v>
      </c>
      <c r="D1074" s="1" t="str">
        <f t="shared" si="33"/>
        <v>9/01/2019</v>
      </c>
      <c r="E1074" t="s">
        <v>55</v>
      </c>
      <c r="F1074" t="s">
        <v>54</v>
      </c>
      <c r="G1074" t="s">
        <v>42</v>
      </c>
      <c r="H1074">
        <v>75</v>
      </c>
      <c r="I1074">
        <v>18</v>
      </c>
      <c r="J1074">
        <v>0</v>
      </c>
      <c r="M1074">
        <v>0</v>
      </c>
      <c r="N1074">
        <v>0</v>
      </c>
      <c r="O1074">
        <v>0</v>
      </c>
      <c r="R1074">
        <v>0</v>
      </c>
      <c r="U1074">
        <v>0</v>
      </c>
      <c r="V1074">
        <v>0</v>
      </c>
      <c r="W1074" s="1">
        <v>44160</v>
      </c>
      <c r="AB1074" t="s">
        <v>40</v>
      </c>
      <c r="AC1074" t="s">
        <v>40</v>
      </c>
      <c r="AG1074" t="s">
        <v>40</v>
      </c>
      <c r="AH1074" t="s">
        <v>40</v>
      </c>
      <c r="AJ1074" t="s">
        <v>40</v>
      </c>
      <c r="AK1074" t="s">
        <v>40</v>
      </c>
    </row>
    <row r="1075" spans="1:37" x14ac:dyDescent="0.3">
      <c r="A1075">
        <v>2019</v>
      </c>
      <c r="B1075">
        <v>9</v>
      </c>
      <c r="C1075" t="str">
        <f t="shared" si="32"/>
        <v>9/01/2019</v>
      </c>
      <c r="D1075" s="1" t="str">
        <f t="shared" si="33"/>
        <v>9/01/2019</v>
      </c>
      <c r="E1075" t="s">
        <v>55</v>
      </c>
      <c r="F1075" t="s">
        <v>54</v>
      </c>
      <c r="G1075" t="s">
        <v>43</v>
      </c>
      <c r="H1075">
        <v>75</v>
      </c>
      <c r="I1075">
        <v>38</v>
      </c>
      <c r="J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S1075">
        <v>15</v>
      </c>
      <c r="U1075">
        <v>0</v>
      </c>
      <c r="V1075">
        <v>0</v>
      </c>
      <c r="W1075" s="1">
        <v>44160</v>
      </c>
      <c r="AB1075" t="s">
        <v>40</v>
      </c>
      <c r="AI1075" t="s">
        <v>40</v>
      </c>
      <c r="AK1075" t="s">
        <v>40</v>
      </c>
    </row>
    <row r="1076" spans="1:37" x14ac:dyDescent="0.3">
      <c r="A1076">
        <v>2019</v>
      </c>
      <c r="B1076">
        <v>9</v>
      </c>
      <c r="C1076" t="str">
        <f t="shared" si="32"/>
        <v>9/01/2019</v>
      </c>
      <c r="D1076" s="1" t="str">
        <f t="shared" si="33"/>
        <v>9/01/2019</v>
      </c>
      <c r="E1076" t="s">
        <v>55</v>
      </c>
      <c r="F1076" t="s">
        <v>54</v>
      </c>
      <c r="G1076" t="s">
        <v>44</v>
      </c>
      <c r="H1076">
        <v>111</v>
      </c>
      <c r="I1076">
        <v>82</v>
      </c>
      <c r="J1076">
        <v>0</v>
      </c>
      <c r="K1076">
        <v>16</v>
      </c>
      <c r="M1076">
        <v>0</v>
      </c>
      <c r="S1076">
        <v>32</v>
      </c>
      <c r="U1076">
        <v>0</v>
      </c>
      <c r="V1076">
        <v>0</v>
      </c>
      <c r="W1076" s="1">
        <v>44160</v>
      </c>
      <c r="AC1076" t="s">
        <v>40</v>
      </c>
      <c r="AE1076" t="s">
        <v>40</v>
      </c>
      <c r="AF1076" t="s">
        <v>40</v>
      </c>
      <c r="AG1076" t="s">
        <v>40</v>
      </c>
      <c r="AH1076" t="s">
        <v>40</v>
      </c>
      <c r="AI1076" t="s">
        <v>40</v>
      </c>
      <c r="AK1076" t="s">
        <v>40</v>
      </c>
    </row>
    <row r="1077" spans="1:37" x14ac:dyDescent="0.3">
      <c r="A1077">
        <v>2019</v>
      </c>
      <c r="B1077">
        <v>9</v>
      </c>
      <c r="C1077" t="str">
        <f t="shared" si="32"/>
        <v>9/01/2019</v>
      </c>
      <c r="D1077" s="1" t="str">
        <f t="shared" si="33"/>
        <v>9/01/2019</v>
      </c>
      <c r="E1077" t="s">
        <v>55</v>
      </c>
      <c r="F1077" t="s">
        <v>54</v>
      </c>
      <c r="G1077" t="s">
        <v>45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 s="1">
        <v>44160</v>
      </c>
      <c r="Y1077" t="s">
        <v>40</v>
      </c>
      <c r="Z1077" t="s">
        <v>40</v>
      </c>
    </row>
    <row r="1078" spans="1:37" x14ac:dyDescent="0.3">
      <c r="A1078">
        <v>2019</v>
      </c>
      <c r="B1078">
        <v>9</v>
      </c>
      <c r="C1078" t="str">
        <f t="shared" si="32"/>
        <v>9/01/2019</v>
      </c>
      <c r="D1078" s="1" t="str">
        <f t="shared" si="33"/>
        <v>9/01/2019</v>
      </c>
      <c r="E1078" t="s">
        <v>55</v>
      </c>
      <c r="F1078" t="s">
        <v>54</v>
      </c>
      <c r="G1078" t="s">
        <v>46</v>
      </c>
      <c r="H1078">
        <v>217</v>
      </c>
      <c r="I1078">
        <v>183</v>
      </c>
      <c r="K1078">
        <v>50</v>
      </c>
      <c r="L1078">
        <v>13</v>
      </c>
      <c r="M1078">
        <v>0</v>
      </c>
      <c r="S1078">
        <v>49</v>
      </c>
      <c r="U1078">
        <v>0</v>
      </c>
      <c r="V1078">
        <v>0</v>
      </c>
      <c r="W1078" s="1">
        <v>44160</v>
      </c>
      <c r="AA1078" t="s">
        <v>40</v>
      </c>
      <c r="AE1078" t="s">
        <v>40</v>
      </c>
      <c r="AF1078" t="s">
        <v>40</v>
      </c>
      <c r="AG1078" t="s">
        <v>40</v>
      </c>
      <c r="AH1078" t="s">
        <v>40</v>
      </c>
      <c r="AI1078" t="s">
        <v>40</v>
      </c>
      <c r="AK1078" t="s">
        <v>40</v>
      </c>
    </row>
    <row r="1079" spans="1:37" x14ac:dyDescent="0.3">
      <c r="A1079">
        <v>2019</v>
      </c>
      <c r="B1079">
        <v>9</v>
      </c>
      <c r="C1079" t="str">
        <f t="shared" si="32"/>
        <v>9/01/2019</v>
      </c>
      <c r="D1079" s="1" t="str">
        <f t="shared" si="33"/>
        <v>9/01/2019</v>
      </c>
      <c r="E1079" t="s">
        <v>55</v>
      </c>
      <c r="F1079" t="s">
        <v>54</v>
      </c>
      <c r="G1079" t="s">
        <v>47</v>
      </c>
      <c r="H1079">
        <v>236</v>
      </c>
      <c r="I1079">
        <v>223</v>
      </c>
      <c r="K1079">
        <v>59</v>
      </c>
      <c r="L1079">
        <v>13</v>
      </c>
      <c r="O1079">
        <v>12</v>
      </c>
      <c r="S1079">
        <v>73</v>
      </c>
      <c r="U1079">
        <v>0</v>
      </c>
      <c r="V1079">
        <v>0</v>
      </c>
      <c r="W1079" s="1">
        <v>44160</v>
      </c>
      <c r="AA1079" t="s">
        <v>40</v>
      </c>
      <c r="AD1079" t="s">
        <v>40</v>
      </c>
      <c r="AE1079" t="s">
        <v>40</v>
      </c>
      <c r="AG1079" t="s">
        <v>40</v>
      </c>
      <c r="AH1079" t="s">
        <v>40</v>
      </c>
      <c r="AI1079" t="s">
        <v>40</v>
      </c>
      <c r="AK1079" t="s">
        <v>40</v>
      </c>
    </row>
    <row r="1080" spans="1:37" x14ac:dyDescent="0.3">
      <c r="A1080">
        <v>2019</v>
      </c>
      <c r="B1080">
        <v>9</v>
      </c>
      <c r="C1080" t="str">
        <f t="shared" si="32"/>
        <v>9/01/2019</v>
      </c>
      <c r="D1080" s="1" t="str">
        <f t="shared" si="33"/>
        <v>9/01/2019</v>
      </c>
      <c r="E1080" t="s">
        <v>55</v>
      </c>
      <c r="F1080" t="s">
        <v>54</v>
      </c>
      <c r="G1080" t="s">
        <v>48</v>
      </c>
      <c r="H1080">
        <v>175</v>
      </c>
      <c r="I1080">
        <v>171</v>
      </c>
      <c r="K1080">
        <v>41</v>
      </c>
      <c r="O1080">
        <v>15</v>
      </c>
      <c r="Q1080">
        <v>0</v>
      </c>
      <c r="S1080">
        <v>57</v>
      </c>
      <c r="T1080">
        <v>10</v>
      </c>
      <c r="U1080">
        <v>0</v>
      </c>
      <c r="V1080">
        <v>0</v>
      </c>
      <c r="W1080" s="1">
        <v>44160</v>
      </c>
      <c r="AA1080" t="s">
        <v>40</v>
      </c>
      <c r="AC1080" t="s">
        <v>40</v>
      </c>
      <c r="AD1080" t="s">
        <v>40</v>
      </c>
      <c r="AE1080" t="s">
        <v>40</v>
      </c>
      <c r="AG1080" t="s">
        <v>40</v>
      </c>
      <c r="AI1080" t="s">
        <v>40</v>
      </c>
    </row>
    <row r="1081" spans="1:37" x14ac:dyDescent="0.3">
      <c r="A1081">
        <v>2019</v>
      </c>
      <c r="B1081">
        <v>9</v>
      </c>
      <c r="C1081" t="str">
        <f t="shared" si="32"/>
        <v>9/01/2019</v>
      </c>
      <c r="D1081" s="1" t="str">
        <f t="shared" si="33"/>
        <v>9/01/2019</v>
      </c>
      <c r="E1081" t="s">
        <v>55</v>
      </c>
      <c r="F1081" t="s">
        <v>54</v>
      </c>
      <c r="G1081" t="s">
        <v>49</v>
      </c>
      <c r="H1081">
        <v>94</v>
      </c>
      <c r="I1081">
        <v>89</v>
      </c>
      <c r="S1081">
        <v>32</v>
      </c>
      <c r="U1081">
        <v>0</v>
      </c>
      <c r="V1081">
        <v>0</v>
      </c>
      <c r="W1081" s="1">
        <v>44160</v>
      </c>
      <c r="AA1081" t="s">
        <v>40</v>
      </c>
      <c r="AB1081" t="s">
        <v>40</v>
      </c>
      <c r="AC1081" t="s">
        <v>40</v>
      </c>
      <c r="AD1081" t="s">
        <v>40</v>
      </c>
      <c r="AE1081" t="s">
        <v>40</v>
      </c>
      <c r="AF1081" t="s">
        <v>40</v>
      </c>
      <c r="AG1081" t="s">
        <v>40</v>
      </c>
      <c r="AH1081" t="s">
        <v>40</v>
      </c>
      <c r="AI1081" t="s">
        <v>40</v>
      </c>
      <c r="AK1081" t="s">
        <v>40</v>
      </c>
    </row>
    <row r="1082" spans="1:37" x14ac:dyDescent="0.3">
      <c r="A1082">
        <v>2019</v>
      </c>
      <c r="B1082">
        <v>10</v>
      </c>
      <c r="C1082" t="str">
        <f t="shared" si="32"/>
        <v>10/01/2019</v>
      </c>
      <c r="D1082" s="1" t="str">
        <f t="shared" si="33"/>
        <v>10/01/2019</v>
      </c>
      <c r="E1082" t="s">
        <v>37</v>
      </c>
      <c r="F1082" t="s">
        <v>38</v>
      </c>
      <c r="G1082" t="s">
        <v>39</v>
      </c>
      <c r="H1082">
        <v>182</v>
      </c>
      <c r="I1082">
        <v>167</v>
      </c>
      <c r="L1082">
        <v>0</v>
      </c>
      <c r="M1082">
        <v>0</v>
      </c>
      <c r="R1082">
        <v>23</v>
      </c>
      <c r="U1082">
        <v>0</v>
      </c>
      <c r="V1082">
        <v>0</v>
      </c>
      <c r="W1082" s="1">
        <v>44160</v>
      </c>
      <c r="AA1082" t="s">
        <v>40</v>
      </c>
      <c r="AB1082" t="s">
        <v>40</v>
      </c>
      <c r="AE1082" t="s">
        <v>40</v>
      </c>
      <c r="AF1082" t="s">
        <v>40</v>
      </c>
      <c r="AG1082" t="s">
        <v>40</v>
      </c>
      <c r="AH1082" t="s">
        <v>40</v>
      </c>
      <c r="AJ1082" t="s">
        <v>40</v>
      </c>
      <c r="AK1082" t="s">
        <v>40</v>
      </c>
    </row>
    <row r="1083" spans="1:37" x14ac:dyDescent="0.3">
      <c r="A1083">
        <v>2019</v>
      </c>
      <c r="B1083">
        <v>10</v>
      </c>
      <c r="C1083" t="str">
        <f t="shared" si="32"/>
        <v>10/01/2019</v>
      </c>
      <c r="D1083" s="1" t="str">
        <f t="shared" si="33"/>
        <v>10/01/2019</v>
      </c>
      <c r="E1083" t="s">
        <v>37</v>
      </c>
      <c r="F1083" t="s">
        <v>38</v>
      </c>
      <c r="G1083" t="s">
        <v>41</v>
      </c>
      <c r="H1083">
        <v>117</v>
      </c>
      <c r="I1083">
        <v>45</v>
      </c>
      <c r="K1083">
        <v>11</v>
      </c>
      <c r="L1083">
        <v>0</v>
      </c>
      <c r="M1083">
        <v>0</v>
      </c>
      <c r="P1083">
        <v>0</v>
      </c>
      <c r="U1083">
        <v>0</v>
      </c>
      <c r="V1083">
        <v>0</v>
      </c>
      <c r="W1083" s="1">
        <v>44160</v>
      </c>
      <c r="AA1083" t="s">
        <v>40</v>
      </c>
      <c r="AE1083" t="s">
        <v>40</v>
      </c>
      <c r="AF1083" t="s">
        <v>40</v>
      </c>
      <c r="AH1083" t="s">
        <v>40</v>
      </c>
      <c r="AI1083" t="s">
        <v>40</v>
      </c>
      <c r="AJ1083" t="s">
        <v>40</v>
      </c>
      <c r="AK1083" t="s">
        <v>40</v>
      </c>
    </row>
    <row r="1084" spans="1:37" x14ac:dyDescent="0.3">
      <c r="A1084">
        <v>2019</v>
      </c>
      <c r="B1084">
        <v>10</v>
      </c>
      <c r="C1084" t="str">
        <f t="shared" si="32"/>
        <v>10/01/2019</v>
      </c>
      <c r="D1084" s="1" t="str">
        <f t="shared" si="33"/>
        <v>10/01/2019</v>
      </c>
      <c r="E1084" t="s">
        <v>37</v>
      </c>
      <c r="F1084" t="s">
        <v>38</v>
      </c>
      <c r="G1084" t="s">
        <v>42</v>
      </c>
      <c r="H1084">
        <v>183</v>
      </c>
      <c r="I1084">
        <v>98</v>
      </c>
      <c r="K1084">
        <v>31</v>
      </c>
      <c r="M1084">
        <v>0</v>
      </c>
      <c r="U1084">
        <v>0</v>
      </c>
      <c r="V1084">
        <v>0</v>
      </c>
      <c r="W1084" s="1">
        <v>44160</v>
      </c>
      <c r="AA1084" t="s">
        <v>40</v>
      </c>
      <c r="AC1084" t="s">
        <v>40</v>
      </c>
      <c r="AE1084" t="s">
        <v>40</v>
      </c>
      <c r="AF1084" t="s">
        <v>40</v>
      </c>
      <c r="AG1084" t="s">
        <v>40</v>
      </c>
      <c r="AH1084" t="s">
        <v>40</v>
      </c>
      <c r="AI1084" t="s">
        <v>40</v>
      </c>
      <c r="AJ1084" t="s">
        <v>40</v>
      </c>
      <c r="AK1084" t="s">
        <v>40</v>
      </c>
    </row>
    <row r="1085" spans="1:37" x14ac:dyDescent="0.3">
      <c r="A1085">
        <v>2019</v>
      </c>
      <c r="B1085">
        <v>10</v>
      </c>
      <c r="C1085" t="str">
        <f t="shared" si="32"/>
        <v>10/01/2019</v>
      </c>
      <c r="D1085" s="1" t="str">
        <f t="shared" si="33"/>
        <v>10/01/2019</v>
      </c>
      <c r="E1085" t="s">
        <v>37</v>
      </c>
      <c r="F1085" t="s">
        <v>38</v>
      </c>
      <c r="G1085" t="s">
        <v>43</v>
      </c>
      <c r="H1085">
        <v>303</v>
      </c>
      <c r="I1085">
        <v>225</v>
      </c>
      <c r="K1085">
        <v>72</v>
      </c>
      <c r="L1085">
        <v>16</v>
      </c>
      <c r="M1085">
        <v>0</v>
      </c>
      <c r="R1085">
        <v>0</v>
      </c>
      <c r="S1085">
        <v>32</v>
      </c>
      <c r="T1085">
        <v>11</v>
      </c>
      <c r="U1085">
        <v>0</v>
      </c>
      <c r="V1085">
        <v>0</v>
      </c>
      <c r="W1085" s="1">
        <v>44160</v>
      </c>
      <c r="AA1085" t="s">
        <v>40</v>
      </c>
      <c r="AE1085" t="s">
        <v>40</v>
      </c>
      <c r="AF1085" t="s">
        <v>40</v>
      </c>
      <c r="AG1085" t="s">
        <v>40</v>
      </c>
      <c r="AH1085" t="s">
        <v>40</v>
      </c>
    </row>
    <row r="1086" spans="1:37" x14ac:dyDescent="0.3">
      <c r="A1086">
        <v>2019</v>
      </c>
      <c r="B1086">
        <v>10</v>
      </c>
      <c r="C1086" t="str">
        <f t="shared" si="32"/>
        <v>10/01/2019</v>
      </c>
      <c r="D1086" s="1" t="str">
        <f t="shared" si="33"/>
        <v>10/01/2019</v>
      </c>
      <c r="E1086" t="s">
        <v>37</v>
      </c>
      <c r="F1086" t="s">
        <v>38</v>
      </c>
      <c r="G1086" t="s">
        <v>44</v>
      </c>
      <c r="H1086">
        <v>539</v>
      </c>
      <c r="I1086">
        <v>467</v>
      </c>
      <c r="K1086">
        <v>208</v>
      </c>
      <c r="L1086">
        <v>26</v>
      </c>
      <c r="M1086">
        <v>0</v>
      </c>
      <c r="P1086">
        <v>11</v>
      </c>
      <c r="S1086">
        <v>49</v>
      </c>
      <c r="T1086">
        <v>20</v>
      </c>
      <c r="U1086">
        <v>0</v>
      </c>
      <c r="V1086">
        <v>0</v>
      </c>
      <c r="W1086" s="1">
        <v>44160</v>
      </c>
      <c r="AA1086" t="s">
        <v>40</v>
      </c>
      <c r="AE1086" t="s">
        <v>40</v>
      </c>
      <c r="AF1086" t="s">
        <v>40</v>
      </c>
      <c r="AH1086" t="s">
        <v>40</v>
      </c>
      <c r="AI1086" t="s">
        <v>40</v>
      </c>
    </row>
    <row r="1087" spans="1:37" x14ac:dyDescent="0.3">
      <c r="A1087">
        <v>2019</v>
      </c>
      <c r="B1087">
        <v>10</v>
      </c>
      <c r="C1087" t="str">
        <f t="shared" si="32"/>
        <v>10/01/2019</v>
      </c>
      <c r="D1087" s="1" t="str">
        <f t="shared" si="33"/>
        <v>10/01/2019</v>
      </c>
      <c r="E1087" t="s">
        <v>37</v>
      </c>
      <c r="F1087" t="s">
        <v>38</v>
      </c>
      <c r="G1087" t="s">
        <v>45</v>
      </c>
      <c r="H1087">
        <v>32</v>
      </c>
      <c r="I1087">
        <v>22</v>
      </c>
      <c r="J1087">
        <v>0</v>
      </c>
      <c r="L1087">
        <v>0</v>
      </c>
      <c r="M1087">
        <v>0</v>
      </c>
      <c r="P1087">
        <v>0</v>
      </c>
      <c r="Q1087">
        <v>0</v>
      </c>
      <c r="S1087">
        <v>0</v>
      </c>
      <c r="U1087">
        <v>0</v>
      </c>
      <c r="V1087">
        <v>0</v>
      </c>
      <c r="W1087" s="1">
        <v>44160</v>
      </c>
      <c r="AB1087" t="s">
        <v>40</v>
      </c>
      <c r="AE1087" t="s">
        <v>40</v>
      </c>
      <c r="AF1087" t="s">
        <v>40</v>
      </c>
      <c r="AI1087" t="s">
        <v>40</v>
      </c>
      <c r="AK1087" t="s">
        <v>40</v>
      </c>
    </row>
    <row r="1088" spans="1:37" x14ac:dyDescent="0.3">
      <c r="A1088">
        <v>2019</v>
      </c>
      <c r="B1088">
        <v>10</v>
      </c>
      <c r="C1088" t="str">
        <f t="shared" si="32"/>
        <v>10/01/2019</v>
      </c>
      <c r="D1088" s="1" t="str">
        <f t="shared" si="33"/>
        <v>10/01/2019</v>
      </c>
      <c r="E1088" t="s">
        <v>37</v>
      </c>
      <c r="F1088" t="s">
        <v>38</v>
      </c>
      <c r="G1088" t="s">
        <v>46</v>
      </c>
      <c r="H1088">
        <v>927</v>
      </c>
      <c r="I1088">
        <v>868</v>
      </c>
      <c r="J1088">
        <v>12</v>
      </c>
      <c r="K1088">
        <v>345</v>
      </c>
      <c r="L1088">
        <v>62</v>
      </c>
      <c r="N1088">
        <v>10</v>
      </c>
      <c r="O1088">
        <v>16</v>
      </c>
      <c r="P1088">
        <v>21</v>
      </c>
      <c r="Q1088">
        <v>21</v>
      </c>
      <c r="S1088">
        <v>136</v>
      </c>
      <c r="T1088">
        <v>41</v>
      </c>
      <c r="U1088">
        <v>0</v>
      </c>
      <c r="V1088">
        <v>0</v>
      </c>
      <c r="W1088" s="1">
        <v>44160</v>
      </c>
      <c r="AD1088" t="s">
        <v>40</v>
      </c>
      <c r="AI1088" t="s">
        <v>40</v>
      </c>
    </row>
    <row r="1089" spans="1:37" x14ac:dyDescent="0.3">
      <c r="A1089">
        <v>2019</v>
      </c>
      <c r="B1089">
        <v>10</v>
      </c>
      <c r="C1089" t="str">
        <f t="shared" si="32"/>
        <v>10/01/2019</v>
      </c>
      <c r="D1089" s="1" t="str">
        <f t="shared" si="33"/>
        <v>10/01/2019</v>
      </c>
      <c r="E1089" t="s">
        <v>37</v>
      </c>
      <c r="F1089" t="s">
        <v>38</v>
      </c>
      <c r="G1089" t="s">
        <v>47</v>
      </c>
      <c r="H1089" s="2">
        <v>1351</v>
      </c>
      <c r="I1089" s="2">
        <v>1310</v>
      </c>
      <c r="J1089">
        <v>25</v>
      </c>
      <c r="K1089">
        <v>439</v>
      </c>
      <c r="L1089">
        <v>104</v>
      </c>
      <c r="M1089">
        <v>21</v>
      </c>
      <c r="N1089">
        <v>21</v>
      </c>
      <c r="O1089">
        <v>40</v>
      </c>
      <c r="P1089">
        <v>38</v>
      </c>
      <c r="Q1089">
        <v>39</v>
      </c>
      <c r="S1089">
        <v>247</v>
      </c>
      <c r="T1089">
        <v>61</v>
      </c>
      <c r="U1089">
        <v>0</v>
      </c>
      <c r="V1089">
        <v>0</v>
      </c>
      <c r="W1089" s="1">
        <v>44160</v>
      </c>
      <c r="AI1089" t="s">
        <v>40</v>
      </c>
    </row>
    <row r="1090" spans="1:37" x14ac:dyDescent="0.3">
      <c r="A1090">
        <v>2019</v>
      </c>
      <c r="B1090">
        <v>10</v>
      </c>
      <c r="C1090" t="str">
        <f t="shared" si="32"/>
        <v>10/01/2019</v>
      </c>
      <c r="D1090" s="1" t="str">
        <f t="shared" si="33"/>
        <v>10/01/2019</v>
      </c>
      <c r="E1090" t="s">
        <v>37</v>
      </c>
      <c r="F1090" t="s">
        <v>38</v>
      </c>
      <c r="G1090" t="s">
        <v>48</v>
      </c>
      <c r="H1090" s="2">
        <v>1760</v>
      </c>
      <c r="I1090" s="2">
        <v>1714</v>
      </c>
      <c r="J1090">
        <v>28</v>
      </c>
      <c r="K1090">
        <v>363</v>
      </c>
      <c r="L1090">
        <v>99</v>
      </c>
      <c r="M1090">
        <v>117</v>
      </c>
      <c r="N1090">
        <v>19</v>
      </c>
      <c r="O1090">
        <v>61</v>
      </c>
      <c r="P1090">
        <v>36</v>
      </c>
      <c r="Q1090">
        <v>53</v>
      </c>
      <c r="R1090">
        <v>18</v>
      </c>
      <c r="S1090">
        <v>375</v>
      </c>
      <c r="T1090">
        <v>157</v>
      </c>
      <c r="U1090">
        <v>0</v>
      </c>
      <c r="V1090">
        <v>0</v>
      </c>
      <c r="W1090" s="1">
        <v>44160</v>
      </c>
    </row>
    <row r="1091" spans="1:37" x14ac:dyDescent="0.3">
      <c r="A1091">
        <v>2019</v>
      </c>
      <c r="B1091">
        <v>10</v>
      </c>
      <c r="C1091" t="str">
        <f t="shared" ref="C1091:C1154" si="34">CONCATENATE(B1091,"/01/",A1091)</f>
        <v>10/01/2019</v>
      </c>
      <c r="D1091" s="1" t="str">
        <f t="shared" ref="D1091:D1154" si="35">C1091</f>
        <v>10/01/2019</v>
      </c>
      <c r="E1091" t="s">
        <v>37</v>
      </c>
      <c r="F1091" t="s">
        <v>38</v>
      </c>
      <c r="G1091" t="s">
        <v>49</v>
      </c>
      <c r="H1091" s="2">
        <v>2418</v>
      </c>
      <c r="I1091" s="2">
        <v>2380</v>
      </c>
      <c r="J1091">
        <v>24</v>
      </c>
      <c r="K1091">
        <v>271</v>
      </c>
      <c r="L1091">
        <v>87</v>
      </c>
      <c r="M1091">
        <v>318</v>
      </c>
      <c r="N1091">
        <v>46</v>
      </c>
      <c r="O1091">
        <v>88</v>
      </c>
      <c r="P1091">
        <v>35</v>
      </c>
      <c r="Q1091">
        <v>52</v>
      </c>
      <c r="R1091">
        <v>17</v>
      </c>
      <c r="S1091">
        <v>604</v>
      </c>
      <c r="T1091">
        <v>227</v>
      </c>
      <c r="U1091">
        <v>0</v>
      </c>
      <c r="V1091">
        <v>0</v>
      </c>
      <c r="W1091" s="1">
        <v>44160</v>
      </c>
    </row>
    <row r="1092" spans="1:37" x14ac:dyDescent="0.3">
      <c r="A1092">
        <v>2019</v>
      </c>
      <c r="B1092">
        <v>10</v>
      </c>
      <c r="C1092" t="str">
        <f t="shared" si="34"/>
        <v>10/01/2019</v>
      </c>
      <c r="D1092" s="1" t="str">
        <f t="shared" si="35"/>
        <v>10/01/2019</v>
      </c>
      <c r="E1092" t="s">
        <v>37</v>
      </c>
      <c r="F1092" t="s">
        <v>50</v>
      </c>
      <c r="G1092" t="s">
        <v>39</v>
      </c>
      <c r="H1092">
        <v>13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 s="1">
        <v>44160</v>
      </c>
      <c r="Z1092" t="s">
        <v>40</v>
      </c>
      <c r="AG1092" t="s">
        <v>40</v>
      </c>
    </row>
    <row r="1093" spans="1:37" x14ac:dyDescent="0.3">
      <c r="A1093">
        <v>2019</v>
      </c>
      <c r="B1093">
        <v>10</v>
      </c>
      <c r="C1093" t="str">
        <f t="shared" si="34"/>
        <v>10/01/2019</v>
      </c>
      <c r="D1093" s="1" t="str">
        <f t="shared" si="35"/>
        <v>10/01/2019</v>
      </c>
      <c r="E1093" t="s">
        <v>37</v>
      </c>
      <c r="F1093" t="s">
        <v>50</v>
      </c>
      <c r="G1093" t="s">
        <v>41</v>
      </c>
      <c r="H1093">
        <v>14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 s="1">
        <v>44160</v>
      </c>
    </row>
    <row r="1094" spans="1:37" x14ac:dyDescent="0.3">
      <c r="A1094">
        <v>2019</v>
      </c>
      <c r="B1094">
        <v>10</v>
      </c>
      <c r="C1094" t="str">
        <f t="shared" si="34"/>
        <v>10/01/2019</v>
      </c>
      <c r="D1094" s="1" t="str">
        <f t="shared" si="35"/>
        <v>10/01/2019</v>
      </c>
      <c r="E1094" t="s">
        <v>37</v>
      </c>
      <c r="F1094" t="s">
        <v>50</v>
      </c>
      <c r="G1094" t="s">
        <v>42</v>
      </c>
      <c r="H1094">
        <v>43</v>
      </c>
      <c r="I1094">
        <v>21</v>
      </c>
      <c r="J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R1094">
        <v>0</v>
      </c>
      <c r="T1094">
        <v>0</v>
      </c>
      <c r="U1094">
        <v>0</v>
      </c>
      <c r="V1094">
        <v>0</v>
      </c>
      <c r="W1094" s="1">
        <v>44160</v>
      </c>
      <c r="AB1094" t="s">
        <v>40</v>
      </c>
      <c r="AH1094" t="s">
        <v>40</v>
      </c>
      <c r="AJ1094" t="s">
        <v>40</v>
      </c>
    </row>
    <row r="1095" spans="1:37" x14ac:dyDescent="0.3">
      <c r="A1095">
        <v>2019</v>
      </c>
      <c r="B1095">
        <v>10</v>
      </c>
      <c r="C1095" t="str">
        <f t="shared" si="34"/>
        <v>10/01/2019</v>
      </c>
      <c r="D1095" s="1" t="str">
        <f t="shared" si="35"/>
        <v>10/01/2019</v>
      </c>
      <c r="E1095" t="s">
        <v>37</v>
      </c>
      <c r="F1095" t="s">
        <v>50</v>
      </c>
      <c r="G1095" t="s">
        <v>43</v>
      </c>
      <c r="H1095">
        <v>57</v>
      </c>
      <c r="I1095">
        <v>41</v>
      </c>
      <c r="M1095">
        <v>0</v>
      </c>
      <c r="O1095">
        <v>0</v>
      </c>
      <c r="P1095">
        <v>0</v>
      </c>
      <c r="Q1095">
        <v>0</v>
      </c>
      <c r="T1095">
        <v>0</v>
      </c>
      <c r="U1095">
        <v>0</v>
      </c>
      <c r="V1095">
        <v>0</v>
      </c>
      <c r="W1095" s="1">
        <v>44160</v>
      </c>
      <c r="AA1095" t="s">
        <v>40</v>
      </c>
      <c r="AB1095" t="s">
        <v>40</v>
      </c>
      <c r="AC1095" t="s">
        <v>40</v>
      </c>
      <c r="AE1095" t="s">
        <v>40</v>
      </c>
      <c r="AI1095" t="s">
        <v>40</v>
      </c>
      <c r="AJ1095" t="s">
        <v>40</v>
      </c>
    </row>
    <row r="1096" spans="1:37" x14ac:dyDescent="0.3">
      <c r="A1096">
        <v>2019</v>
      </c>
      <c r="B1096">
        <v>10</v>
      </c>
      <c r="C1096" t="str">
        <f t="shared" si="34"/>
        <v>10/01/2019</v>
      </c>
      <c r="D1096" s="1" t="str">
        <f t="shared" si="35"/>
        <v>10/01/2019</v>
      </c>
      <c r="E1096" t="s">
        <v>37</v>
      </c>
      <c r="F1096" t="s">
        <v>50</v>
      </c>
      <c r="G1096" t="s">
        <v>44</v>
      </c>
      <c r="H1096">
        <v>79</v>
      </c>
      <c r="I1096">
        <v>65</v>
      </c>
      <c r="M1096">
        <v>0</v>
      </c>
      <c r="N1096">
        <v>0</v>
      </c>
      <c r="S1096">
        <v>12</v>
      </c>
      <c r="U1096">
        <v>0</v>
      </c>
      <c r="V1096">
        <v>0</v>
      </c>
      <c r="W1096" s="1">
        <v>44160</v>
      </c>
      <c r="AA1096" t="s">
        <v>40</v>
      </c>
      <c r="AB1096" t="s">
        <v>40</v>
      </c>
      <c r="AC1096" t="s">
        <v>40</v>
      </c>
      <c r="AF1096" t="s">
        <v>40</v>
      </c>
      <c r="AG1096" t="s">
        <v>40</v>
      </c>
      <c r="AH1096" t="s">
        <v>40</v>
      </c>
      <c r="AI1096" t="s">
        <v>40</v>
      </c>
      <c r="AK1096" t="s">
        <v>40</v>
      </c>
    </row>
    <row r="1097" spans="1:37" x14ac:dyDescent="0.3">
      <c r="A1097">
        <v>2019</v>
      </c>
      <c r="B1097">
        <v>10</v>
      </c>
      <c r="C1097" t="str">
        <f t="shared" si="34"/>
        <v>10/01/2019</v>
      </c>
      <c r="D1097" s="1" t="str">
        <f t="shared" si="35"/>
        <v>10/01/2019</v>
      </c>
      <c r="E1097" t="s">
        <v>37</v>
      </c>
      <c r="F1097" t="s">
        <v>50</v>
      </c>
      <c r="G1097" t="s">
        <v>45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 s="1">
        <v>44160</v>
      </c>
      <c r="Y1097" t="s">
        <v>40</v>
      </c>
      <c r="Z1097" t="s">
        <v>40</v>
      </c>
    </row>
    <row r="1098" spans="1:37" x14ac:dyDescent="0.3">
      <c r="A1098">
        <v>2019</v>
      </c>
      <c r="B1098">
        <v>10</v>
      </c>
      <c r="C1098" t="str">
        <f t="shared" si="34"/>
        <v>10/01/2019</v>
      </c>
      <c r="D1098" s="1" t="str">
        <f t="shared" si="35"/>
        <v>10/01/2019</v>
      </c>
      <c r="E1098" t="s">
        <v>37</v>
      </c>
      <c r="F1098" t="s">
        <v>50</v>
      </c>
      <c r="G1098" t="s">
        <v>46</v>
      </c>
      <c r="H1098">
        <v>107</v>
      </c>
      <c r="I1098">
        <v>99</v>
      </c>
      <c r="K1098">
        <v>28</v>
      </c>
      <c r="M1098">
        <v>0</v>
      </c>
      <c r="P1098">
        <v>0</v>
      </c>
      <c r="Q1098">
        <v>0</v>
      </c>
      <c r="R1098">
        <v>0</v>
      </c>
      <c r="S1098">
        <v>13</v>
      </c>
      <c r="U1098">
        <v>0</v>
      </c>
      <c r="V1098">
        <v>0</v>
      </c>
      <c r="W1098" s="1">
        <v>44160</v>
      </c>
      <c r="AA1098" t="s">
        <v>40</v>
      </c>
      <c r="AC1098" t="s">
        <v>40</v>
      </c>
      <c r="AE1098" t="s">
        <v>40</v>
      </c>
      <c r="AF1098" t="s">
        <v>40</v>
      </c>
      <c r="AK1098" t="s">
        <v>40</v>
      </c>
    </row>
    <row r="1099" spans="1:37" x14ac:dyDescent="0.3">
      <c r="A1099">
        <v>2019</v>
      </c>
      <c r="B1099">
        <v>10</v>
      </c>
      <c r="C1099" t="str">
        <f t="shared" si="34"/>
        <v>10/01/2019</v>
      </c>
      <c r="D1099" s="1" t="str">
        <f t="shared" si="35"/>
        <v>10/01/2019</v>
      </c>
      <c r="E1099" t="s">
        <v>37</v>
      </c>
      <c r="F1099" t="s">
        <v>50</v>
      </c>
      <c r="G1099" t="s">
        <v>47</v>
      </c>
      <c r="H1099">
        <v>150</v>
      </c>
      <c r="I1099">
        <v>147</v>
      </c>
      <c r="K1099">
        <v>37</v>
      </c>
      <c r="O1099">
        <v>10</v>
      </c>
      <c r="S1099">
        <v>28</v>
      </c>
      <c r="U1099">
        <v>0</v>
      </c>
      <c r="V1099">
        <v>0</v>
      </c>
      <c r="W1099" s="1">
        <v>44160</v>
      </c>
      <c r="AA1099" t="s">
        <v>40</v>
      </c>
      <c r="AC1099" t="s">
        <v>40</v>
      </c>
      <c r="AD1099" t="s">
        <v>40</v>
      </c>
      <c r="AE1099" t="s">
        <v>40</v>
      </c>
      <c r="AG1099" t="s">
        <v>40</v>
      </c>
      <c r="AH1099" t="s">
        <v>40</v>
      </c>
      <c r="AI1099" t="s">
        <v>40</v>
      </c>
      <c r="AK1099" t="s">
        <v>40</v>
      </c>
    </row>
    <row r="1100" spans="1:37" x14ac:dyDescent="0.3">
      <c r="A1100">
        <v>2019</v>
      </c>
      <c r="B1100">
        <v>10</v>
      </c>
      <c r="C1100" t="str">
        <f t="shared" si="34"/>
        <v>10/01/2019</v>
      </c>
      <c r="D1100" s="1" t="str">
        <f t="shared" si="35"/>
        <v>10/01/2019</v>
      </c>
      <c r="E1100" t="s">
        <v>37</v>
      </c>
      <c r="F1100" t="s">
        <v>50</v>
      </c>
      <c r="G1100" t="s">
        <v>48</v>
      </c>
      <c r="H1100">
        <v>139</v>
      </c>
      <c r="I1100">
        <v>137</v>
      </c>
      <c r="K1100">
        <v>39</v>
      </c>
      <c r="S1100">
        <v>20</v>
      </c>
      <c r="T1100">
        <v>11</v>
      </c>
      <c r="U1100">
        <v>0</v>
      </c>
      <c r="V1100">
        <v>0</v>
      </c>
      <c r="W1100" s="1">
        <v>44160</v>
      </c>
      <c r="AA1100" t="s">
        <v>40</v>
      </c>
      <c r="AC1100" t="s">
        <v>40</v>
      </c>
      <c r="AD1100" t="s">
        <v>40</v>
      </c>
      <c r="AE1100" t="s">
        <v>40</v>
      </c>
      <c r="AF1100" t="s">
        <v>40</v>
      </c>
      <c r="AG1100" t="s">
        <v>40</v>
      </c>
      <c r="AH1100" t="s">
        <v>40</v>
      </c>
      <c r="AI1100" t="s">
        <v>40</v>
      </c>
    </row>
    <row r="1101" spans="1:37" x14ac:dyDescent="0.3">
      <c r="A1101">
        <v>2019</v>
      </c>
      <c r="B1101">
        <v>10</v>
      </c>
      <c r="C1101" t="str">
        <f t="shared" si="34"/>
        <v>10/01/2019</v>
      </c>
      <c r="D1101" s="1" t="str">
        <f t="shared" si="35"/>
        <v>10/01/2019</v>
      </c>
      <c r="E1101" t="s">
        <v>37</v>
      </c>
      <c r="F1101" t="s">
        <v>50</v>
      </c>
      <c r="G1101" t="s">
        <v>49</v>
      </c>
      <c r="H1101">
        <v>126</v>
      </c>
      <c r="I1101">
        <v>121</v>
      </c>
      <c r="K1101">
        <v>15</v>
      </c>
      <c r="M1101">
        <v>10</v>
      </c>
      <c r="S1101">
        <v>30</v>
      </c>
      <c r="T1101">
        <v>11</v>
      </c>
      <c r="U1101">
        <v>0</v>
      </c>
      <c r="V1101">
        <v>0</v>
      </c>
      <c r="W1101" s="1">
        <v>44160</v>
      </c>
      <c r="AA1101" t="s">
        <v>40</v>
      </c>
      <c r="AC1101" t="s">
        <v>40</v>
      </c>
      <c r="AE1101" t="s">
        <v>40</v>
      </c>
      <c r="AF1101" t="s">
        <v>40</v>
      </c>
      <c r="AG1101" t="s">
        <v>40</v>
      </c>
      <c r="AH1101" t="s">
        <v>40</v>
      </c>
      <c r="AI1101" t="s">
        <v>40</v>
      </c>
    </row>
    <row r="1102" spans="1:37" x14ac:dyDescent="0.3">
      <c r="A1102">
        <v>2019</v>
      </c>
      <c r="B1102">
        <v>10</v>
      </c>
      <c r="C1102" t="str">
        <f t="shared" si="34"/>
        <v>10/01/2019</v>
      </c>
      <c r="D1102" s="1" t="str">
        <f t="shared" si="35"/>
        <v>10/01/2019</v>
      </c>
      <c r="E1102" t="s">
        <v>37</v>
      </c>
      <c r="F1102" t="s">
        <v>51</v>
      </c>
      <c r="G1102" t="s">
        <v>39</v>
      </c>
      <c r="H1102">
        <v>23</v>
      </c>
      <c r="I1102">
        <v>22</v>
      </c>
      <c r="J1102">
        <v>0</v>
      </c>
      <c r="K1102">
        <v>0</v>
      </c>
      <c r="L1102">
        <v>0</v>
      </c>
      <c r="M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 s="1">
        <v>44160</v>
      </c>
      <c r="AE1102" t="s">
        <v>40</v>
      </c>
    </row>
    <row r="1103" spans="1:37" x14ac:dyDescent="0.3">
      <c r="A1103">
        <v>2019</v>
      </c>
      <c r="B1103">
        <v>10</v>
      </c>
      <c r="C1103" t="str">
        <f t="shared" si="34"/>
        <v>10/01/2019</v>
      </c>
      <c r="D1103" s="1" t="str">
        <f t="shared" si="35"/>
        <v>10/01/2019</v>
      </c>
      <c r="E1103" t="s">
        <v>37</v>
      </c>
      <c r="F1103" t="s">
        <v>51</v>
      </c>
      <c r="G1103" t="s">
        <v>41</v>
      </c>
      <c r="H1103">
        <v>17</v>
      </c>
      <c r="J1103">
        <v>0</v>
      </c>
      <c r="L1103">
        <v>0</v>
      </c>
      <c r="M1103">
        <v>0</v>
      </c>
      <c r="N1103">
        <v>0</v>
      </c>
      <c r="P1103">
        <v>0</v>
      </c>
      <c r="Q1103">
        <v>0</v>
      </c>
      <c r="S1103">
        <v>0</v>
      </c>
      <c r="T1103">
        <v>0</v>
      </c>
      <c r="U1103">
        <v>0</v>
      </c>
      <c r="V1103">
        <v>0</v>
      </c>
      <c r="W1103" s="1">
        <v>44160</v>
      </c>
      <c r="Z1103" t="s">
        <v>40</v>
      </c>
      <c r="AB1103" t="s">
        <v>40</v>
      </c>
      <c r="AF1103" t="s">
        <v>40</v>
      </c>
      <c r="AI1103" t="s">
        <v>40</v>
      </c>
    </row>
    <row r="1104" spans="1:37" x14ac:dyDescent="0.3">
      <c r="A1104">
        <v>2019</v>
      </c>
      <c r="B1104">
        <v>10</v>
      </c>
      <c r="C1104" t="str">
        <f t="shared" si="34"/>
        <v>10/01/2019</v>
      </c>
      <c r="D1104" s="1" t="str">
        <f t="shared" si="35"/>
        <v>10/01/2019</v>
      </c>
      <c r="E1104" t="s">
        <v>37</v>
      </c>
      <c r="F1104" t="s">
        <v>51</v>
      </c>
      <c r="G1104" t="s">
        <v>42</v>
      </c>
      <c r="H1104">
        <v>33</v>
      </c>
      <c r="I1104">
        <v>23</v>
      </c>
      <c r="J1104">
        <v>0</v>
      </c>
      <c r="M1104">
        <v>0</v>
      </c>
      <c r="N1104">
        <v>0</v>
      </c>
      <c r="O1104">
        <v>0</v>
      </c>
      <c r="Q1104">
        <v>0</v>
      </c>
      <c r="U1104">
        <v>0</v>
      </c>
      <c r="V1104">
        <v>0</v>
      </c>
      <c r="W1104" s="1">
        <v>44160</v>
      </c>
      <c r="AB1104" t="s">
        <v>40</v>
      </c>
      <c r="AC1104" t="s">
        <v>40</v>
      </c>
      <c r="AG1104" t="s">
        <v>40</v>
      </c>
      <c r="AI1104" t="s">
        <v>40</v>
      </c>
      <c r="AJ1104" t="s">
        <v>40</v>
      </c>
      <c r="AK1104" t="s">
        <v>40</v>
      </c>
    </row>
    <row r="1105" spans="1:37" x14ac:dyDescent="0.3">
      <c r="A1105">
        <v>2019</v>
      </c>
      <c r="B1105">
        <v>10</v>
      </c>
      <c r="C1105" t="str">
        <f t="shared" si="34"/>
        <v>10/01/2019</v>
      </c>
      <c r="D1105" s="1" t="str">
        <f t="shared" si="35"/>
        <v>10/01/2019</v>
      </c>
      <c r="E1105" t="s">
        <v>37</v>
      </c>
      <c r="F1105" t="s">
        <v>51</v>
      </c>
      <c r="G1105" t="s">
        <v>43</v>
      </c>
      <c r="H1105">
        <v>58</v>
      </c>
      <c r="I1105">
        <v>44</v>
      </c>
      <c r="K1105">
        <v>24</v>
      </c>
      <c r="M1105">
        <v>0</v>
      </c>
      <c r="O1105">
        <v>0</v>
      </c>
      <c r="P1105">
        <v>0</v>
      </c>
      <c r="Q1105">
        <v>0</v>
      </c>
      <c r="R1105">
        <v>0</v>
      </c>
      <c r="U1105">
        <v>0</v>
      </c>
      <c r="V1105">
        <v>0</v>
      </c>
      <c r="W1105" s="1">
        <v>44160</v>
      </c>
      <c r="AA1105" t="s">
        <v>40</v>
      </c>
      <c r="AC1105" t="s">
        <v>40</v>
      </c>
      <c r="AE1105" t="s">
        <v>40</v>
      </c>
      <c r="AJ1105" t="s">
        <v>40</v>
      </c>
      <c r="AK1105" t="s">
        <v>40</v>
      </c>
    </row>
    <row r="1106" spans="1:37" x14ac:dyDescent="0.3">
      <c r="A1106">
        <v>2019</v>
      </c>
      <c r="B1106">
        <v>10</v>
      </c>
      <c r="C1106" t="str">
        <f t="shared" si="34"/>
        <v>10/01/2019</v>
      </c>
      <c r="D1106" s="1" t="str">
        <f t="shared" si="35"/>
        <v>10/01/2019</v>
      </c>
      <c r="E1106" t="s">
        <v>37</v>
      </c>
      <c r="F1106" t="s">
        <v>51</v>
      </c>
      <c r="G1106" t="s">
        <v>44</v>
      </c>
      <c r="H1106">
        <v>129</v>
      </c>
      <c r="I1106">
        <v>115</v>
      </c>
      <c r="K1106">
        <v>69</v>
      </c>
      <c r="M1106">
        <v>0</v>
      </c>
      <c r="O1106">
        <v>0</v>
      </c>
      <c r="P1106">
        <v>0</v>
      </c>
      <c r="T1106">
        <v>10</v>
      </c>
      <c r="U1106">
        <v>0</v>
      </c>
      <c r="V1106">
        <v>0</v>
      </c>
      <c r="W1106" s="1">
        <v>44160</v>
      </c>
      <c r="AA1106" t="s">
        <v>40</v>
      </c>
      <c r="AC1106" t="s">
        <v>40</v>
      </c>
      <c r="AE1106" t="s">
        <v>40</v>
      </c>
      <c r="AH1106" t="s">
        <v>40</v>
      </c>
      <c r="AI1106" t="s">
        <v>40</v>
      </c>
      <c r="AJ1106" t="s">
        <v>40</v>
      </c>
    </row>
    <row r="1107" spans="1:37" x14ac:dyDescent="0.3">
      <c r="A1107">
        <v>2019</v>
      </c>
      <c r="B1107">
        <v>10</v>
      </c>
      <c r="C1107" t="str">
        <f t="shared" si="34"/>
        <v>10/01/2019</v>
      </c>
      <c r="D1107" s="1" t="str">
        <f t="shared" si="35"/>
        <v>10/01/2019</v>
      </c>
      <c r="E1107" t="s">
        <v>37</v>
      </c>
      <c r="F1107" t="s">
        <v>51</v>
      </c>
      <c r="G1107" t="s">
        <v>45</v>
      </c>
      <c r="J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 s="1">
        <v>44160</v>
      </c>
      <c r="Y1107" t="s">
        <v>40</v>
      </c>
      <c r="Z1107" t="s">
        <v>40</v>
      </c>
      <c r="AB1107" t="s">
        <v>40</v>
      </c>
    </row>
    <row r="1108" spans="1:37" x14ac:dyDescent="0.3">
      <c r="A1108">
        <v>2019</v>
      </c>
      <c r="B1108">
        <v>10</v>
      </c>
      <c r="C1108" t="str">
        <f t="shared" si="34"/>
        <v>10/01/2019</v>
      </c>
      <c r="D1108" s="1" t="str">
        <f t="shared" si="35"/>
        <v>10/01/2019</v>
      </c>
      <c r="E1108" t="s">
        <v>37</v>
      </c>
      <c r="F1108" t="s">
        <v>51</v>
      </c>
      <c r="G1108" t="s">
        <v>46</v>
      </c>
      <c r="H1108">
        <v>261</v>
      </c>
      <c r="I1108">
        <v>250</v>
      </c>
      <c r="K1108">
        <v>135</v>
      </c>
      <c r="L1108">
        <v>12</v>
      </c>
      <c r="R1108">
        <v>0</v>
      </c>
      <c r="S1108">
        <v>33</v>
      </c>
      <c r="T1108">
        <v>21</v>
      </c>
      <c r="U1108">
        <v>0</v>
      </c>
      <c r="V1108">
        <v>0</v>
      </c>
      <c r="W1108" s="1">
        <v>44160</v>
      </c>
      <c r="AA1108" t="s">
        <v>40</v>
      </c>
      <c r="AD1108" t="s">
        <v>40</v>
      </c>
      <c r="AE1108" t="s">
        <v>40</v>
      </c>
      <c r="AF1108" t="s">
        <v>40</v>
      </c>
      <c r="AG1108" t="s">
        <v>40</v>
      </c>
      <c r="AH1108" t="s">
        <v>40</v>
      </c>
    </row>
    <row r="1109" spans="1:37" x14ac:dyDescent="0.3">
      <c r="A1109">
        <v>2019</v>
      </c>
      <c r="B1109">
        <v>10</v>
      </c>
      <c r="C1109" t="str">
        <f t="shared" si="34"/>
        <v>10/01/2019</v>
      </c>
      <c r="D1109" s="1" t="str">
        <f t="shared" si="35"/>
        <v>10/01/2019</v>
      </c>
      <c r="E1109" t="s">
        <v>37</v>
      </c>
      <c r="F1109" t="s">
        <v>51</v>
      </c>
      <c r="G1109" t="s">
        <v>47</v>
      </c>
      <c r="H1109">
        <v>473</v>
      </c>
      <c r="I1109">
        <v>454</v>
      </c>
      <c r="K1109">
        <v>197</v>
      </c>
      <c r="L1109">
        <v>17</v>
      </c>
      <c r="Q1109">
        <v>15</v>
      </c>
      <c r="S1109">
        <v>68</v>
      </c>
      <c r="T1109">
        <v>37</v>
      </c>
      <c r="U1109">
        <v>0</v>
      </c>
      <c r="V1109">
        <v>0</v>
      </c>
      <c r="W1109" s="1">
        <v>44160</v>
      </c>
      <c r="AA1109" t="s">
        <v>40</v>
      </c>
      <c r="AD1109" t="s">
        <v>40</v>
      </c>
      <c r="AE1109" t="s">
        <v>40</v>
      </c>
      <c r="AF1109" t="s">
        <v>40</v>
      </c>
      <c r="AG1109" t="s">
        <v>40</v>
      </c>
      <c r="AI1109" t="s">
        <v>40</v>
      </c>
    </row>
    <row r="1110" spans="1:37" x14ac:dyDescent="0.3">
      <c r="A1110">
        <v>2019</v>
      </c>
      <c r="B1110">
        <v>10</v>
      </c>
      <c r="C1110" t="str">
        <f t="shared" si="34"/>
        <v>10/01/2019</v>
      </c>
      <c r="D1110" s="1" t="str">
        <f t="shared" si="35"/>
        <v>10/01/2019</v>
      </c>
      <c r="E1110" t="s">
        <v>37</v>
      </c>
      <c r="F1110" t="s">
        <v>51</v>
      </c>
      <c r="G1110" t="s">
        <v>48</v>
      </c>
      <c r="H1110">
        <v>715</v>
      </c>
      <c r="I1110">
        <v>693</v>
      </c>
      <c r="J1110">
        <v>11</v>
      </c>
      <c r="K1110">
        <v>193</v>
      </c>
      <c r="L1110">
        <v>32</v>
      </c>
      <c r="M1110">
        <v>30</v>
      </c>
      <c r="N1110">
        <v>14</v>
      </c>
      <c r="O1110">
        <v>17</v>
      </c>
      <c r="P1110">
        <v>11</v>
      </c>
      <c r="Q1110">
        <v>23</v>
      </c>
      <c r="S1110">
        <v>148</v>
      </c>
      <c r="T1110">
        <v>56</v>
      </c>
      <c r="U1110">
        <v>0</v>
      </c>
      <c r="V1110">
        <v>0</v>
      </c>
      <c r="W1110" s="1">
        <v>44160</v>
      </c>
      <c r="AI1110" t="s">
        <v>40</v>
      </c>
    </row>
    <row r="1111" spans="1:37" x14ac:dyDescent="0.3">
      <c r="A1111">
        <v>2019</v>
      </c>
      <c r="B1111">
        <v>10</v>
      </c>
      <c r="C1111" t="str">
        <f t="shared" si="34"/>
        <v>10/01/2019</v>
      </c>
      <c r="D1111" s="1" t="str">
        <f t="shared" si="35"/>
        <v>10/01/2019</v>
      </c>
      <c r="E1111" t="s">
        <v>37</v>
      </c>
      <c r="F1111" t="s">
        <v>51</v>
      </c>
      <c r="G1111" t="s">
        <v>49</v>
      </c>
      <c r="H1111" s="2">
        <v>1188</v>
      </c>
      <c r="I1111" s="2">
        <v>1164</v>
      </c>
      <c r="J1111">
        <v>10</v>
      </c>
      <c r="K1111">
        <v>132</v>
      </c>
      <c r="L1111">
        <v>41</v>
      </c>
      <c r="M1111">
        <v>139</v>
      </c>
      <c r="N1111">
        <v>27</v>
      </c>
      <c r="O1111">
        <v>28</v>
      </c>
      <c r="Q1111">
        <v>32</v>
      </c>
      <c r="R1111">
        <v>15</v>
      </c>
      <c r="S1111">
        <v>302</v>
      </c>
      <c r="T1111">
        <v>114</v>
      </c>
      <c r="U1111">
        <v>0</v>
      </c>
      <c r="V1111">
        <v>0</v>
      </c>
      <c r="W1111" s="1">
        <v>44160</v>
      </c>
      <c r="AG1111" t="s">
        <v>40</v>
      </c>
    </row>
    <row r="1112" spans="1:37" x14ac:dyDescent="0.3">
      <c r="A1112">
        <v>2019</v>
      </c>
      <c r="B1112">
        <v>10</v>
      </c>
      <c r="C1112" t="str">
        <f t="shared" si="34"/>
        <v>10/01/2019</v>
      </c>
      <c r="D1112" s="1" t="str">
        <f t="shared" si="35"/>
        <v>10/01/2019</v>
      </c>
      <c r="E1112" t="s">
        <v>37</v>
      </c>
      <c r="F1112" t="s">
        <v>52</v>
      </c>
      <c r="G1112" t="s">
        <v>39</v>
      </c>
      <c r="H1112">
        <v>270</v>
      </c>
      <c r="I1112">
        <v>245</v>
      </c>
      <c r="L1112">
        <v>0</v>
      </c>
      <c r="M1112">
        <v>0</v>
      </c>
      <c r="O1112">
        <v>0</v>
      </c>
      <c r="R1112">
        <v>28</v>
      </c>
      <c r="U1112">
        <v>0</v>
      </c>
      <c r="V1112">
        <v>0</v>
      </c>
      <c r="W1112" s="1">
        <v>44160</v>
      </c>
      <c r="AA1112" t="s">
        <v>40</v>
      </c>
      <c r="AB1112" t="s">
        <v>40</v>
      </c>
      <c r="AE1112" t="s">
        <v>40</v>
      </c>
      <c r="AG1112" t="s">
        <v>40</v>
      </c>
      <c r="AH1112" t="s">
        <v>40</v>
      </c>
      <c r="AJ1112" t="s">
        <v>40</v>
      </c>
      <c r="AK1112" t="s">
        <v>40</v>
      </c>
    </row>
    <row r="1113" spans="1:37" x14ac:dyDescent="0.3">
      <c r="A1113">
        <v>2019</v>
      </c>
      <c r="B1113">
        <v>10</v>
      </c>
      <c r="C1113" t="str">
        <f t="shared" si="34"/>
        <v>10/01/2019</v>
      </c>
      <c r="D1113" s="1" t="str">
        <f t="shared" si="35"/>
        <v>10/01/2019</v>
      </c>
      <c r="E1113" t="s">
        <v>37</v>
      </c>
      <c r="F1113" t="s">
        <v>52</v>
      </c>
      <c r="G1113" t="s">
        <v>41</v>
      </c>
      <c r="H1113">
        <v>143</v>
      </c>
      <c r="I1113">
        <v>61</v>
      </c>
      <c r="J1113">
        <v>0</v>
      </c>
      <c r="K1113">
        <v>10</v>
      </c>
      <c r="M1113">
        <v>0</v>
      </c>
      <c r="Q1113">
        <v>0</v>
      </c>
      <c r="S1113">
        <v>10</v>
      </c>
      <c r="U1113">
        <v>0</v>
      </c>
      <c r="V1113">
        <v>0</v>
      </c>
      <c r="W1113" s="1">
        <v>44160</v>
      </c>
      <c r="AC1113" t="s">
        <v>40</v>
      </c>
      <c r="AE1113" t="s">
        <v>40</v>
      </c>
      <c r="AF1113" t="s">
        <v>40</v>
      </c>
      <c r="AG1113" t="s">
        <v>40</v>
      </c>
      <c r="AI1113" t="s">
        <v>40</v>
      </c>
      <c r="AK1113" t="s">
        <v>40</v>
      </c>
    </row>
    <row r="1114" spans="1:37" x14ac:dyDescent="0.3">
      <c r="A1114">
        <v>2019</v>
      </c>
      <c r="B1114">
        <v>10</v>
      </c>
      <c r="C1114" t="str">
        <f t="shared" si="34"/>
        <v>10/01/2019</v>
      </c>
      <c r="D1114" s="1" t="str">
        <f t="shared" si="35"/>
        <v>10/01/2019</v>
      </c>
      <c r="E1114" t="s">
        <v>37</v>
      </c>
      <c r="F1114" t="s">
        <v>52</v>
      </c>
      <c r="G1114" t="s">
        <v>42</v>
      </c>
      <c r="H1114">
        <v>323</v>
      </c>
      <c r="I1114">
        <v>194</v>
      </c>
      <c r="K1114">
        <v>28</v>
      </c>
      <c r="L1114">
        <v>13</v>
      </c>
      <c r="M1114">
        <v>0</v>
      </c>
      <c r="O1114">
        <v>10</v>
      </c>
      <c r="S1114">
        <v>36</v>
      </c>
      <c r="U1114">
        <v>0</v>
      </c>
      <c r="V1114">
        <v>0</v>
      </c>
      <c r="W1114" s="1">
        <v>44160</v>
      </c>
      <c r="AA1114" t="s">
        <v>40</v>
      </c>
      <c r="AE1114" t="s">
        <v>40</v>
      </c>
      <c r="AG1114" t="s">
        <v>40</v>
      </c>
      <c r="AH1114" t="s">
        <v>40</v>
      </c>
      <c r="AI1114" t="s">
        <v>40</v>
      </c>
      <c r="AK1114" t="s">
        <v>40</v>
      </c>
    </row>
    <row r="1115" spans="1:37" x14ac:dyDescent="0.3">
      <c r="A1115">
        <v>2019</v>
      </c>
      <c r="B1115">
        <v>10</v>
      </c>
      <c r="C1115" t="str">
        <f t="shared" si="34"/>
        <v>10/01/2019</v>
      </c>
      <c r="D1115" s="1" t="str">
        <f t="shared" si="35"/>
        <v>10/01/2019</v>
      </c>
      <c r="E1115" t="s">
        <v>37</v>
      </c>
      <c r="F1115" t="s">
        <v>52</v>
      </c>
      <c r="G1115" t="s">
        <v>43</v>
      </c>
      <c r="H1115">
        <v>526</v>
      </c>
      <c r="I1115">
        <v>402</v>
      </c>
      <c r="K1115">
        <v>92</v>
      </c>
      <c r="L1115">
        <v>20</v>
      </c>
      <c r="M1115">
        <v>0</v>
      </c>
      <c r="Q1115">
        <v>16</v>
      </c>
      <c r="R1115">
        <v>11</v>
      </c>
      <c r="S1115">
        <v>95</v>
      </c>
      <c r="T1115">
        <v>16</v>
      </c>
      <c r="U1115">
        <v>0</v>
      </c>
      <c r="V1115">
        <v>0</v>
      </c>
      <c r="W1115" s="1">
        <v>44160</v>
      </c>
      <c r="AA1115" t="s">
        <v>40</v>
      </c>
      <c r="AE1115" t="s">
        <v>40</v>
      </c>
      <c r="AF1115" t="s">
        <v>40</v>
      </c>
      <c r="AG1115" t="s">
        <v>40</v>
      </c>
    </row>
    <row r="1116" spans="1:37" x14ac:dyDescent="0.3">
      <c r="A1116">
        <v>2019</v>
      </c>
      <c r="B1116">
        <v>10</v>
      </c>
      <c r="C1116" t="str">
        <f t="shared" si="34"/>
        <v>10/01/2019</v>
      </c>
      <c r="D1116" s="1" t="str">
        <f t="shared" si="35"/>
        <v>10/01/2019</v>
      </c>
      <c r="E1116" t="s">
        <v>37</v>
      </c>
      <c r="F1116" t="s">
        <v>52</v>
      </c>
      <c r="G1116" t="s">
        <v>44</v>
      </c>
      <c r="H1116" s="2">
        <v>1000</v>
      </c>
      <c r="I1116">
        <v>883</v>
      </c>
      <c r="J1116">
        <v>21</v>
      </c>
      <c r="K1116">
        <v>244</v>
      </c>
      <c r="L1116">
        <v>52</v>
      </c>
      <c r="M1116">
        <v>0</v>
      </c>
      <c r="O1116">
        <v>27</v>
      </c>
      <c r="P1116">
        <v>18</v>
      </c>
      <c r="Q1116">
        <v>31</v>
      </c>
      <c r="R1116">
        <v>14</v>
      </c>
      <c r="S1116">
        <v>187</v>
      </c>
      <c r="T1116">
        <v>58</v>
      </c>
      <c r="U1116">
        <v>0</v>
      </c>
      <c r="V1116">
        <v>0</v>
      </c>
      <c r="W1116" s="1">
        <v>44160</v>
      </c>
      <c r="AE1116" t="s">
        <v>40</v>
      </c>
    </row>
    <row r="1117" spans="1:37" x14ac:dyDescent="0.3">
      <c r="A1117">
        <v>2019</v>
      </c>
      <c r="B1117">
        <v>10</v>
      </c>
      <c r="C1117" t="str">
        <f t="shared" si="34"/>
        <v>10/01/2019</v>
      </c>
      <c r="D1117" s="1" t="str">
        <f t="shared" si="35"/>
        <v>10/01/2019</v>
      </c>
      <c r="E1117" t="s">
        <v>37</v>
      </c>
      <c r="F1117" t="s">
        <v>52</v>
      </c>
      <c r="G1117" t="s">
        <v>45</v>
      </c>
      <c r="H1117">
        <v>34</v>
      </c>
      <c r="I1117">
        <v>26</v>
      </c>
      <c r="J1117">
        <v>0</v>
      </c>
      <c r="M1117">
        <v>0</v>
      </c>
      <c r="N1117">
        <v>0</v>
      </c>
      <c r="P1117">
        <v>0</v>
      </c>
      <c r="Q1117">
        <v>0</v>
      </c>
      <c r="U1117">
        <v>0</v>
      </c>
      <c r="V1117">
        <v>0</v>
      </c>
      <c r="W1117" s="1">
        <v>44160</v>
      </c>
      <c r="AB1117" t="s">
        <v>40</v>
      </c>
      <c r="AC1117" t="s">
        <v>40</v>
      </c>
      <c r="AF1117" t="s">
        <v>40</v>
      </c>
      <c r="AI1117" t="s">
        <v>40</v>
      </c>
      <c r="AJ1117" t="s">
        <v>40</v>
      </c>
      <c r="AK1117" t="s">
        <v>40</v>
      </c>
    </row>
    <row r="1118" spans="1:37" x14ac:dyDescent="0.3">
      <c r="A1118">
        <v>2019</v>
      </c>
      <c r="B1118">
        <v>10</v>
      </c>
      <c r="C1118" t="str">
        <f t="shared" si="34"/>
        <v>10/01/2019</v>
      </c>
      <c r="D1118" s="1" t="str">
        <f t="shared" si="35"/>
        <v>10/01/2019</v>
      </c>
      <c r="E1118" t="s">
        <v>37</v>
      </c>
      <c r="F1118" t="s">
        <v>52</v>
      </c>
      <c r="G1118" t="s">
        <v>46</v>
      </c>
      <c r="H1118" s="2">
        <v>2247</v>
      </c>
      <c r="I1118" s="2">
        <v>2139</v>
      </c>
      <c r="J1118">
        <v>49</v>
      </c>
      <c r="K1118">
        <v>741</v>
      </c>
      <c r="L1118">
        <v>110</v>
      </c>
      <c r="N1118">
        <v>25</v>
      </c>
      <c r="O1118">
        <v>80</v>
      </c>
      <c r="P1118">
        <v>30</v>
      </c>
      <c r="Q1118">
        <v>60</v>
      </c>
      <c r="R1118">
        <v>22</v>
      </c>
      <c r="S1118">
        <v>486</v>
      </c>
      <c r="T1118">
        <v>124</v>
      </c>
      <c r="U1118">
        <v>0</v>
      </c>
      <c r="V1118">
        <v>0</v>
      </c>
      <c r="W1118" s="1">
        <v>44160</v>
      </c>
      <c r="AD1118" t="s">
        <v>40</v>
      </c>
    </row>
    <row r="1119" spans="1:37" x14ac:dyDescent="0.3">
      <c r="A1119">
        <v>2019</v>
      </c>
      <c r="B1119">
        <v>10</v>
      </c>
      <c r="C1119" t="str">
        <f t="shared" si="34"/>
        <v>10/01/2019</v>
      </c>
      <c r="D1119" s="1" t="str">
        <f t="shared" si="35"/>
        <v>10/01/2019</v>
      </c>
      <c r="E1119" t="s">
        <v>37</v>
      </c>
      <c r="F1119" t="s">
        <v>52</v>
      </c>
      <c r="G1119" t="s">
        <v>47</v>
      </c>
      <c r="H1119" s="2">
        <v>2982</v>
      </c>
      <c r="I1119" s="2">
        <v>2919</v>
      </c>
      <c r="J1119">
        <v>64</v>
      </c>
      <c r="K1119">
        <v>938</v>
      </c>
      <c r="L1119">
        <v>170</v>
      </c>
      <c r="M1119">
        <v>52</v>
      </c>
      <c r="N1119">
        <v>43</v>
      </c>
      <c r="O1119">
        <v>131</v>
      </c>
      <c r="P1119">
        <v>49</v>
      </c>
      <c r="Q1119">
        <v>97</v>
      </c>
      <c r="R1119">
        <v>20</v>
      </c>
      <c r="S1119">
        <v>678</v>
      </c>
      <c r="T1119">
        <v>160</v>
      </c>
      <c r="U1119">
        <v>0</v>
      </c>
      <c r="V1119">
        <v>0</v>
      </c>
      <c r="W1119" s="1">
        <v>44160</v>
      </c>
    </row>
    <row r="1120" spans="1:37" x14ac:dyDescent="0.3">
      <c r="A1120">
        <v>2019</v>
      </c>
      <c r="B1120">
        <v>10</v>
      </c>
      <c r="C1120" t="str">
        <f t="shared" si="34"/>
        <v>10/01/2019</v>
      </c>
      <c r="D1120" s="1" t="str">
        <f t="shared" si="35"/>
        <v>10/01/2019</v>
      </c>
      <c r="E1120" t="s">
        <v>37</v>
      </c>
      <c r="F1120" t="s">
        <v>52</v>
      </c>
      <c r="G1120" t="s">
        <v>48</v>
      </c>
      <c r="H1120" s="2">
        <v>2991</v>
      </c>
      <c r="I1120" s="2">
        <v>2925</v>
      </c>
      <c r="J1120">
        <v>73</v>
      </c>
      <c r="K1120">
        <v>640</v>
      </c>
      <c r="L1120">
        <v>152</v>
      </c>
      <c r="M1120">
        <v>154</v>
      </c>
      <c r="N1120">
        <v>37</v>
      </c>
      <c r="O1120">
        <v>116</v>
      </c>
      <c r="P1120">
        <v>37</v>
      </c>
      <c r="Q1120">
        <v>117</v>
      </c>
      <c r="R1120">
        <v>32</v>
      </c>
      <c r="S1120">
        <v>710</v>
      </c>
      <c r="T1120">
        <v>248</v>
      </c>
      <c r="U1120">
        <v>0</v>
      </c>
      <c r="V1120">
        <v>0</v>
      </c>
      <c r="W1120" s="1">
        <v>44160</v>
      </c>
    </row>
    <row r="1121" spans="1:37" x14ac:dyDescent="0.3">
      <c r="A1121">
        <v>2019</v>
      </c>
      <c r="B1121">
        <v>10</v>
      </c>
      <c r="C1121" t="str">
        <f t="shared" si="34"/>
        <v>10/01/2019</v>
      </c>
      <c r="D1121" s="1" t="str">
        <f t="shared" si="35"/>
        <v>10/01/2019</v>
      </c>
      <c r="E1121" t="s">
        <v>37</v>
      </c>
      <c r="F1121" t="s">
        <v>52</v>
      </c>
      <c r="G1121" t="s">
        <v>49</v>
      </c>
      <c r="H1121" s="2">
        <v>3416</v>
      </c>
      <c r="I1121" s="2">
        <v>3361</v>
      </c>
      <c r="J1121">
        <v>45</v>
      </c>
      <c r="K1121">
        <v>395</v>
      </c>
      <c r="L1121">
        <v>116</v>
      </c>
      <c r="M1121">
        <v>321</v>
      </c>
      <c r="N1121">
        <v>64</v>
      </c>
      <c r="O1121">
        <v>87</v>
      </c>
      <c r="P1121">
        <v>25</v>
      </c>
      <c r="Q1121">
        <v>95</v>
      </c>
      <c r="R1121">
        <v>43</v>
      </c>
      <c r="S1121">
        <v>925</v>
      </c>
      <c r="T1121">
        <v>321</v>
      </c>
      <c r="U1121">
        <v>0</v>
      </c>
      <c r="V1121">
        <v>0</v>
      </c>
      <c r="W1121" s="1">
        <v>44160</v>
      </c>
    </row>
    <row r="1122" spans="1:37" x14ac:dyDescent="0.3">
      <c r="A1122">
        <v>2019</v>
      </c>
      <c r="B1122">
        <v>10</v>
      </c>
      <c r="C1122" t="str">
        <f t="shared" si="34"/>
        <v>10/01/2019</v>
      </c>
      <c r="D1122" s="1" t="str">
        <f t="shared" si="35"/>
        <v>10/01/2019</v>
      </c>
      <c r="E1122" t="s">
        <v>37</v>
      </c>
      <c r="F1122" t="s">
        <v>53</v>
      </c>
      <c r="G1122" t="s">
        <v>39</v>
      </c>
      <c r="H1122">
        <v>353</v>
      </c>
      <c r="I1122">
        <v>314</v>
      </c>
      <c r="L1122">
        <v>0</v>
      </c>
      <c r="M1122">
        <v>0</v>
      </c>
      <c r="R1122">
        <v>36</v>
      </c>
      <c r="T1122">
        <v>0</v>
      </c>
      <c r="U1122">
        <v>0</v>
      </c>
      <c r="V1122">
        <v>0</v>
      </c>
      <c r="W1122" s="1">
        <v>44160</v>
      </c>
      <c r="AA1122" t="s">
        <v>40</v>
      </c>
      <c r="AB1122" t="s">
        <v>40</v>
      </c>
      <c r="AE1122" t="s">
        <v>40</v>
      </c>
      <c r="AF1122" t="s">
        <v>40</v>
      </c>
      <c r="AG1122" t="s">
        <v>40</v>
      </c>
      <c r="AH1122" t="s">
        <v>40</v>
      </c>
      <c r="AJ1122" t="s">
        <v>40</v>
      </c>
    </row>
    <row r="1123" spans="1:37" x14ac:dyDescent="0.3">
      <c r="A1123">
        <v>2019</v>
      </c>
      <c r="B1123">
        <v>10</v>
      </c>
      <c r="C1123" t="str">
        <f t="shared" si="34"/>
        <v>10/01/2019</v>
      </c>
      <c r="D1123" s="1" t="str">
        <f t="shared" si="35"/>
        <v>10/01/2019</v>
      </c>
      <c r="E1123" t="s">
        <v>37</v>
      </c>
      <c r="F1123" t="s">
        <v>53</v>
      </c>
      <c r="G1123" t="s">
        <v>41</v>
      </c>
      <c r="H1123">
        <v>405</v>
      </c>
      <c r="I1123">
        <v>116</v>
      </c>
      <c r="K1123">
        <v>22</v>
      </c>
      <c r="M1123">
        <v>0</v>
      </c>
      <c r="N1123">
        <v>0</v>
      </c>
      <c r="O1123">
        <v>0</v>
      </c>
      <c r="Q1123">
        <v>0</v>
      </c>
      <c r="R1123">
        <v>12</v>
      </c>
      <c r="S1123">
        <v>15</v>
      </c>
      <c r="U1123">
        <v>0</v>
      </c>
      <c r="V1123">
        <v>0</v>
      </c>
      <c r="W1123" s="1">
        <v>44160</v>
      </c>
      <c r="AA1123" t="s">
        <v>40</v>
      </c>
      <c r="AC1123" t="s">
        <v>40</v>
      </c>
      <c r="AG1123" t="s">
        <v>40</v>
      </c>
      <c r="AK1123" t="s">
        <v>40</v>
      </c>
    </row>
    <row r="1124" spans="1:37" x14ac:dyDescent="0.3">
      <c r="A1124">
        <v>2019</v>
      </c>
      <c r="B1124">
        <v>10</v>
      </c>
      <c r="C1124" t="str">
        <f t="shared" si="34"/>
        <v>10/01/2019</v>
      </c>
      <c r="D1124" s="1" t="str">
        <f t="shared" si="35"/>
        <v>10/01/2019</v>
      </c>
      <c r="E1124" t="s">
        <v>37</v>
      </c>
      <c r="F1124" t="s">
        <v>53</v>
      </c>
      <c r="G1124" t="s">
        <v>42</v>
      </c>
      <c r="H1124">
        <v>921</v>
      </c>
      <c r="I1124">
        <v>369</v>
      </c>
      <c r="K1124">
        <v>78</v>
      </c>
      <c r="L1124">
        <v>13</v>
      </c>
      <c r="M1124">
        <v>0</v>
      </c>
      <c r="O1124">
        <v>11</v>
      </c>
      <c r="R1124">
        <v>24</v>
      </c>
      <c r="S1124">
        <v>41</v>
      </c>
      <c r="T1124">
        <v>11</v>
      </c>
      <c r="U1124">
        <v>0</v>
      </c>
      <c r="V1124">
        <v>0</v>
      </c>
      <c r="W1124" s="1">
        <v>44160</v>
      </c>
      <c r="AA1124" t="s">
        <v>40</v>
      </c>
      <c r="AE1124" t="s">
        <v>40</v>
      </c>
      <c r="AG1124" t="s">
        <v>40</v>
      </c>
      <c r="AH1124" t="s">
        <v>40</v>
      </c>
    </row>
    <row r="1125" spans="1:37" x14ac:dyDescent="0.3">
      <c r="A1125">
        <v>2019</v>
      </c>
      <c r="B1125">
        <v>10</v>
      </c>
      <c r="C1125" t="str">
        <f t="shared" si="34"/>
        <v>10/01/2019</v>
      </c>
      <c r="D1125" s="1" t="str">
        <f t="shared" si="35"/>
        <v>10/01/2019</v>
      </c>
      <c r="E1125" t="s">
        <v>37</v>
      </c>
      <c r="F1125" t="s">
        <v>53</v>
      </c>
      <c r="G1125" t="s">
        <v>43</v>
      </c>
      <c r="H1125" s="2">
        <v>1587</v>
      </c>
      <c r="I1125">
        <v>990</v>
      </c>
      <c r="J1125">
        <v>13</v>
      </c>
      <c r="K1125">
        <v>312</v>
      </c>
      <c r="L1125">
        <v>44</v>
      </c>
      <c r="M1125">
        <v>0</v>
      </c>
      <c r="N1125">
        <v>21</v>
      </c>
      <c r="O1125">
        <v>18</v>
      </c>
      <c r="P1125">
        <v>11</v>
      </c>
      <c r="Q1125">
        <v>16</v>
      </c>
      <c r="R1125">
        <v>41</v>
      </c>
      <c r="S1125">
        <v>175</v>
      </c>
      <c r="T1125">
        <v>31</v>
      </c>
      <c r="U1125">
        <v>0</v>
      </c>
      <c r="V1125">
        <v>0</v>
      </c>
      <c r="W1125" s="1">
        <v>44160</v>
      </c>
    </row>
    <row r="1126" spans="1:37" x14ac:dyDescent="0.3">
      <c r="A1126">
        <v>2019</v>
      </c>
      <c r="B1126">
        <v>10</v>
      </c>
      <c r="C1126" t="str">
        <f t="shared" si="34"/>
        <v>10/01/2019</v>
      </c>
      <c r="D1126" s="1" t="str">
        <f t="shared" si="35"/>
        <v>10/01/2019</v>
      </c>
      <c r="E1126" t="s">
        <v>37</v>
      </c>
      <c r="F1126" t="s">
        <v>53</v>
      </c>
      <c r="G1126" t="s">
        <v>44</v>
      </c>
      <c r="H1126" s="2">
        <v>3221</v>
      </c>
      <c r="I1126" s="2">
        <v>2588</v>
      </c>
      <c r="J1126">
        <v>39</v>
      </c>
      <c r="K1126">
        <v>938</v>
      </c>
      <c r="L1126">
        <v>94</v>
      </c>
      <c r="N1126">
        <v>39</v>
      </c>
      <c r="O1126">
        <v>114</v>
      </c>
      <c r="P1126">
        <v>40</v>
      </c>
      <c r="Q1126">
        <v>32</v>
      </c>
      <c r="R1126">
        <v>48</v>
      </c>
      <c r="S1126">
        <v>450</v>
      </c>
      <c r="T1126">
        <v>93</v>
      </c>
      <c r="U1126">
        <v>0</v>
      </c>
      <c r="V1126">
        <v>0</v>
      </c>
      <c r="W1126" s="1">
        <v>44160</v>
      </c>
      <c r="AD1126" t="s">
        <v>40</v>
      </c>
    </row>
    <row r="1127" spans="1:37" x14ac:dyDescent="0.3">
      <c r="A1127">
        <v>2019</v>
      </c>
      <c r="B1127">
        <v>10</v>
      </c>
      <c r="C1127" t="str">
        <f t="shared" si="34"/>
        <v>10/01/2019</v>
      </c>
      <c r="D1127" s="1" t="str">
        <f t="shared" si="35"/>
        <v>10/01/2019</v>
      </c>
      <c r="E1127" t="s">
        <v>37</v>
      </c>
      <c r="F1127" t="s">
        <v>53</v>
      </c>
      <c r="G1127" t="s">
        <v>45</v>
      </c>
      <c r="H1127">
        <v>100</v>
      </c>
      <c r="I1127">
        <v>51</v>
      </c>
      <c r="K1127">
        <v>16</v>
      </c>
      <c r="L1127">
        <v>0</v>
      </c>
      <c r="M1127">
        <v>0</v>
      </c>
      <c r="Q1127">
        <v>0</v>
      </c>
      <c r="T1127">
        <v>0</v>
      </c>
      <c r="U1127">
        <v>0</v>
      </c>
      <c r="V1127">
        <v>0</v>
      </c>
      <c r="W1127" s="1">
        <v>44160</v>
      </c>
      <c r="AA1127" t="s">
        <v>40</v>
      </c>
      <c r="AE1127" t="s">
        <v>40</v>
      </c>
      <c r="AF1127" t="s">
        <v>40</v>
      </c>
      <c r="AG1127" t="s">
        <v>40</v>
      </c>
      <c r="AI1127" t="s">
        <v>40</v>
      </c>
      <c r="AJ1127" t="s">
        <v>40</v>
      </c>
    </row>
    <row r="1128" spans="1:37" x14ac:dyDescent="0.3">
      <c r="A1128">
        <v>2019</v>
      </c>
      <c r="B1128">
        <v>10</v>
      </c>
      <c r="C1128" t="str">
        <f t="shared" si="34"/>
        <v>10/01/2019</v>
      </c>
      <c r="D1128" s="1" t="str">
        <f t="shared" si="35"/>
        <v>10/01/2019</v>
      </c>
      <c r="E1128" t="s">
        <v>37</v>
      </c>
      <c r="F1128" t="s">
        <v>53</v>
      </c>
      <c r="G1128" t="s">
        <v>46</v>
      </c>
      <c r="H1128" s="2">
        <v>8446</v>
      </c>
      <c r="I1128" s="2">
        <v>7802</v>
      </c>
      <c r="J1128">
        <v>148</v>
      </c>
      <c r="K1128" s="2">
        <v>3030</v>
      </c>
      <c r="L1128">
        <v>281</v>
      </c>
      <c r="M1128">
        <v>48</v>
      </c>
      <c r="N1128">
        <v>85</v>
      </c>
      <c r="O1128">
        <v>619</v>
      </c>
      <c r="P1128">
        <v>132</v>
      </c>
      <c r="Q1128">
        <v>114</v>
      </c>
      <c r="R1128">
        <v>80</v>
      </c>
      <c r="S1128" s="2">
        <v>1294</v>
      </c>
      <c r="T1128">
        <v>283</v>
      </c>
      <c r="U1128">
        <v>0</v>
      </c>
      <c r="V1128">
        <v>0</v>
      </c>
      <c r="W1128" s="1">
        <v>44160</v>
      </c>
    </row>
    <row r="1129" spans="1:37" x14ac:dyDescent="0.3">
      <c r="A1129">
        <v>2019</v>
      </c>
      <c r="B1129">
        <v>10</v>
      </c>
      <c r="C1129" t="str">
        <f t="shared" si="34"/>
        <v>10/01/2019</v>
      </c>
      <c r="D1129" s="1" t="str">
        <f t="shared" si="35"/>
        <v>10/01/2019</v>
      </c>
      <c r="E1129" t="s">
        <v>37</v>
      </c>
      <c r="F1129" t="s">
        <v>53</v>
      </c>
      <c r="G1129" t="s">
        <v>47</v>
      </c>
      <c r="H1129" s="2">
        <v>14550</v>
      </c>
      <c r="I1129" s="2">
        <v>14026</v>
      </c>
      <c r="J1129">
        <v>254</v>
      </c>
      <c r="K1129" s="2">
        <v>5006</v>
      </c>
      <c r="L1129">
        <v>432</v>
      </c>
      <c r="M1129">
        <v>333</v>
      </c>
      <c r="N1129">
        <v>187</v>
      </c>
      <c r="O1129" s="2">
        <v>1238</v>
      </c>
      <c r="P1129">
        <v>267</v>
      </c>
      <c r="Q1129">
        <v>264</v>
      </c>
      <c r="R1129">
        <v>114</v>
      </c>
      <c r="S1129" s="2">
        <v>2581</v>
      </c>
      <c r="T1129">
        <v>610</v>
      </c>
      <c r="U1129">
        <v>0</v>
      </c>
      <c r="V1129">
        <v>0</v>
      </c>
      <c r="W1129" s="1">
        <v>44160</v>
      </c>
    </row>
    <row r="1130" spans="1:37" x14ac:dyDescent="0.3">
      <c r="A1130">
        <v>2019</v>
      </c>
      <c r="B1130">
        <v>10</v>
      </c>
      <c r="C1130" t="str">
        <f t="shared" si="34"/>
        <v>10/01/2019</v>
      </c>
      <c r="D1130" s="1" t="str">
        <f t="shared" si="35"/>
        <v>10/01/2019</v>
      </c>
      <c r="E1130" t="s">
        <v>37</v>
      </c>
      <c r="F1130" t="s">
        <v>53</v>
      </c>
      <c r="G1130" t="s">
        <v>48</v>
      </c>
      <c r="H1130" s="2">
        <v>22026</v>
      </c>
      <c r="I1130" s="2">
        <v>21360</v>
      </c>
      <c r="J1130">
        <v>322</v>
      </c>
      <c r="K1130" s="2">
        <v>5134</v>
      </c>
      <c r="L1130">
        <v>494</v>
      </c>
      <c r="M1130" s="2">
        <v>1511</v>
      </c>
      <c r="N1130">
        <v>280</v>
      </c>
      <c r="O1130" s="2">
        <v>1777</v>
      </c>
      <c r="P1130">
        <v>426</v>
      </c>
      <c r="Q1130">
        <v>382</v>
      </c>
      <c r="R1130">
        <v>208</v>
      </c>
      <c r="S1130" s="2">
        <v>4367</v>
      </c>
      <c r="T1130" s="2">
        <v>1407</v>
      </c>
      <c r="U1130">
        <v>0</v>
      </c>
      <c r="V1130">
        <v>0</v>
      </c>
      <c r="W1130" s="1">
        <v>44160</v>
      </c>
    </row>
    <row r="1131" spans="1:37" x14ac:dyDescent="0.3">
      <c r="A1131">
        <v>2019</v>
      </c>
      <c r="B1131">
        <v>10</v>
      </c>
      <c r="C1131" t="str">
        <f t="shared" si="34"/>
        <v>10/01/2019</v>
      </c>
      <c r="D1131" s="1" t="str">
        <f t="shared" si="35"/>
        <v>10/01/2019</v>
      </c>
      <c r="E1131" t="s">
        <v>37</v>
      </c>
      <c r="F1131" t="s">
        <v>53</v>
      </c>
      <c r="G1131" t="s">
        <v>49</v>
      </c>
      <c r="H1131" s="2">
        <v>37358</v>
      </c>
      <c r="I1131" s="2">
        <v>36195</v>
      </c>
      <c r="J1131">
        <v>376</v>
      </c>
      <c r="K1131" s="2">
        <v>3885</v>
      </c>
      <c r="L1131">
        <v>533</v>
      </c>
      <c r="M1131" s="2">
        <v>4063</v>
      </c>
      <c r="N1131">
        <v>598</v>
      </c>
      <c r="O1131" s="2">
        <v>1770</v>
      </c>
      <c r="P1131">
        <v>513</v>
      </c>
      <c r="Q1131">
        <v>577</v>
      </c>
      <c r="R1131">
        <v>567</v>
      </c>
      <c r="S1131" s="2">
        <v>10329</v>
      </c>
      <c r="T1131" s="2">
        <v>3038</v>
      </c>
      <c r="U1131">
        <v>0</v>
      </c>
      <c r="V1131">
        <v>0</v>
      </c>
      <c r="W1131" s="1">
        <v>44160</v>
      </c>
    </row>
    <row r="1132" spans="1:37" x14ac:dyDescent="0.3">
      <c r="A1132">
        <v>2019</v>
      </c>
      <c r="B1132">
        <v>10</v>
      </c>
      <c r="C1132" t="str">
        <f t="shared" si="34"/>
        <v>10/01/2019</v>
      </c>
      <c r="D1132" s="1" t="str">
        <f t="shared" si="35"/>
        <v>10/01/2019</v>
      </c>
      <c r="E1132" t="s">
        <v>37</v>
      </c>
      <c r="F1132" t="s">
        <v>54</v>
      </c>
      <c r="G1132" t="s">
        <v>39</v>
      </c>
      <c r="H1132">
        <v>38</v>
      </c>
      <c r="I1132">
        <v>34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S1132">
        <v>0</v>
      </c>
      <c r="U1132">
        <v>0</v>
      </c>
      <c r="V1132">
        <v>0</v>
      </c>
      <c r="W1132" s="1">
        <v>44160</v>
      </c>
      <c r="AI1132" t="s">
        <v>40</v>
      </c>
      <c r="AK1132" t="s">
        <v>40</v>
      </c>
    </row>
    <row r="1133" spans="1:37" x14ac:dyDescent="0.3">
      <c r="A1133">
        <v>2019</v>
      </c>
      <c r="B1133">
        <v>10</v>
      </c>
      <c r="C1133" t="str">
        <f t="shared" si="34"/>
        <v>10/01/2019</v>
      </c>
      <c r="D1133" s="1" t="str">
        <f t="shared" si="35"/>
        <v>10/01/2019</v>
      </c>
      <c r="E1133" t="s">
        <v>37</v>
      </c>
      <c r="F1133" t="s">
        <v>54</v>
      </c>
      <c r="G1133" t="s">
        <v>41</v>
      </c>
      <c r="H1133">
        <v>14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 s="1">
        <v>44160</v>
      </c>
      <c r="Z1133" t="s">
        <v>40</v>
      </c>
    </row>
    <row r="1134" spans="1:37" x14ac:dyDescent="0.3">
      <c r="A1134">
        <v>2019</v>
      </c>
      <c r="B1134">
        <v>10</v>
      </c>
      <c r="C1134" t="str">
        <f t="shared" si="34"/>
        <v>10/01/2019</v>
      </c>
      <c r="D1134" s="1" t="str">
        <f t="shared" si="35"/>
        <v>10/01/2019</v>
      </c>
      <c r="E1134" t="s">
        <v>37</v>
      </c>
      <c r="F1134" t="s">
        <v>54</v>
      </c>
      <c r="G1134" t="s">
        <v>42</v>
      </c>
      <c r="H1134">
        <v>38</v>
      </c>
      <c r="I1134">
        <v>21</v>
      </c>
      <c r="J1134">
        <v>0</v>
      </c>
      <c r="M1134">
        <v>0</v>
      </c>
      <c r="N1134">
        <v>0</v>
      </c>
      <c r="P1134">
        <v>0</v>
      </c>
      <c r="Q1134">
        <v>0</v>
      </c>
      <c r="T1134">
        <v>0</v>
      </c>
      <c r="U1134">
        <v>0</v>
      </c>
      <c r="V1134">
        <v>0</v>
      </c>
      <c r="W1134" s="1">
        <v>44160</v>
      </c>
      <c r="AB1134" t="s">
        <v>40</v>
      </c>
      <c r="AC1134" t="s">
        <v>40</v>
      </c>
      <c r="AF1134" t="s">
        <v>40</v>
      </c>
      <c r="AI1134" t="s">
        <v>40</v>
      </c>
      <c r="AJ1134" t="s">
        <v>40</v>
      </c>
    </row>
    <row r="1135" spans="1:37" x14ac:dyDescent="0.3">
      <c r="A1135">
        <v>2019</v>
      </c>
      <c r="B1135">
        <v>10</v>
      </c>
      <c r="C1135" t="str">
        <f t="shared" si="34"/>
        <v>10/01/2019</v>
      </c>
      <c r="D1135" s="1" t="str">
        <f t="shared" si="35"/>
        <v>10/01/2019</v>
      </c>
      <c r="E1135" t="s">
        <v>37</v>
      </c>
      <c r="F1135" t="s">
        <v>54</v>
      </c>
      <c r="G1135" t="s">
        <v>43</v>
      </c>
      <c r="H1135">
        <v>41</v>
      </c>
      <c r="I1135">
        <v>27</v>
      </c>
      <c r="K1135">
        <v>10</v>
      </c>
      <c r="M1135">
        <v>0</v>
      </c>
      <c r="N1135">
        <v>0</v>
      </c>
      <c r="U1135">
        <v>0</v>
      </c>
      <c r="V1135">
        <v>0</v>
      </c>
      <c r="W1135" s="1">
        <v>44160</v>
      </c>
      <c r="AA1135" t="s">
        <v>40</v>
      </c>
      <c r="AC1135" t="s">
        <v>40</v>
      </c>
      <c r="AF1135" t="s">
        <v>40</v>
      </c>
      <c r="AG1135" t="s">
        <v>40</v>
      </c>
      <c r="AH1135" t="s">
        <v>40</v>
      </c>
      <c r="AI1135" t="s">
        <v>40</v>
      </c>
      <c r="AJ1135" t="s">
        <v>40</v>
      </c>
      <c r="AK1135" t="s">
        <v>40</v>
      </c>
    </row>
    <row r="1136" spans="1:37" x14ac:dyDescent="0.3">
      <c r="A1136">
        <v>2019</v>
      </c>
      <c r="B1136">
        <v>10</v>
      </c>
      <c r="C1136" t="str">
        <f t="shared" si="34"/>
        <v>10/01/2019</v>
      </c>
      <c r="D1136" s="1" t="str">
        <f t="shared" si="35"/>
        <v>10/01/2019</v>
      </c>
      <c r="E1136" t="s">
        <v>37</v>
      </c>
      <c r="F1136" t="s">
        <v>54</v>
      </c>
      <c r="G1136" t="s">
        <v>44</v>
      </c>
      <c r="H1136">
        <v>62</v>
      </c>
      <c r="I1136">
        <v>54</v>
      </c>
      <c r="K1136">
        <v>14</v>
      </c>
      <c r="M1136">
        <v>0</v>
      </c>
      <c r="O1136">
        <v>0</v>
      </c>
      <c r="P1136">
        <v>0</v>
      </c>
      <c r="Q1136">
        <v>0</v>
      </c>
      <c r="S1136">
        <v>14</v>
      </c>
      <c r="U1136">
        <v>0</v>
      </c>
      <c r="V1136">
        <v>0</v>
      </c>
      <c r="W1136" s="1">
        <v>44160</v>
      </c>
      <c r="AA1136" t="s">
        <v>40</v>
      </c>
      <c r="AC1136" t="s">
        <v>40</v>
      </c>
      <c r="AE1136" t="s">
        <v>40</v>
      </c>
      <c r="AI1136" t="s">
        <v>40</v>
      </c>
      <c r="AK1136" t="s">
        <v>40</v>
      </c>
    </row>
    <row r="1137" spans="1:37" x14ac:dyDescent="0.3">
      <c r="A1137">
        <v>2019</v>
      </c>
      <c r="B1137">
        <v>10</v>
      </c>
      <c r="C1137" t="str">
        <f t="shared" si="34"/>
        <v>10/01/2019</v>
      </c>
      <c r="D1137" s="1" t="str">
        <f t="shared" si="35"/>
        <v>10/01/2019</v>
      </c>
      <c r="E1137" t="s">
        <v>37</v>
      </c>
      <c r="F1137" t="s">
        <v>54</v>
      </c>
      <c r="G1137" t="s">
        <v>45</v>
      </c>
      <c r="J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 s="1">
        <v>44160</v>
      </c>
      <c r="Y1137" t="s">
        <v>40</v>
      </c>
      <c r="Z1137" t="s">
        <v>40</v>
      </c>
      <c r="AB1137" t="s">
        <v>40</v>
      </c>
    </row>
    <row r="1138" spans="1:37" x14ac:dyDescent="0.3">
      <c r="A1138">
        <v>2019</v>
      </c>
      <c r="B1138">
        <v>10</v>
      </c>
      <c r="C1138" t="str">
        <f t="shared" si="34"/>
        <v>10/01/2019</v>
      </c>
      <c r="D1138" s="1" t="str">
        <f t="shared" si="35"/>
        <v>10/01/2019</v>
      </c>
      <c r="E1138" t="s">
        <v>37</v>
      </c>
      <c r="F1138" t="s">
        <v>54</v>
      </c>
      <c r="G1138" t="s">
        <v>46</v>
      </c>
      <c r="H1138">
        <v>118</v>
      </c>
      <c r="I1138">
        <v>111</v>
      </c>
      <c r="K1138">
        <v>39</v>
      </c>
      <c r="M1138">
        <v>0</v>
      </c>
      <c r="S1138">
        <v>25</v>
      </c>
      <c r="U1138">
        <v>0</v>
      </c>
      <c r="V1138">
        <v>0</v>
      </c>
      <c r="W1138" s="1">
        <v>44160</v>
      </c>
      <c r="AA1138" t="s">
        <v>40</v>
      </c>
      <c r="AC1138" t="s">
        <v>40</v>
      </c>
      <c r="AE1138" t="s">
        <v>40</v>
      </c>
      <c r="AF1138" t="s">
        <v>40</v>
      </c>
      <c r="AG1138" t="s">
        <v>40</v>
      </c>
      <c r="AH1138" t="s">
        <v>40</v>
      </c>
      <c r="AI1138" t="s">
        <v>40</v>
      </c>
      <c r="AK1138" t="s">
        <v>40</v>
      </c>
    </row>
    <row r="1139" spans="1:37" x14ac:dyDescent="0.3">
      <c r="A1139">
        <v>2019</v>
      </c>
      <c r="B1139">
        <v>10</v>
      </c>
      <c r="C1139" t="str">
        <f t="shared" si="34"/>
        <v>10/01/2019</v>
      </c>
      <c r="D1139" s="1" t="str">
        <f t="shared" si="35"/>
        <v>10/01/2019</v>
      </c>
      <c r="E1139" t="s">
        <v>37</v>
      </c>
      <c r="F1139" t="s">
        <v>54</v>
      </c>
      <c r="G1139" t="s">
        <v>47</v>
      </c>
      <c r="H1139">
        <v>173</v>
      </c>
      <c r="I1139">
        <v>169</v>
      </c>
      <c r="K1139">
        <v>62</v>
      </c>
      <c r="O1139">
        <v>13</v>
      </c>
      <c r="R1139">
        <v>0</v>
      </c>
      <c r="S1139">
        <v>46</v>
      </c>
      <c r="U1139">
        <v>0</v>
      </c>
      <c r="V1139">
        <v>0</v>
      </c>
      <c r="W1139" s="1">
        <v>44160</v>
      </c>
      <c r="AA1139" t="s">
        <v>40</v>
      </c>
      <c r="AC1139" t="s">
        <v>40</v>
      </c>
      <c r="AD1139" t="s">
        <v>40</v>
      </c>
      <c r="AE1139" t="s">
        <v>40</v>
      </c>
      <c r="AG1139" t="s">
        <v>40</v>
      </c>
      <c r="AH1139" t="s">
        <v>40</v>
      </c>
      <c r="AK1139" t="s">
        <v>40</v>
      </c>
    </row>
    <row r="1140" spans="1:37" x14ac:dyDescent="0.3">
      <c r="A1140">
        <v>2019</v>
      </c>
      <c r="B1140">
        <v>10</v>
      </c>
      <c r="C1140" t="str">
        <f t="shared" si="34"/>
        <v>10/01/2019</v>
      </c>
      <c r="D1140" s="1" t="str">
        <f t="shared" si="35"/>
        <v>10/01/2019</v>
      </c>
      <c r="E1140" t="s">
        <v>37</v>
      </c>
      <c r="F1140" t="s">
        <v>54</v>
      </c>
      <c r="G1140" t="s">
        <v>48</v>
      </c>
      <c r="H1140">
        <v>153</v>
      </c>
      <c r="I1140">
        <v>148</v>
      </c>
      <c r="K1140">
        <v>28</v>
      </c>
      <c r="M1140">
        <v>10</v>
      </c>
      <c r="O1140">
        <v>18</v>
      </c>
      <c r="R1140">
        <v>0</v>
      </c>
      <c r="S1140">
        <v>36</v>
      </c>
      <c r="U1140">
        <v>0</v>
      </c>
      <c r="V1140">
        <v>0</v>
      </c>
      <c r="W1140" s="1">
        <v>44160</v>
      </c>
      <c r="AA1140" t="s">
        <v>40</v>
      </c>
      <c r="AC1140" t="s">
        <v>40</v>
      </c>
      <c r="AE1140" t="s">
        <v>40</v>
      </c>
      <c r="AG1140" t="s">
        <v>40</v>
      </c>
      <c r="AH1140" t="s">
        <v>40</v>
      </c>
      <c r="AK1140" t="s">
        <v>40</v>
      </c>
    </row>
    <row r="1141" spans="1:37" x14ac:dyDescent="0.3">
      <c r="A1141">
        <v>2019</v>
      </c>
      <c r="B1141">
        <v>10</v>
      </c>
      <c r="C1141" t="str">
        <f t="shared" si="34"/>
        <v>10/01/2019</v>
      </c>
      <c r="D1141" s="1" t="str">
        <f t="shared" si="35"/>
        <v>10/01/2019</v>
      </c>
      <c r="E1141" t="s">
        <v>37</v>
      </c>
      <c r="F1141" t="s">
        <v>54</v>
      </c>
      <c r="G1141" t="s">
        <v>49</v>
      </c>
      <c r="H1141">
        <v>180</v>
      </c>
      <c r="I1141">
        <v>177</v>
      </c>
      <c r="K1141">
        <v>17</v>
      </c>
      <c r="M1141">
        <v>24</v>
      </c>
      <c r="S1141">
        <v>47</v>
      </c>
      <c r="T1141">
        <v>14</v>
      </c>
      <c r="U1141">
        <v>0</v>
      </c>
      <c r="V1141">
        <v>0</v>
      </c>
      <c r="W1141" s="1">
        <v>44160</v>
      </c>
      <c r="AA1141" t="s">
        <v>40</v>
      </c>
      <c r="AC1141" t="s">
        <v>40</v>
      </c>
      <c r="AE1141" t="s">
        <v>40</v>
      </c>
      <c r="AF1141" t="s">
        <v>40</v>
      </c>
      <c r="AG1141" t="s">
        <v>40</v>
      </c>
      <c r="AH1141" t="s">
        <v>40</v>
      </c>
      <c r="AI1141" t="s">
        <v>40</v>
      </c>
    </row>
    <row r="1142" spans="1:37" x14ac:dyDescent="0.3">
      <c r="A1142">
        <v>2019</v>
      </c>
      <c r="B1142">
        <v>10</v>
      </c>
      <c r="C1142" t="str">
        <f t="shared" si="34"/>
        <v>10/01/2019</v>
      </c>
      <c r="D1142" s="1" t="str">
        <f t="shared" si="35"/>
        <v>10/01/2019</v>
      </c>
      <c r="E1142" t="s">
        <v>55</v>
      </c>
      <c r="F1142" t="s">
        <v>38</v>
      </c>
      <c r="G1142" t="s">
        <v>39</v>
      </c>
      <c r="H1142">
        <v>277</v>
      </c>
      <c r="I1142">
        <v>254</v>
      </c>
      <c r="L1142">
        <v>0</v>
      </c>
      <c r="M1142">
        <v>0</v>
      </c>
      <c r="Q1142">
        <v>0</v>
      </c>
      <c r="R1142">
        <v>22</v>
      </c>
      <c r="T1142">
        <v>0</v>
      </c>
      <c r="U1142">
        <v>0</v>
      </c>
      <c r="V1142">
        <v>0</v>
      </c>
      <c r="W1142" s="1">
        <v>44160</v>
      </c>
      <c r="AA1142" t="s">
        <v>40</v>
      </c>
      <c r="AB1142" t="s">
        <v>40</v>
      </c>
      <c r="AE1142" t="s">
        <v>40</v>
      </c>
      <c r="AF1142" t="s">
        <v>40</v>
      </c>
      <c r="AG1142" t="s">
        <v>40</v>
      </c>
      <c r="AJ1142" t="s">
        <v>40</v>
      </c>
    </row>
    <row r="1143" spans="1:37" x14ac:dyDescent="0.3">
      <c r="A1143">
        <v>2019</v>
      </c>
      <c r="B1143">
        <v>10</v>
      </c>
      <c r="C1143" t="str">
        <f t="shared" si="34"/>
        <v>10/01/2019</v>
      </c>
      <c r="D1143" s="1" t="str">
        <f t="shared" si="35"/>
        <v>10/01/2019</v>
      </c>
      <c r="E1143" t="s">
        <v>55</v>
      </c>
      <c r="F1143" t="s">
        <v>38</v>
      </c>
      <c r="G1143" t="s">
        <v>41</v>
      </c>
      <c r="H1143">
        <v>418</v>
      </c>
      <c r="I1143">
        <v>53</v>
      </c>
      <c r="K1143">
        <v>19</v>
      </c>
      <c r="M1143">
        <v>0</v>
      </c>
      <c r="P1143">
        <v>0</v>
      </c>
      <c r="Q1143">
        <v>0</v>
      </c>
      <c r="T1143">
        <v>0</v>
      </c>
      <c r="U1143">
        <v>0</v>
      </c>
      <c r="V1143">
        <v>0</v>
      </c>
      <c r="W1143" s="1">
        <v>44160</v>
      </c>
      <c r="AA1143" t="s">
        <v>40</v>
      </c>
      <c r="AC1143" t="s">
        <v>40</v>
      </c>
      <c r="AE1143" t="s">
        <v>40</v>
      </c>
      <c r="AF1143" t="s">
        <v>40</v>
      </c>
      <c r="AI1143" t="s">
        <v>40</v>
      </c>
      <c r="AJ1143" t="s">
        <v>40</v>
      </c>
    </row>
    <row r="1144" spans="1:37" x14ac:dyDescent="0.3">
      <c r="A1144">
        <v>2019</v>
      </c>
      <c r="B1144">
        <v>10</v>
      </c>
      <c r="C1144" t="str">
        <f t="shared" si="34"/>
        <v>10/01/2019</v>
      </c>
      <c r="D1144" s="1" t="str">
        <f t="shared" si="35"/>
        <v>10/01/2019</v>
      </c>
      <c r="E1144" t="s">
        <v>55</v>
      </c>
      <c r="F1144" t="s">
        <v>38</v>
      </c>
      <c r="G1144" t="s">
        <v>42</v>
      </c>
      <c r="H1144">
        <v>566</v>
      </c>
      <c r="I1144">
        <v>147</v>
      </c>
      <c r="K1144">
        <v>27</v>
      </c>
      <c r="M1144">
        <v>0</v>
      </c>
      <c r="R1144">
        <v>13</v>
      </c>
      <c r="S1144">
        <v>17</v>
      </c>
      <c r="U1144">
        <v>0</v>
      </c>
      <c r="V1144">
        <v>0</v>
      </c>
      <c r="W1144" s="1">
        <v>44160</v>
      </c>
      <c r="AA1144" t="s">
        <v>40</v>
      </c>
      <c r="AC1144" t="s">
        <v>40</v>
      </c>
      <c r="AE1144" t="s">
        <v>40</v>
      </c>
      <c r="AF1144" t="s">
        <v>40</v>
      </c>
      <c r="AG1144" t="s">
        <v>40</v>
      </c>
      <c r="AH1144" t="s">
        <v>40</v>
      </c>
      <c r="AK1144" t="s">
        <v>40</v>
      </c>
    </row>
    <row r="1145" spans="1:37" x14ac:dyDescent="0.3">
      <c r="A1145">
        <v>2019</v>
      </c>
      <c r="B1145">
        <v>10</v>
      </c>
      <c r="C1145" t="str">
        <f t="shared" si="34"/>
        <v>10/01/2019</v>
      </c>
      <c r="D1145" s="1" t="str">
        <f t="shared" si="35"/>
        <v>10/01/2019</v>
      </c>
      <c r="E1145" t="s">
        <v>55</v>
      </c>
      <c r="F1145" t="s">
        <v>38</v>
      </c>
      <c r="G1145" t="s">
        <v>43</v>
      </c>
      <c r="H1145">
        <v>680</v>
      </c>
      <c r="I1145">
        <v>349</v>
      </c>
      <c r="K1145">
        <v>62</v>
      </c>
      <c r="L1145">
        <v>21</v>
      </c>
      <c r="M1145">
        <v>0</v>
      </c>
      <c r="R1145">
        <v>17</v>
      </c>
      <c r="S1145">
        <v>78</v>
      </c>
      <c r="T1145">
        <v>11</v>
      </c>
      <c r="U1145">
        <v>0</v>
      </c>
      <c r="V1145">
        <v>0</v>
      </c>
      <c r="W1145" s="1">
        <v>44160</v>
      </c>
      <c r="AA1145" t="s">
        <v>40</v>
      </c>
      <c r="AE1145" t="s">
        <v>40</v>
      </c>
      <c r="AF1145" t="s">
        <v>40</v>
      </c>
      <c r="AG1145" t="s">
        <v>40</v>
      </c>
      <c r="AH1145" t="s">
        <v>40</v>
      </c>
    </row>
    <row r="1146" spans="1:37" x14ac:dyDescent="0.3">
      <c r="A1146">
        <v>2019</v>
      </c>
      <c r="B1146">
        <v>10</v>
      </c>
      <c r="C1146" t="str">
        <f t="shared" si="34"/>
        <v>10/01/2019</v>
      </c>
      <c r="D1146" s="1" t="str">
        <f t="shared" si="35"/>
        <v>10/01/2019</v>
      </c>
      <c r="E1146" t="s">
        <v>55</v>
      </c>
      <c r="F1146" t="s">
        <v>38</v>
      </c>
      <c r="G1146" t="s">
        <v>44</v>
      </c>
      <c r="H1146" s="2">
        <v>1020</v>
      </c>
      <c r="I1146">
        <v>764</v>
      </c>
      <c r="J1146">
        <v>19</v>
      </c>
      <c r="K1146">
        <v>160</v>
      </c>
      <c r="L1146">
        <v>42</v>
      </c>
      <c r="N1146">
        <v>10</v>
      </c>
      <c r="Q1146">
        <v>19</v>
      </c>
      <c r="R1146">
        <v>12</v>
      </c>
      <c r="S1146">
        <v>184</v>
      </c>
      <c r="T1146">
        <v>46</v>
      </c>
      <c r="U1146">
        <v>0</v>
      </c>
      <c r="V1146">
        <v>0</v>
      </c>
      <c r="W1146" s="1">
        <v>44160</v>
      </c>
      <c r="AD1146" t="s">
        <v>40</v>
      </c>
      <c r="AF1146" t="s">
        <v>40</v>
      </c>
      <c r="AG1146" t="s">
        <v>40</v>
      </c>
    </row>
    <row r="1147" spans="1:37" x14ac:dyDescent="0.3">
      <c r="A1147">
        <v>2019</v>
      </c>
      <c r="B1147">
        <v>10</v>
      </c>
      <c r="C1147" t="str">
        <f t="shared" si="34"/>
        <v>10/01/2019</v>
      </c>
      <c r="D1147" s="1" t="str">
        <f t="shared" si="35"/>
        <v>10/01/2019</v>
      </c>
      <c r="E1147" t="s">
        <v>55</v>
      </c>
      <c r="F1147" t="s">
        <v>38</v>
      </c>
      <c r="G1147" t="s">
        <v>45</v>
      </c>
      <c r="H1147">
        <v>45</v>
      </c>
      <c r="I1147">
        <v>23</v>
      </c>
      <c r="J1147">
        <v>0</v>
      </c>
      <c r="L1147">
        <v>0</v>
      </c>
      <c r="M1147">
        <v>0</v>
      </c>
      <c r="N1147">
        <v>0</v>
      </c>
      <c r="Q1147">
        <v>0</v>
      </c>
      <c r="U1147">
        <v>0</v>
      </c>
      <c r="V1147">
        <v>0</v>
      </c>
      <c r="W1147" s="1">
        <v>44160</v>
      </c>
      <c r="AB1147" t="s">
        <v>40</v>
      </c>
      <c r="AF1147" t="s">
        <v>40</v>
      </c>
      <c r="AG1147" t="s">
        <v>40</v>
      </c>
      <c r="AI1147" t="s">
        <v>40</v>
      </c>
      <c r="AJ1147" t="s">
        <v>40</v>
      </c>
      <c r="AK1147" t="s">
        <v>40</v>
      </c>
    </row>
    <row r="1148" spans="1:37" x14ac:dyDescent="0.3">
      <c r="A1148">
        <v>2019</v>
      </c>
      <c r="B1148">
        <v>10</v>
      </c>
      <c r="C1148" t="str">
        <f t="shared" si="34"/>
        <v>10/01/2019</v>
      </c>
      <c r="D1148" s="1" t="str">
        <f t="shared" si="35"/>
        <v>10/01/2019</v>
      </c>
      <c r="E1148" t="s">
        <v>55</v>
      </c>
      <c r="F1148" t="s">
        <v>38</v>
      </c>
      <c r="G1148" t="s">
        <v>46</v>
      </c>
      <c r="H1148" s="2">
        <v>1699</v>
      </c>
      <c r="I1148" s="2">
        <v>1497</v>
      </c>
      <c r="J1148">
        <v>33</v>
      </c>
      <c r="K1148">
        <v>452</v>
      </c>
      <c r="L1148">
        <v>96</v>
      </c>
      <c r="N1148">
        <v>18</v>
      </c>
      <c r="O1148">
        <v>16</v>
      </c>
      <c r="P1148">
        <v>12</v>
      </c>
      <c r="Q1148">
        <v>38</v>
      </c>
      <c r="R1148">
        <v>12</v>
      </c>
      <c r="S1148">
        <v>378</v>
      </c>
      <c r="T1148">
        <v>79</v>
      </c>
      <c r="U1148">
        <v>0</v>
      </c>
      <c r="V1148">
        <v>0</v>
      </c>
      <c r="W1148" s="1">
        <v>44160</v>
      </c>
      <c r="AD1148" t="s">
        <v>40</v>
      </c>
    </row>
    <row r="1149" spans="1:37" x14ac:dyDescent="0.3">
      <c r="A1149">
        <v>2019</v>
      </c>
      <c r="B1149">
        <v>10</v>
      </c>
      <c r="C1149" t="str">
        <f t="shared" si="34"/>
        <v>10/01/2019</v>
      </c>
      <c r="D1149" s="1" t="str">
        <f t="shared" si="35"/>
        <v>10/01/2019</v>
      </c>
      <c r="E1149" t="s">
        <v>55</v>
      </c>
      <c r="F1149" t="s">
        <v>38</v>
      </c>
      <c r="G1149" t="s">
        <v>47</v>
      </c>
      <c r="H1149" s="2">
        <v>1828</v>
      </c>
      <c r="I1149" s="2">
        <v>1736</v>
      </c>
      <c r="J1149">
        <v>28</v>
      </c>
      <c r="K1149">
        <v>524</v>
      </c>
      <c r="L1149">
        <v>120</v>
      </c>
      <c r="M1149">
        <v>24</v>
      </c>
      <c r="N1149">
        <v>33</v>
      </c>
      <c r="O1149">
        <v>50</v>
      </c>
      <c r="P1149">
        <v>37</v>
      </c>
      <c r="Q1149">
        <v>53</v>
      </c>
      <c r="S1149">
        <v>407</v>
      </c>
      <c r="T1149">
        <v>98</v>
      </c>
      <c r="U1149">
        <v>0</v>
      </c>
      <c r="V1149">
        <v>0</v>
      </c>
      <c r="W1149" s="1">
        <v>44160</v>
      </c>
      <c r="AI1149" t="s">
        <v>40</v>
      </c>
    </row>
    <row r="1150" spans="1:37" x14ac:dyDescent="0.3">
      <c r="A1150">
        <v>2019</v>
      </c>
      <c r="B1150">
        <v>10</v>
      </c>
      <c r="C1150" t="str">
        <f t="shared" si="34"/>
        <v>10/01/2019</v>
      </c>
      <c r="D1150" s="1" t="str">
        <f t="shared" si="35"/>
        <v>10/01/2019</v>
      </c>
      <c r="E1150" t="s">
        <v>55</v>
      </c>
      <c r="F1150" t="s">
        <v>38</v>
      </c>
      <c r="G1150" t="s">
        <v>48</v>
      </c>
      <c r="H1150" s="2">
        <v>1788</v>
      </c>
      <c r="I1150" s="2">
        <v>1736</v>
      </c>
      <c r="J1150">
        <v>18</v>
      </c>
      <c r="K1150">
        <v>448</v>
      </c>
      <c r="L1150">
        <v>106</v>
      </c>
      <c r="M1150">
        <v>65</v>
      </c>
      <c r="N1150">
        <v>29</v>
      </c>
      <c r="O1150">
        <v>68</v>
      </c>
      <c r="P1150">
        <v>44</v>
      </c>
      <c r="Q1150">
        <v>49</v>
      </c>
      <c r="R1150">
        <v>16</v>
      </c>
      <c r="S1150">
        <v>409</v>
      </c>
      <c r="T1150">
        <v>134</v>
      </c>
      <c r="U1150">
        <v>0</v>
      </c>
      <c r="V1150">
        <v>0</v>
      </c>
      <c r="W1150" s="1">
        <v>44160</v>
      </c>
    </row>
    <row r="1151" spans="1:37" x14ac:dyDescent="0.3">
      <c r="A1151">
        <v>2019</v>
      </c>
      <c r="B1151">
        <v>10</v>
      </c>
      <c r="C1151" t="str">
        <f t="shared" si="34"/>
        <v>10/01/2019</v>
      </c>
      <c r="D1151" s="1" t="str">
        <f t="shared" si="35"/>
        <v>10/01/2019</v>
      </c>
      <c r="E1151" t="s">
        <v>55</v>
      </c>
      <c r="F1151" t="s">
        <v>38</v>
      </c>
      <c r="G1151" t="s">
        <v>49</v>
      </c>
      <c r="H1151" s="2">
        <v>1564</v>
      </c>
      <c r="I1151" s="2">
        <v>1513</v>
      </c>
      <c r="J1151">
        <v>12</v>
      </c>
      <c r="K1151">
        <v>251</v>
      </c>
      <c r="L1151">
        <v>52</v>
      </c>
      <c r="M1151">
        <v>106</v>
      </c>
      <c r="N1151">
        <v>31</v>
      </c>
      <c r="O1151">
        <v>61</v>
      </c>
      <c r="P1151">
        <v>32</v>
      </c>
      <c r="Q1151">
        <v>43</v>
      </c>
      <c r="R1151">
        <v>14</v>
      </c>
      <c r="S1151">
        <v>407</v>
      </c>
      <c r="T1151">
        <v>136</v>
      </c>
      <c r="U1151">
        <v>0</v>
      </c>
      <c r="V1151">
        <v>0</v>
      </c>
      <c r="W1151" s="1">
        <v>44160</v>
      </c>
    </row>
    <row r="1152" spans="1:37" x14ac:dyDescent="0.3">
      <c r="A1152">
        <v>2019</v>
      </c>
      <c r="B1152">
        <v>10</v>
      </c>
      <c r="C1152" t="str">
        <f t="shared" si="34"/>
        <v>10/01/2019</v>
      </c>
      <c r="D1152" s="1" t="str">
        <f t="shared" si="35"/>
        <v>10/01/2019</v>
      </c>
      <c r="E1152" t="s">
        <v>55</v>
      </c>
      <c r="F1152" t="s">
        <v>50</v>
      </c>
      <c r="G1152" t="s">
        <v>39</v>
      </c>
      <c r="K1152">
        <v>0</v>
      </c>
      <c r="L1152">
        <v>0</v>
      </c>
      <c r="M1152">
        <v>0</v>
      </c>
      <c r="O1152">
        <v>0</v>
      </c>
      <c r="P1152">
        <v>0</v>
      </c>
      <c r="Q1152">
        <v>0</v>
      </c>
      <c r="S1152">
        <v>0</v>
      </c>
      <c r="T1152">
        <v>0</v>
      </c>
      <c r="U1152">
        <v>0</v>
      </c>
      <c r="V1152">
        <v>0</v>
      </c>
      <c r="W1152" s="1">
        <v>44160</v>
      </c>
      <c r="Y1152" t="s">
        <v>40</v>
      </c>
      <c r="Z1152" t="s">
        <v>40</v>
      </c>
      <c r="AA1152" t="s">
        <v>40</v>
      </c>
      <c r="AE1152" t="s">
        <v>40</v>
      </c>
      <c r="AI1152" t="s">
        <v>40</v>
      </c>
    </row>
    <row r="1153" spans="1:37" x14ac:dyDescent="0.3">
      <c r="A1153">
        <v>2019</v>
      </c>
      <c r="B1153">
        <v>10</v>
      </c>
      <c r="C1153" t="str">
        <f t="shared" si="34"/>
        <v>10/01/2019</v>
      </c>
      <c r="D1153" s="1" t="str">
        <f t="shared" si="35"/>
        <v>10/01/2019</v>
      </c>
      <c r="E1153" t="s">
        <v>55</v>
      </c>
      <c r="F1153" t="s">
        <v>50</v>
      </c>
      <c r="G1153" t="s">
        <v>41</v>
      </c>
      <c r="H1153">
        <v>20</v>
      </c>
      <c r="J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S1153">
        <v>0</v>
      </c>
      <c r="T1153">
        <v>0</v>
      </c>
      <c r="U1153">
        <v>0</v>
      </c>
      <c r="V1153">
        <v>0</v>
      </c>
      <c r="W1153" s="1">
        <v>44160</v>
      </c>
      <c r="Z1153" t="s">
        <v>40</v>
      </c>
      <c r="AB1153" t="s">
        <v>40</v>
      </c>
      <c r="AC1153" t="s">
        <v>40</v>
      </c>
      <c r="AI1153" t="s">
        <v>40</v>
      </c>
    </row>
    <row r="1154" spans="1:37" x14ac:dyDescent="0.3">
      <c r="A1154">
        <v>2019</v>
      </c>
      <c r="B1154">
        <v>10</v>
      </c>
      <c r="C1154" t="str">
        <f t="shared" si="34"/>
        <v>10/01/2019</v>
      </c>
      <c r="D1154" s="1" t="str">
        <f t="shared" si="35"/>
        <v>10/01/2019</v>
      </c>
      <c r="E1154" t="s">
        <v>55</v>
      </c>
      <c r="F1154" t="s">
        <v>50</v>
      </c>
      <c r="G1154" t="s">
        <v>42</v>
      </c>
      <c r="H1154">
        <v>56</v>
      </c>
      <c r="I1154">
        <v>20</v>
      </c>
      <c r="J1154">
        <v>0</v>
      </c>
      <c r="L1154">
        <v>0</v>
      </c>
      <c r="M1154">
        <v>0</v>
      </c>
      <c r="O1154">
        <v>0</v>
      </c>
      <c r="P1154">
        <v>0</v>
      </c>
      <c r="S1154">
        <v>0</v>
      </c>
      <c r="T1154">
        <v>0</v>
      </c>
      <c r="U1154">
        <v>0</v>
      </c>
      <c r="V1154">
        <v>0</v>
      </c>
      <c r="W1154" s="1">
        <v>44160</v>
      </c>
      <c r="AB1154" t="s">
        <v>40</v>
      </c>
      <c r="AE1154" t="s">
        <v>40</v>
      </c>
      <c r="AH1154" t="s">
        <v>40</v>
      </c>
      <c r="AI1154" t="s">
        <v>40</v>
      </c>
    </row>
    <row r="1155" spans="1:37" x14ac:dyDescent="0.3">
      <c r="A1155">
        <v>2019</v>
      </c>
      <c r="B1155">
        <v>10</v>
      </c>
      <c r="C1155" t="str">
        <f t="shared" ref="C1155:C1218" si="36">CONCATENATE(B1155,"/01/",A1155)</f>
        <v>10/01/2019</v>
      </c>
      <c r="D1155" s="1" t="str">
        <f t="shared" ref="D1155:D1218" si="37">C1155</f>
        <v>10/01/2019</v>
      </c>
      <c r="E1155" t="s">
        <v>55</v>
      </c>
      <c r="F1155" t="s">
        <v>50</v>
      </c>
      <c r="G1155" t="s">
        <v>43</v>
      </c>
      <c r="H1155">
        <v>68</v>
      </c>
      <c r="I1155">
        <v>38</v>
      </c>
      <c r="M1155">
        <v>0</v>
      </c>
      <c r="N1155">
        <v>0</v>
      </c>
      <c r="O1155">
        <v>0</v>
      </c>
      <c r="P1155">
        <v>0</v>
      </c>
      <c r="U1155">
        <v>0</v>
      </c>
      <c r="V1155">
        <v>0</v>
      </c>
      <c r="W1155" s="1">
        <v>44160</v>
      </c>
      <c r="AA1155" t="s">
        <v>40</v>
      </c>
      <c r="AB1155" t="s">
        <v>40</v>
      </c>
      <c r="AC1155" t="s">
        <v>40</v>
      </c>
      <c r="AH1155" t="s">
        <v>40</v>
      </c>
      <c r="AI1155" t="s">
        <v>40</v>
      </c>
      <c r="AJ1155" t="s">
        <v>40</v>
      </c>
      <c r="AK1155" t="s">
        <v>40</v>
      </c>
    </row>
    <row r="1156" spans="1:37" x14ac:dyDescent="0.3">
      <c r="A1156">
        <v>2019</v>
      </c>
      <c r="B1156">
        <v>10</v>
      </c>
      <c r="C1156" t="str">
        <f t="shared" si="36"/>
        <v>10/01/2019</v>
      </c>
      <c r="D1156" s="1" t="str">
        <f t="shared" si="37"/>
        <v>10/01/2019</v>
      </c>
      <c r="E1156" t="s">
        <v>55</v>
      </c>
      <c r="F1156" t="s">
        <v>50</v>
      </c>
      <c r="G1156" t="s">
        <v>44</v>
      </c>
      <c r="H1156">
        <v>101</v>
      </c>
      <c r="I1156">
        <v>77</v>
      </c>
      <c r="K1156">
        <v>12</v>
      </c>
      <c r="M1156">
        <v>0</v>
      </c>
      <c r="P1156">
        <v>0</v>
      </c>
      <c r="S1156">
        <v>18</v>
      </c>
      <c r="U1156">
        <v>0</v>
      </c>
      <c r="V1156">
        <v>0</v>
      </c>
      <c r="W1156" s="1">
        <v>44160</v>
      </c>
      <c r="AA1156" t="s">
        <v>40</v>
      </c>
      <c r="AC1156" t="s">
        <v>40</v>
      </c>
      <c r="AE1156" t="s">
        <v>40</v>
      </c>
      <c r="AF1156" t="s">
        <v>40</v>
      </c>
      <c r="AH1156" t="s">
        <v>40</v>
      </c>
      <c r="AI1156" t="s">
        <v>40</v>
      </c>
      <c r="AK1156" t="s">
        <v>40</v>
      </c>
    </row>
    <row r="1157" spans="1:37" x14ac:dyDescent="0.3">
      <c r="A1157">
        <v>2019</v>
      </c>
      <c r="B1157">
        <v>10</v>
      </c>
      <c r="C1157" t="str">
        <f t="shared" si="36"/>
        <v>10/01/2019</v>
      </c>
      <c r="D1157" s="1" t="str">
        <f t="shared" si="37"/>
        <v>10/01/2019</v>
      </c>
      <c r="E1157" t="s">
        <v>55</v>
      </c>
      <c r="F1157" t="s">
        <v>50</v>
      </c>
      <c r="G1157" t="s">
        <v>45</v>
      </c>
      <c r="J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 s="1">
        <v>44160</v>
      </c>
      <c r="Y1157" t="s">
        <v>40</v>
      </c>
      <c r="Z1157" t="s">
        <v>40</v>
      </c>
      <c r="AB1157" t="s">
        <v>40</v>
      </c>
    </row>
    <row r="1158" spans="1:37" x14ac:dyDescent="0.3">
      <c r="A1158">
        <v>2019</v>
      </c>
      <c r="B1158">
        <v>10</v>
      </c>
      <c r="C1158" t="str">
        <f t="shared" si="36"/>
        <v>10/01/2019</v>
      </c>
      <c r="D1158" s="1" t="str">
        <f t="shared" si="37"/>
        <v>10/01/2019</v>
      </c>
      <c r="E1158" t="s">
        <v>55</v>
      </c>
      <c r="F1158" t="s">
        <v>50</v>
      </c>
      <c r="G1158" t="s">
        <v>46</v>
      </c>
      <c r="H1158">
        <v>160</v>
      </c>
      <c r="I1158">
        <v>132</v>
      </c>
      <c r="K1158">
        <v>26</v>
      </c>
      <c r="L1158">
        <v>10</v>
      </c>
      <c r="M1158">
        <v>0</v>
      </c>
      <c r="N1158">
        <v>0</v>
      </c>
      <c r="S1158">
        <v>33</v>
      </c>
      <c r="U1158">
        <v>0</v>
      </c>
      <c r="V1158">
        <v>0</v>
      </c>
      <c r="W1158" s="1">
        <v>44160</v>
      </c>
      <c r="AA1158" t="s">
        <v>40</v>
      </c>
      <c r="AF1158" t="s">
        <v>40</v>
      </c>
      <c r="AG1158" t="s">
        <v>40</v>
      </c>
      <c r="AH1158" t="s">
        <v>40</v>
      </c>
      <c r="AI1158" t="s">
        <v>40</v>
      </c>
      <c r="AK1158" t="s">
        <v>40</v>
      </c>
    </row>
    <row r="1159" spans="1:37" x14ac:dyDescent="0.3">
      <c r="A1159">
        <v>2019</v>
      </c>
      <c r="B1159">
        <v>10</v>
      </c>
      <c r="C1159" t="str">
        <f t="shared" si="36"/>
        <v>10/01/2019</v>
      </c>
      <c r="D1159" s="1" t="str">
        <f t="shared" si="37"/>
        <v>10/01/2019</v>
      </c>
      <c r="E1159" t="s">
        <v>55</v>
      </c>
      <c r="F1159" t="s">
        <v>50</v>
      </c>
      <c r="G1159" t="s">
        <v>47</v>
      </c>
      <c r="H1159">
        <v>180</v>
      </c>
      <c r="I1159">
        <v>173</v>
      </c>
      <c r="K1159">
        <v>35</v>
      </c>
      <c r="L1159">
        <v>16</v>
      </c>
      <c r="S1159">
        <v>49</v>
      </c>
      <c r="T1159">
        <v>10</v>
      </c>
      <c r="U1159">
        <v>0</v>
      </c>
      <c r="V1159">
        <v>0</v>
      </c>
      <c r="W1159" s="1">
        <v>44160</v>
      </c>
      <c r="AA1159" t="s">
        <v>40</v>
      </c>
      <c r="AD1159" t="s">
        <v>40</v>
      </c>
      <c r="AE1159" t="s">
        <v>40</v>
      </c>
      <c r="AF1159" t="s">
        <v>40</v>
      </c>
      <c r="AG1159" t="s">
        <v>40</v>
      </c>
      <c r="AH1159" t="s">
        <v>40</v>
      </c>
      <c r="AI1159" t="s">
        <v>40</v>
      </c>
    </row>
    <row r="1160" spans="1:37" x14ac:dyDescent="0.3">
      <c r="A1160">
        <v>2019</v>
      </c>
      <c r="B1160">
        <v>10</v>
      </c>
      <c r="C1160" t="str">
        <f t="shared" si="36"/>
        <v>10/01/2019</v>
      </c>
      <c r="D1160" s="1" t="str">
        <f t="shared" si="37"/>
        <v>10/01/2019</v>
      </c>
      <c r="E1160" t="s">
        <v>55</v>
      </c>
      <c r="F1160" t="s">
        <v>50</v>
      </c>
      <c r="G1160" t="s">
        <v>48</v>
      </c>
      <c r="H1160">
        <v>125</v>
      </c>
      <c r="I1160">
        <v>122</v>
      </c>
      <c r="K1160">
        <v>31</v>
      </c>
      <c r="S1160">
        <v>27</v>
      </c>
      <c r="U1160">
        <v>0</v>
      </c>
      <c r="V1160">
        <v>0</v>
      </c>
      <c r="W1160" s="1">
        <v>44160</v>
      </c>
      <c r="AA1160" t="s">
        <v>40</v>
      </c>
      <c r="AC1160" t="s">
        <v>40</v>
      </c>
      <c r="AD1160" t="s">
        <v>40</v>
      </c>
      <c r="AE1160" t="s">
        <v>40</v>
      </c>
      <c r="AF1160" t="s">
        <v>40</v>
      </c>
      <c r="AG1160" t="s">
        <v>40</v>
      </c>
      <c r="AH1160" t="s">
        <v>40</v>
      </c>
      <c r="AI1160" t="s">
        <v>40</v>
      </c>
      <c r="AK1160" t="s">
        <v>40</v>
      </c>
    </row>
    <row r="1161" spans="1:37" x14ac:dyDescent="0.3">
      <c r="A1161">
        <v>2019</v>
      </c>
      <c r="B1161">
        <v>10</v>
      </c>
      <c r="C1161" t="str">
        <f t="shared" si="36"/>
        <v>10/01/2019</v>
      </c>
      <c r="D1161" s="1" t="str">
        <f t="shared" si="37"/>
        <v>10/01/2019</v>
      </c>
      <c r="E1161" t="s">
        <v>55</v>
      </c>
      <c r="F1161" t="s">
        <v>50</v>
      </c>
      <c r="G1161" t="s">
        <v>49</v>
      </c>
      <c r="H1161">
        <v>71</v>
      </c>
      <c r="I1161">
        <v>67</v>
      </c>
      <c r="K1161">
        <v>11</v>
      </c>
      <c r="L1161">
        <v>0</v>
      </c>
      <c r="S1161">
        <v>20</v>
      </c>
      <c r="U1161">
        <v>0</v>
      </c>
      <c r="V1161">
        <v>0</v>
      </c>
      <c r="W1161" s="1">
        <v>44160</v>
      </c>
      <c r="AA1161" t="s">
        <v>40</v>
      </c>
      <c r="AD1161" t="s">
        <v>40</v>
      </c>
      <c r="AE1161" t="s">
        <v>40</v>
      </c>
      <c r="AF1161" t="s">
        <v>40</v>
      </c>
      <c r="AG1161" t="s">
        <v>40</v>
      </c>
      <c r="AH1161" t="s">
        <v>40</v>
      </c>
      <c r="AI1161" t="s">
        <v>40</v>
      </c>
      <c r="AK1161" t="s">
        <v>40</v>
      </c>
    </row>
    <row r="1162" spans="1:37" x14ac:dyDescent="0.3">
      <c r="A1162">
        <v>2019</v>
      </c>
      <c r="B1162">
        <v>10</v>
      </c>
      <c r="C1162" t="str">
        <f t="shared" si="36"/>
        <v>10/01/2019</v>
      </c>
      <c r="D1162" s="1" t="str">
        <f t="shared" si="37"/>
        <v>10/01/2019</v>
      </c>
      <c r="E1162" t="s">
        <v>55</v>
      </c>
      <c r="F1162" t="s">
        <v>51</v>
      </c>
      <c r="G1162" t="s">
        <v>39</v>
      </c>
      <c r="H1162">
        <v>33</v>
      </c>
      <c r="I1162">
        <v>30</v>
      </c>
      <c r="J1162">
        <v>0</v>
      </c>
      <c r="L1162">
        <v>0</v>
      </c>
      <c r="M1162">
        <v>0</v>
      </c>
      <c r="O1162">
        <v>0</v>
      </c>
      <c r="U1162">
        <v>0</v>
      </c>
      <c r="V1162">
        <v>0</v>
      </c>
      <c r="W1162" s="1">
        <v>44160</v>
      </c>
      <c r="AB1162" t="s">
        <v>40</v>
      </c>
      <c r="AE1162" t="s">
        <v>40</v>
      </c>
      <c r="AG1162" t="s">
        <v>40</v>
      </c>
      <c r="AH1162" t="s">
        <v>40</v>
      </c>
      <c r="AI1162" t="s">
        <v>40</v>
      </c>
      <c r="AJ1162" t="s">
        <v>40</v>
      </c>
      <c r="AK1162" t="s">
        <v>40</v>
      </c>
    </row>
    <row r="1163" spans="1:37" x14ac:dyDescent="0.3">
      <c r="A1163">
        <v>2019</v>
      </c>
      <c r="B1163">
        <v>10</v>
      </c>
      <c r="C1163" t="str">
        <f t="shared" si="36"/>
        <v>10/01/2019</v>
      </c>
      <c r="D1163" s="1" t="str">
        <f t="shared" si="37"/>
        <v>10/01/2019</v>
      </c>
      <c r="E1163" t="s">
        <v>55</v>
      </c>
      <c r="F1163" t="s">
        <v>51</v>
      </c>
      <c r="G1163" t="s">
        <v>41</v>
      </c>
      <c r="H1163">
        <v>54</v>
      </c>
      <c r="I1163">
        <v>11</v>
      </c>
      <c r="J1163">
        <v>0</v>
      </c>
      <c r="K1163">
        <v>0</v>
      </c>
      <c r="L1163">
        <v>0</v>
      </c>
      <c r="M1163">
        <v>0</v>
      </c>
      <c r="O1163">
        <v>0</v>
      </c>
      <c r="P1163">
        <v>0</v>
      </c>
      <c r="S1163">
        <v>0</v>
      </c>
      <c r="U1163">
        <v>0</v>
      </c>
      <c r="V1163">
        <v>0</v>
      </c>
      <c r="W1163" s="1">
        <v>44160</v>
      </c>
      <c r="AE1163" t="s">
        <v>40</v>
      </c>
      <c r="AH1163" t="s">
        <v>40</v>
      </c>
      <c r="AI1163" t="s">
        <v>40</v>
      </c>
      <c r="AK1163" t="s">
        <v>40</v>
      </c>
    </row>
    <row r="1164" spans="1:37" x14ac:dyDescent="0.3">
      <c r="A1164">
        <v>2019</v>
      </c>
      <c r="B1164">
        <v>10</v>
      </c>
      <c r="C1164" t="str">
        <f t="shared" si="36"/>
        <v>10/01/2019</v>
      </c>
      <c r="D1164" s="1" t="str">
        <f t="shared" si="37"/>
        <v>10/01/2019</v>
      </c>
      <c r="E1164" t="s">
        <v>55</v>
      </c>
      <c r="F1164" t="s">
        <v>51</v>
      </c>
      <c r="G1164" t="s">
        <v>42</v>
      </c>
      <c r="H1164">
        <v>70</v>
      </c>
      <c r="I1164">
        <v>23</v>
      </c>
      <c r="M1164">
        <v>0</v>
      </c>
      <c r="N1164">
        <v>0</v>
      </c>
      <c r="O1164">
        <v>0</v>
      </c>
      <c r="P1164">
        <v>0</v>
      </c>
      <c r="Q1164">
        <v>0</v>
      </c>
      <c r="U1164">
        <v>0</v>
      </c>
      <c r="V1164">
        <v>0</v>
      </c>
      <c r="W1164" s="1">
        <v>44160</v>
      </c>
      <c r="AA1164" t="s">
        <v>40</v>
      </c>
      <c r="AB1164" t="s">
        <v>40</v>
      </c>
      <c r="AC1164" t="s">
        <v>40</v>
      </c>
      <c r="AI1164" t="s">
        <v>40</v>
      </c>
      <c r="AJ1164" t="s">
        <v>40</v>
      </c>
      <c r="AK1164" t="s">
        <v>40</v>
      </c>
    </row>
    <row r="1165" spans="1:37" x14ac:dyDescent="0.3">
      <c r="A1165">
        <v>2019</v>
      </c>
      <c r="B1165">
        <v>10</v>
      </c>
      <c r="C1165" t="str">
        <f t="shared" si="36"/>
        <v>10/01/2019</v>
      </c>
      <c r="D1165" s="1" t="str">
        <f t="shared" si="37"/>
        <v>10/01/2019</v>
      </c>
      <c r="E1165" t="s">
        <v>55</v>
      </c>
      <c r="F1165" t="s">
        <v>51</v>
      </c>
      <c r="G1165" t="s">
        <v>43</v>
      </c>
      <c r="H1165">
        <v>99</v>
      </c>
      <c r="I1165">
        <v>60</v>
      </c>
      <c r="K1165">
        <v>16</v>
      </c>
      <c r="L1165">
        <v>0</v>
      </c>
      <c r="M1165">
        <v>0</v>
      </c>
      <c r="N1165">
        <v>0</v>
      </c>
      <c r="O1165">
        <v>0</v>
      </c>
      <c r="R1165">
        <v>0</v>
      </c>
      <c r="S1165">
        <v>16</v>
      </c>
      <c r="U1165">
        <v>0</v>
      </c>
      <c r="V1165">
        <v>0</v>
      </c>
      <c r="W1165" s="1">
        <v>44160</v>
      </c>
      <c r="AA1165" t="s">
        <v>40</v>
      </c>
      <c r="AG1165" t="s">
        <v>40</v>
      </c>
      <c r="AH1165" t="s">
        <v>40</v>
      </c>
      <c r="AK1165" t="s">
        <v>40</v>
      </c>
    </row>
    <row r="1166" spans="1:37" x14ac:dyDescent="0.3">
      <c r="A1166">
        <v>2019</v>
      </c>
      <c r="B1166">
        <v>10</v>
      </c>
      <c r="C1166" t="str">
        <f t="shared" si="36"/>
        <v>10/01/2019</v>
      </c>
      <c r="D1166" s="1" t="str">
        <f t="shared" si="37"/>
        <v>10/01/2019</v>
      </c>
      <c r="E1166" t="s">
        <v>55</v>
      </c>
      <c r="F1166" t="s">
        <v>51</v>
      </c>
      <c r="G1166" t="s">
        <v>44</v>
      </c>
      <c r="H1166">
        <v>221</v>
      </c>
      <c r="I1166">
        <v>178</v>
      </c>
      <c r="K1166">
        <v>70</v>
      </c>
      <c r="M1166">
        <v>0</v>
      </c>
      <c r="S1166">
        <v>40</v>
      </c>
      <c r="T1166">
        <v>12</v>
      </c>
      <c r="U1166">
        <v>0</v>
      </c>
      <c r="V1166">
        <v>0</v>
      </c>
      <c r="W1166" s="1">
        <v>44160</v>
      </c>
      <c r="AA1166" t="s">
        <v>40</v>
      </c>
      <c r="AC1166" t="s">
        <v>40</v>
      </c>
      <c r="AE1166" t="s">
        <v>40</v>
      </c>
      <c r="AF1166" t="s">
        <v>40</v>
      </c>
      <c r="AG1166" t="s">
        <v>40</v>
      </c>
      <c r="AH1166" t="s">
        <v>40</v>
      </c>
      <c r="AI1166" t="s">
        <v>40</v>
      </c>
    </row>
    <row r="1167" spans="1:37" x14ac:dyDescent="0.3">
      <c r="A1167">
        <v>2019</v>
      </c>
      <c r="B1167">
        <v>10</v>
      </c>
      <c r="C1167" t="str">
        <f t="shared" si="36"/>
        <v>10/01/2019</v>
      </c>
      <c r="D1167" s="1" t="str">
        <f t="shared" si="37"/>
        <v>10/01/2019</v>
      </c>
      <c r="E1167" t="s">
        <v>55</v>
      </c>
      <c r="F1167" t="s">
        <v>51</v>
      </c>
      <c r="G1167" t="s">
        <v>45</v>
      </c>
      <c r="J1167">
        <v>0</v>
      </c>
      <c r="K1167">
        <v>0</v>
      </c>
      <c r="L1167">
        <v>0</v>
      </c>
      <c r="M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 s="1">
        <v>44160</v>
      </c>
      <c r="Y1167" t="s">
        <v>40</v>
      </c>
      <c r="Z1167" t="s">
        <v>40</v>
      </c>
      <c r="AE1167" t="s">
        <v>40</v>
      </c>
    </row>
    <row r="1168" spans="1:37" x14ac:dyDescent="0.3">
      <c r="A1168">
        <v>2019</v>
      </c>
      <c r="B1168">
        <v>10</v>
      </c>
      <c r="C1168" t="str">
        <f t="shared" si="36"/>
        <v>10/01/2019</v>
      </c>
      <c r="D1168" s="1" t="str">
        <f t="shared" si="37"/>
        <v>10/01/2019</v>
      </c>
      <c r="E1168" t="s">
        <v>55</v>
      </c>
      <c r="F1168" t="s">
        <v>51</v>
      </c>
      <c r="G1168" t="s">
        <v>46</v>
      </c>
      <c r="H1168">
        <v>405</v>
      </c>
      <c r="I1168">
        <v>370</v>
      </c>
      <c r="K1168">
        <v>140</v>
      </c>
      <c r="L1168">
        <v>23</v>
      </c>
      <c r="S1168">
        <v>94</v>
      </c>
      <c r="T1168">
        <v>24</v>
      </c>
      <c r="U1168">
        <v>0</v>
      </c>
      <c r="V1168">
        <v>0</v>
      </c>
      <c r="W1168" s="1">
        <v>44160</v>
      </c>
      <c r="AA1168" t="s">
        <v>40</v>
      </c>
      <c r="AD1168" t="s">
        <v>40</v>
      </c>
      <c r="AE1168" t="s">
        <v>40</v>
      </c>
      <c r="AF1168" t="s">
        <v>40</v>
      </c>
      <c r="AG1168" t="s">
        <v>40</v>
      </c>
      <c r="AH1168" t="s">
        <v>40</v>
      </c>
      <c r="AI1168" t="s">
        <v>40</v>
      </c>
    </row>
    <row r="1169" spans="1:37" x14ac:dyDescent="0.3">
      <c r="A1169">
        <v>2019</v>
      </c>
      <c r="B1169">
        <v>10</v>
      </c>
      <c r="C1169" t="str">
        <f t="shared" si="36"/>
        <v>10/01/2019</v>
      </c>
      <c r="D1169" s="1" t="str">
        <f t="shared" si="37"/>
        <v>10/01/2019</v>
      </c>
      <c r="E1169" t="s">
        <v>55</v>
      </c>
      <c r="F1169" t="s">
        <v>51</v>
      </c>
      <c r="G1169" t="s">
        <v>47</v>
      </c>
      <c r="H1169">
        <v>562</v>
      </c>
      <c r="I1169">
        <v>531</v>
      </c>
      <c r="K1169">
        <v>204</v>
      </c>
      <c r="L1169">
        <v>33</v>
      </c>
      <c r="M1169">
        <v>0</v>
      </c>
      <c r="O1169">
        <v>14</v>
      </c>
      <c r="P1169">
        <v>13</v>
      </c>
      <c r="Q1169">
        <v>13</v>
      </c>
      <c r="S1169">
        <v>131</v>
      </c>
      <c r="T1169">
        <v>33</v>
      </c>
      <c r="U1169">
        <v>0</v>
      </c>
      <c r="V1169">
        <v>0</v>
      </c>
      <c r="W1169" s="1">
        <v>44160</v>
      </c>
      <c r="AA1169" t="s">
        <v>40</v>
      </c>
      <c r="AE1169" t="s">
        <v>40</v>
      </c>
      <c r="AI1169" t="s">
        <v>40</v>
      </c>
    </row>
    <row r="1170" spans="1:37" x14ac:dyDescent="0.3">
      <c r="A1170">
        <v>2019</v>
      </c>
      <c r="B1170">
        <v>10</v>
      </c>
      <c r="C1170" t="str">
        <f t="shared" si="36"/>
        <v>10/01/2019</v>
      </c>
      <c r="D1170" s="1" t="str">
        <f t="shared" si="37"/>
        <v>10/01/2019</v>
      </c>
      <c r="E1170" t="s">
        <v>55</v>
      </c>
      <c r="F1170" t="s">
        <v>51</v>
      </c>
      <c r="G1170" t="s">
        <v>48</v>
      </c>
      <c r="H1170">
        <v>799</v>
      </c>
      <c r="I1170">
        <v>760</v>
      </c>
      <c r="K1170">
        <v>206</v>
      </c>
      <c r="L1170">
        <v>36</v>
      </c>
      <c r="M1170">
        <v>28</v>
      </c>
      <c r="N1170">
        <v>13</v>
      </c>
      <c r="O1170">
        <v>33</v>
      </c>
      <c r="P1170">
        <v>15</v>
      </c>
      <c r="Q1170">
        <v>20</v>
      </c>
      <c r="S1170">
        <v>188</v>
      </c>
      <c r="T1170">
        <v>61</v>
      </c>
      <c r="U1170">
        <v>0</v>
      </c>
      <c r="V1170">
        <v>0</v>
      </c>
      <c r="W1170" s="1">
        <v>44160</v>
      </c>
      <c r="AA1170" t="s">
        <v>40</v>
      </c>
      <c r="AI1170" t="s">
        <v>40</v>
      </c>
    </row>
    <row r="1171" spans="1:37" x14ac:dyDescent="0.3">
      <c r="A1171">
        <v>2019</v>
      </c>
      <c r="B1171">
        <v>10</v>
      </c>
      <c r="C1171" t="str">
        <f t="shared" si="36"/>
        <v>10/01/2019</v>
      </c>
      <c r="D1171" s="1" t="str">
        <f t="shared" si="37"/>
        <v>10/01/2019</v>
      </c>
      <c r="E1171" t="s">
        <v>55</v>
      </c>
      <c r="F1171" t="s">
        <v>51</v>
      </c>
      <c r="G1171" t="s">
        <v>49</v>
      </c>
      <c r="H1171">
        <v>797</v>
      </c>
      <c r="I1171">
        <v>766</v>
      </c>
      <c r="J1171">
        <v>11</v>
      </c>
      <c r="K1171">
        <v>121</v>
      </c>
      <c r="L1171">
        <v>27</v>
      </c>
      <c r="M1171">
        <v>46</v>
      </c>
      <c r="N1171">
        <v>22</v>
      </c>
      <c r="O1171">
        <v>37</v>
      </c>
      <c r="Q1171">
        <v>22</v>
      </c>
      <c r="S1171">
        <v>191</v>
      </c>
      <c r="T1171">
        <v>75</v>
      </c>
      <c r="U1171">
        <v>0</v>
      </c>
      <c r="V1171">
        <v>0</v>
      </c>
      <c r="W1171" s="1">
        <v>44160</v>
      </c>
      <c r="AG1171" t="s">
        <v>40</v>
      </c>
      <c r="AI1171" t="s">
        <v>40</v>
      </c>
    </row>
    <row r="1172" spans="1:37" x14ac:dyDescent="0.3">
      <c r="A1172">
        <v>2019</v>
      </c>
      <c r="B1172">
        <v>10</v>
      </c>
      <c r="C1172" t="str">
        <f t="shared" si="36"/>
        <v>10/01/2019</v>
      </c>
      <c r="D1172" s="1" t="str">
        <f t="shared" si="37"/>
        <v>10/01/2019</v>
      </c>
      <c r="E1172" t="s">
        <v>55</v>
      </c>
      <c r="F1172" t="s">
        <v>52</v>
      </c>
      <c r="G1172" t="s">
        <v>39</v>
      </c>
      <c r="H1172">
        <v>286</v>
      </c>
      <c r="I1172">
        <v>248</v>
      </c>
      <c r="L1172">
        <v>0</v>
      </c>
      <c r="M1172">
        <v>0</v>
      </c>
      <c r="N1172">
        <v>0</v>
      </c>
      <c r="R1172">
        <v>40</v>
      </c>
      <c r="U1172">
        <v>0</v>
      </c>
      <c r="V1172">
        <v>0</v>
      </c>
      <c r="W1172" s="1">
        <v>44160</v>
      </c>
      <c r="AA1172" t="s">
        <v>40</v>
      </c>
      <c r="AB1172" t="s">
        <v>40</v>
      </c>
      <c r="AF1172" t="s">
        <v>40</v>
      </c>
      <c r="AG1172" t="s">
        <v>40</v>
      </c>
      <c r="AH1172" t="s">
        <v>40</v>
      </c>
      <c r="AJ1172" t="s">
        <v>40</v>
      </c>
      <c r="AK1172" t="s">
        <v>40</v>
      </c>
    </row>
    <row r="1173" spans="1:37" x14ac:dyDescent="0.3">
      <c r="A1173">
        <v>2019</v>
      </c>
      <c r="B1173">
        <v>10</v>
      </c>
      <c r="C1173" t="str">
        <f t="shared" si="36"/>
        <v>10/01/2019</v>
      </c>
      <c r="D1173" s="1" t="str">
        <f t="shared" si="37"/>
        <v>10/01/2019</v>
      </c>
      <c r="E1173" t="s">
        <v>55</v>
      </c>
      <c r="F1173" t="s">
        <v>52</v>
      </c>
      <c r="G1173" t="s">
        <v>41</v>
      </c>
      <c r="H1173">
        <v>471</v>
      </c>
      <c r="I1173">
        <v>63</v>
      </c>
      <c r="J1173">
        <v>0</v>
      </c>
      <c r="M1173">
        <v>0</v>
      </c>
      <c r="P1173">
        <v>0</v>
      </c>
      <c r="S1173">
        <v>15</v>
      </c>
      <c r="T1173">
        <v>0</v>
      </c>
      <c r="U1173">
        <v>0</v>
      </c>
      <c r="V1173">
        <v>0</v>
      </c>
      <c r="W1173" s="1">
        <v>44160</v>
      </c>
      <c r="AB1173" t="s">
        <v>40</v>
      </c>
      <c r="AC1173" t="s">
        <v>40</v>
      </c>
      <c r="AE1173" t="s">
        <v>40</v>
      </c>
      <c r="AF1173" t="s">
        <v>40</v>
      </c>
      <c r="AH1173" t="s">
        <v>40</v>
      </c>
      <c r="AI1173" t="s">
        <v>40</v>
      </c>
    </row>
    <row r="1174" spans="1:37" x14ac:dyDescent="0.3">
      <c r="A1174">
        <v>2019</v>
      </c>
      <c r="B1174">
        <v>10</v>
      </c>
      <c r="C1174" t="str">
        <f t="shared" si="36"/>
        <v>10/01/2019</v>
      </c>
      <c r="D1174" s="1" t="str">
        <f t="shared" si="37"/>
        <v>10/01/2019</v>
      </c>
      <c r="E1174" t="s">
        <v>55</v>
      </c>
      <c r="F1174" t="s">
        <v>52</v>
      </c>
      <c r="G1174" t="s">
        <v>42</v>
      </c>
      <c r="H1174">
        <v>731</v>
      </c>
      <c r="I1174">
        <v>212</v>
      </c>
      <c r="K1174">
        <v>23</v>
      </c>
      <c r="L1174">
        <v>14</v>
      </c>
      <c r="M1174">
        <v>0</v>
      </c>
      <c r="R1174">
        <v>10</v>
      </c>
      <c r="S1174">
        <v>52</v>
      </c>
      <c r="U1174">
        <v>0</v>
      </c>
      <c r="V1174">
        <v>0</v>
      </c>
      <c r="W1174" s="1">
        <v>44160</v>
      </c>
      <c r="AA1174" t="s">
        <v>40</v>
      </c>
      <c r="AE1174" t="s">
        <v>40</v>
      </c>
      <c r="AF1174" t="s">
        <v>40</v>
      </c>
      <c r="AG1174" t="s">
        <v>40</v>
      </c>
      <c r="AH1174" t="s">
        <v>40</v>
      </c>
      <c r="AK1174" t="s">
        <v>40</v>
      </c>
    </row>
    <row r="1175" spans="1:37" x14ac:dyDescent="0.3">
      <c r="A1175">
        <v>2019</v>
      </c>
      <c r="B1175">
        <v>10</v>
      </c>
      <c r="C1175" t="str">
        <f t="shared" si="36"/>
        <v>10/01/2019</v>
      </c>
      <c r="D1175" s="1" t="str">
        <f t="shared" si="37"/>
        <v>10/01/2019</v>
      </c>
      <c r="E1175" t="s">
        <v>55</v>
      </c>
      <c r="F1175" t="s">
        <v>52</v>
      </c>
      <c r="G1175" t="s">
        <v>43</v>
      </c>
      <c r="H1175">
        <v>928</v>
      </c>
      <c r="I1175">
        <v>502</v>
      </c>
      <c r="K1175">
        <v>77</v>
      </c>
      <c r="L1175">
        <v>26</v>
      </c>
      <c r="Q1175">
        <v>16</v>
      </c>
      <c r="R1175">
        <v>11</v>
      </c>
      <c r="S1175">
        <v>167</v>
      </c>
      <c r="T1175">
        <v>25</v>
      </c>
      <c r="U1175">
        <v>0</v>
      </c>
      <c r="V1175">
        <v>0</v>
      </c>
      <c r="W1175" s="1">
        <v>44160</v>
      </c>
      <c r="AA1175" t="s">
        <v>40</v>
      </c>
      <c r="AD1175" t="s">
        <v>40</v>
      </c>
      <c r="AE1175" t="s">
        <v>40</v>
      </c>
      <c r="AF1175" t="s">
        <v>40</v>
      </c>
      <c r="AG1175" t="s">
        <v>40</v>
      </c>
    </row>
    <row r="1176" spans="1:37" x14ac:dyDescent="0.3">
      <c r="A1176">
        <v>2019</v>
      </c>
      <c r="B1176">
        <v>10</v>
      </c>
      <c r="C1176" t="str">
        <f t="shared" si="36"/>
        <v>10/01/2019</v>
      </c>
      <c r="D1176" s="1" t="str">
        <f t="shared" si="37"/>
        <v>10/01/2019</v>
      </c>
      <c r="E1176" t="s">
        <v>55</v>
      </c>
      <c r="F1176" t="s">
        <v>52</v>
      </c>
      <c r="G1176" t="s">
        <v>44</v>
      </c>
      <c r="H1176" s="2">
        <v>1426</v>
      </c>
      <c r="I1176" s="2">
        <v>1092</v>
      </c>
      <c r="J1176">
        <v>21</v>
      </c>
      <c r="K1176">
        <v>209</v>
      </c>
      <c r="L1176">
        <v>67</v>
      </c>
      <c r="M1176">
        <v>0</v>
      </c>
      <c r="N1176">
        <v>14</v>
      </c>
      <c r="O1176">
        <v>24</v>
      </c>
      <c r="P1176">
        <v>14</v>
      </c>
      <c r="Q1176">
        <v>37</v>
      </c>
      <c r="R1176">
        <v>23</v>
      </c>
      <c r="S1176">
        <v>375</v>
      </c>
      <c r="T1176">
        <v>62</v>
      </c>
      <c r="U1176">
        <v>0</v>
      </c>
      <c r="V1176">
        <v>0</v>
      </c>
      <c r="W1176" s="1">
        <v>44160</v>
      </c>
    </row>
    <row r="1177" spans="1:37" x14ac:dyDescent="0.3">
      <c r="A1177">
        <v>2019</v>
      </c>
      <c r="B1177">
        <v>10</v>
      </c>
      <c r="C1177" t="str">
        <f t="shared" si="36"/>
        <v>10/01/2019</v>
      </c>
      <c r="D1177" s="1" t="str">
        <f t="shared" si="37"/>
        <v>10/01/2019</v>
      </c>
      <c r="E1177" t="s">
        <v>55</v>
      </c>
      <c r="F1177" t="s">
        <v>52</v>
      </c>
      <c r="G1177" t="s">
        <v>45</v>
      </c>
      <c r="H1177">
        <v>57</v>
      </c>
      <c r="I1177">
        <v>36</v>
      </c>
      <c r="L1177">
        <v>0</v>
      </c>
      <c r="M1177">
        <v>0</v>
      </c>
      <c r="N1177">
        <v>0</v>
      </c>
      <c r="O1177">
        <v>11</v>
      </c>
      <c r="Q1177">
        <v>0</v>
      </c>
      <c r="T1177">
        <v>0</v>
      </c>
      <c r="U1177">
        <v>0</v>
      </c>
      <c r="V1177">
        <v>0</v>
      </c>
      <c r="W1177" s="1">
        <v>44160</v>
      </c>
      <c r="AA1177" t="s">
        <v>40</v>
      </c>
      <c r="AB1177" t="s">
        <v>40</v>
      </c>
      <c r="AG1177" t="s">
        <v>40</v>
      </c>
      <c r="AI1177" t="s">
        <v>40</v>
      </c>
      <c r="AJ1177" t="s">
        <v>40</v>
      </c>
    </row>
    <row r="1178" spans="1:37" x14ac:dyDescent="0.3">
      <c r="A1178">
        <v>2019</v>
      </c>
      <c r="B1178">
        <v>10</v>
      </c>
      <c r="C1178" t="str">
        <f t="shared" si="36"/>
        <v>10/01/2019</v>
      </c>
      <c r="D1178" s="1" t="str">
        <f t="shared" si="37"/>
        <v>10/01/2019</v>
      </c>
      <c r="E1178" t="s">
        <v>55</v>
      </c>
      <c r="F1178" t="s">
        <v>52</v>
      </c>
      <c r="G1178" t="s">
        <v>46</v>
      </c>
      <c r="H1178" s="2">
        <v>3187</v>
      </c>
      <c r="I1178" s="2">
        <v>2850</v>
      </c>
      <c r="J1178">
        <v>50</v>
      </c>
      <c r="K1178">
        <v>803</v>
      </c>
      <c r="L1178">
        <v>146</v>
      </c>
      <c r="N1178">
        <v>44</v>
      </c>
      <c r="O1178">
        <v>77</v>
      </c>
      <c r="P1178">
        <v>33</v>
      </c>
      <c r="Q1178">
        <v>67</v>
      </c>
      <c r="R1178">
        <v>37</v>
      </c>
      <c r="S1178">
        <v>858</v>
      </c>
      <c r="T1178">
        <v>151</v>
      </c>
      <c r="U1178">
        <v>0</v>
      </c>
      <c r="V1178">
        <v>0</v>
      </c>
      <c r="W1178" s="1">
        <v>44160</v>
      </c>
      <c r="AD1178" t="s">
        <v>40</v>
      </c>
    </row>
    <row r="1179" spans="1:37" x14ac:dyDescent="0.3">
      <c r="A1179">
        <v>2019</v>
      </c>
      <c r="B1179">
        <v>10</v>
      </c>
      <c r="C1179" t="str">
        <f t="shared" si="36"/>
        <v>10/01/2019</v>
      </c>
      <c r="D1179" s="1" t="str">
        <f t="shared" si="37"/>
        <v>10/01/2019</v>
      </c>
      <c r="E1179" t="s">
        <v>55</v>
      </c>
      <c r="F1179" t="s">
        <v>52</v>
      </c>
      <c r="G1179" t="s">
        <v>47</v>
      </c>
      <c r="H1179" s="2">
        <v>3552</v>
      </c>
      <c r="I1179" s="2">
        <v>3384</v>
      </c>
      <c r="J1179">
        <v>79</v>
      </c>
      <c r="K1179">
        <v>995</v>
      </c>
      <c r="L1179">
        <v>185</v>
      </c>
      <c r="M1179">
        <v>31</v>
      </c>
      <c r="N1179">
        <v>37</v>
      </c>
      <c r="O1179">
        <v>126</v>
      </c>
      <c r="P1179">
        <v>43</v>
      </c>
      <c r="Q1179">
        <v>96</v>
      </c>
      <c r="R1179">
        <v>26</v>
      </c>
      <c r="S1179">
        <v>938</v>
      </c>
      <c r="T1179">
        <v>216</v>
      </c>
      <c r="U1179">
        <v>0</v>
      </c>
      <c r="V1179">
        <v>0</v>
      </c>
      <c r="W1179" s="1">
        <v>44160</v>
      </c>
    </row>
    <row r="1180" spans="1:37" x14ac:dyDescent="0.3">
      <c r="A1180">
        <v>2019</v>
      </c>
      <c r="B1180">
        <v>10</v>
      </c>
      <c r="C1180" t="str">
        <f t="shared" si="36"/>
        <v>10/01/2019</v>
      </c>
      <c r="D1180" s="1" t="str">
        <f t="shared" si="37"/>
        <v>10/01/2019</v>
      </c>
      <c r="E1180" t="s">
        <v>55</v>
      </c>
      <c r="F1180" t="s">
        <v>52</v>
      </c>
      <c r="G1180" t="s">
        <v>48</v>
      </c>
      <c r="H1180" s="2">
        <v>2634</v>
      </c>
      <c r="I1180" s="2">
        <v>2573</v>
      </c>
      <c r="J1180">
        <v>60</v>
      </c>
      <c r="K1180">
        <v>644</v>
      </c>
      <c r="L1180">
        <v>129</v>
      </c>
      <c r="M1180">
        <v>74</v>
      </c>
      <c r="N1180">
        <v>35</v>
      </c>
      <c r="O1180">
        <v>108</v>
      </c>
      <c r="P1180">
        <v>37</v>
      </c>
      <c r="Q1180">
        <v>90</v>
      </c>
      <c r="R1180">
        <v>15</v>
      </c>
      <c r="S1180">
        <v>660</v>
      </c>
      <c r="T1180">
        <v>196</v>
      </c>
      <c r="U1180">
        <v>0</v>
      </c>
      <c r="V1180">
        <v>0</v>
      </c>
      <c r="W1180" s="1">
        <v>44160</v>
      </c>
    </row>
    <row r="1181" spans="1:37" x14ac:dyDescent="0.3">
      <c r="A1181">
        <v>2019</v>
      </c>
      <c r="B1181">
        <v>10</v>
      </c>
      <c r="C1181" t="str">
        <f t="shared" si="36"/>
        <v>10/01/2019</v>
      </c>
      <c r="D1181" s="1" t="str">
        <f t="shared" si="37"/>
        <v>10/01/2019</v>
      </c>
      <c r="E1181" t="s">
        <v>55</v>
      </c>
      <c r="F1181" t="s">
        <v>52</v>
      </c>
      <c r="G1181" t="s">
        <v>49</v>
      </c>
      <c r="H1181" s="2">
        <v>1761</v>
      </c>
      <c r="I1181" s="2">
        <v>1728</v>
      </c>
      <c r="J1181">
        <v>32</v>
      </c>
      <c r="K1181">
        <v>318</v>
      </c>
      <c r="L1181">
        <v>69</v>
      </c>
      <c r="M1181">
        <v>106</v>
      </c>
      <c r="N1181">
        <v>44</v>
      </c>
      <c r="O1181">
        <v>62</v>
      </c>
      <c r="P1181">
        <v>18</v>
      </c>
      <c r="Q1181">
        <v>55</v>
      </c>
      <c r="R1181">
        <v>16</v>
      </c>
      <c r="S1181">
        <v>478</v>
      </c>
      <c r="T1181">
        <v>113</v>
      </c>
      <c r="U1181">
        <v>0</v>
      </c>
      <c r="V1181">
        <v>0</v>
      </c>
      <c r="W1181" s="1">
        <v>44160</v>
      </c>
    </row>
    <row r="1182" spans="1:37" x14ac:dyDescent="0.3">
      <c r="A1182">
        <v>2019</v>
      </c>
      <c r="B1182">
        <v>10</v>
      </c>
      <c r="C1182" t="str">
        <f t="shared" si="36"/>
        <v>10/01/2019</v>
      </c>
      <c r="D1182" s="1" t="str">
        <f t="shared" si="37"/>
        <v>10/01/2019</v>
      </c>
      <c r="E1182" t="s">
        <v>55</v>
      </c>
      <c r="F1182" t="s">
        <v>53</v>
      </c>
      <c r="G1182" t="s">
        <v>39</v>
      </c>
      <c r="H1182">
        <v>437</v>
      </c>
      <c r="I1182">
        <v>375</v>
      </c>
      <c r="K1182">
        <v>13</v>
      </c>
      <c r="L1182">
        <v>0</v>
      </c>
      <c r="M1182">
        <v>0</v>
      </c>
      <c r="Q1182">
        <v>0</v>
      </c>
      <c r="R1182">
        <v>47</v>
      </c>
      <c r="U1182">
        <v>0</v>
      </c>
      <c r="V1182">
        <v>0</v>
      </c>
      <c r="W1182" s="1">
        <v>44160</v>
      </c>
      <c r="AA1182" t="s">
        <v>40</v>
      </c>
      <c r="AE1182" t="s">
        <v>40</v>
      </c>
      <c r="AF1182" t="s">
        <v>40</v>
      </c>
      <c r="AG1182" t="s">
        <v>40</v>
      </c>
      <c r="AJ1182" t="s">
        <v>40</v>
      </c>
      <c r="AK1182" t="s">
        <v>40</v>
      </c>
    </row>
    <row r="1183" spans="1:37" x14ac:dyDescent="0.3">
      <c r="A1183">
        <v>2019</v>
      </c>
      <c r="B1183">
        <v>10</v>
      </c>
      <c r="C1183" t="str">
        <f t="shared" si="36"/>
        <v>10/01/2019</v>
      </c>
      <c r="D1183" s="1" t="str">
        <f t="shared" si="37"/>
        <v>10/01/2019</v>
      </c>
      <c r="E1183" t="s">
        <v>55</v>
      </c>
      <c r="F1183" t="s">
        <v>53</v>
      </c>
      <c r="G1183" t="s">
        <v>41</v>
      </c>
      <c r="H1183">
        <v>878</v>
      </c>
      <c r="I1183">
        <v>162</v>
      </c>
      <c r="K1183">
        <v>41</v>
      </c>
      <c r="L1183">
        <v>10</v>
      </c>
      <c r="M1183">
        <v>0</v>
      </c>
      <c r="N1183">
        <v>0</v>
      </c>
      <c r="R1183">
        <v>11</v>
      </c>
      <c r="S1183">
        <v>22</v>
      </c>
      <c r="U1183">
        <v>0</v>
      </c>
      <c r="V1183">
        <v>0</v>
      </c>
      <c r="W1183" s="1">
        <v>44160</v>
      </c>
      <c r="AA1183" t="s">
        <v>40</v>
      </c>
      <c r="AF1183" t="s">
        <v>40</v>
      </c>
      <c r="AG1183" t="s">
        <v>40</v>
      </c>
      <c r="AH1183" t="s">
        <v>40</v>
      </c>
      <c r="AK1183" t="s">
        <v>40</v>
      </c>
    </row>
    <row r="1184" spans="1:37" x14ac:dyDescent="0.3">
      <c r="A1184">
        <v>2019</v>
      </c>
      <c r="B1184">
        <v>10</v>
      </c>
      <c r="C1184" t="str">
        <f t="shared" si="36"/>
        <v>10/01/2019</v>
      </c>
      <c r="D1184" s="1" t="str">
        <f t="shared" si="37"/>
        <v>10/01/2019</v>
      </c>
      <c r="E1184" t="s">
        <v>55</v>
      </c>
      <c r="F1184" t="s">
        <v>53</v>
      </c>
      <c r="G1184" t="s">
        <v>42</v>
      </c>
      <c r="H1184" s="2">
        <v>2045</v>
      </c>
      <c r="I1184">
        <v>495</v>
      </c>
      <c r="K1184">
        <v>78</v>
      </c>
      <c r="L1184">
        <v>28</v>
      </c>
      <c r="M1184">
        <v>0</v>
      </c>
      <c r="R1184">
        <v>39</v>
      </c>
      <c r="S1184">
        <v>87</v>
      </c>
      <c r="U1184">
        <v>0</v>
      </c>
      <c r="V1184">
        <v>0</v>
      </c>
      <c r="W1184" s="1">
        <v>44160</v>
      </c>
      <c r="AA1184" t="s">
        <v>40</v>
      </c>
      <c r="AE1184" t="s">
        <v>40</v>
      </c>
      <c r="AF1184" t="s">
        <v>40</v>
      </c>
      <c r="AG1184" t="s">
        <v>40</v>
      </c>
      <c r="AH1184" t="s">
        <v>40</v>
      </c>
      <c r="AK1184" t="s">
        <v>40</v>
      </c>
    </row>
    <row r="1185" spans="1:37" x14ac:dyDescent="0.3">
      <c r="A1185">
        <v>2019</v>
      </c>
      <c r="B1185">
        <v>10</v>
      </c>
      <c r="C1185" t="str">
        <f t="shared" si="36"/>
        <v>10/01/2019</v>
      </c>
      <c r="D1185" s="1" t="str">
        <f t="shared" si="37"/>
        <v>10/01/2019</v>
      </c>
      <c r="E1185" t="s">
        <v>55</v>
      </c>
      <c r="F1185" t="s">
        <v>53</v>
      </c>
      <c r="G1185" t="s">
        <v>43</v>
      </c>
      <c r="H1185" s="2">
        <v>2611</v>
      </c>
      <c r="I1185" s="2">
        <v>1146</v>
      </c>
      <c r="J1185">
        <v>19</v>
      </c>
      <c r="K1185">
        <v>226</v>
      </c>
      <c r="L1185">
        <v>62</v>
      </c>
      <c r="M1185">
        <v>0</v>
      </c>
      <c r="N1185">
        <v>14</v>
      </c>
      <c r="O1185">
        <v>14</v>
      </c>
      <c r="P1185">
        <v>17</v>
      </c>
      <c r="Q1185">
        <v>12</v>
      </c>
      <c r="R1185">
        <v>43</v>
      </c>
      <c r="S1185">
        <v>297</v>
      </c>
      <c r="T1185">
        <v>41</v>
      </c>
      <c r="U1185">
        <v>0</v>
      </c>
      <c r="V1185">
        <v>0</v>
      </c>
      <c r="W1185" s="1">
        <v>44160</v>
      </c>
    </row>
    <row r="1186" spans="1:37" x14ac:dyDescent="0.3">
      <c r="A1186">
        <v>2019</v>
      </c>
      <c r="B1186">
        <v>10</v>
      </c>
      <c r="C1186" t="str">
        <f t="shared" si="36"/>
        <v>10/01/2019</v>
      </c>
      <c r="D1186" s="1" t="str">
        <f t="shared" si="37"/>
        <v>10/01/2019</v>
      </c>
      <c r="E1186" t="s">
        <v>55</v>
      </c>
      <c r="F1186" t="s">
        <v>53</v>
      </c>
      <c r="G1186" t="s">
        <v>44</v>
      </c>
      <c r="H1186" s="2">
        <v>5301</v>
      </c>
      <c r="I1186" s="2">
        <v>3811</v>
      </c>
      <c r="J1186">
        <v>59</v>
      </c>
      <c r="K1186">
        <v>979</v>
      </c>
      <c r="L1186">
        <v>155</v>
      </c>
      <c r="N1186">
        <v>43</v>
      </c>
      <c r="O1186">
        <v>92</v>
      </c>
      <c r="P1186">
        <v>51</v>
      </c>
      <c r="Q1186">
        <v>55</v>
      </c>
      <c r="R1186">
        <v>59</v>
      </c>
      <c r="S1186" s="2">
        <v>1101</v>
      </c>
      <c r="T1186">
        <v>104</v>
      </c>
      <c r="U1186">
        <v>0</v>
      </c>
      <c r="V1186">
        <v>0</v>
      </c>
      <c r="W1186" s="1">
        <v>44160</v>
      </c>
      <c r="AD1186" t="s">
        <v>40</v>
      </c>
    </row>
    <row r="1187" spans="1:37" x14ac:dyDescent="0.3">
      <c r="A1187">
        <v>2019</v>
      </c>
      <c r="B1187">
        <v>10</v>
      </c>
      <c r="C1187" t="str">
        <f t="shared" si="36"/>
        <v>10/01/2019</v>
      </c>
      <c r="D1187" s="1" t="str">
        <f t="shared" si="37"/>
        <v>10/01/2019</v>
      </c>
      <c r="E1187" t="s">
        <v>55</v>
      </c>
      <c r="F1187" t="s">
        <v>53</v>
      </c>
      <c r="G1187" t="s">
        <v>45</v>
      </c>
      <c r="H1187">
        <v>123</v>
      </c>
      <c r="I1187">
        <v>54</v>
      </c>
      <c r="K1187">
        <v>15</v>
      </c>
      <c r="M1187">
        <v>0</v>
      </c>
      <c r="N1187">
        <v>0</v>
      </c>
      <c r="Q1187">
        <v>0</v>
      </c>
      <c r="T1187">
        <v>0</v>
      </c>
      <c r="U1187">
        <v>0</v>
      </c>
      <c r="V1187">
        <v>0</v>
      </c>
      <c r="W1187" s="1">
        <v>44160</v>
      </c>
      <c r="AA1187" t="s">
        <v>40</v>
      </c>
      <c r="AC1187" t="s">
        <v>40</v>
      </c>
      <c r="AF1187" t="s">
        <v>40</v>
      </c>
      <c r="AG1187" t="s">
        <v>40</v>
      </c>
      <c r="AI1187" t="s">
        <v>40</v>
      </c>
      <c r="AJ1187" t="s">
        <v>40</v>
      </c>
    </row>
    <row r="1188" spans="1:37" x14ac:dyDescent="0.3">
      <c r="A1188">
        <v>2019</v>
      </c>
      <c r="B1188">
        <v>10</v>
      </c>
      <c r="C1188" t="str">
        <f t="shared" si="36"/>
        <v>10/01/2019</v>
      </c>
      <c r="D1188" s="1" t="str">
        <f t="shared" si="37"/>
        <v>10/01/2019</v>
      </c>
      <c r="E1188" t="s">
        <v>55</v>
      </c>
      <c r="F1188" t="s">
        <v>53</v>
      </c>
      <c r="G1188" t="s">
        <v>46</v>
      </c>
      <c r="H1188" s="2">
        <v>13175</v>
      </c>
      <c r="I1188" s="2">
        <v>11633</v>
      </c>
      <c r="J1188">
        <v>175</v>
      </c>
      <c r="K1188" s="2">
        <v>3730</v>
      </c>
      <c r="L1188">
        <v>488</v>
      </c>
      <c r="M1188">
        <v>31</v>
      </c>
      <c r="N1188">
        <v>132</v>
      </c>
      <c r="O1188">
        <v>580</v>
      </c>
      <c r="P1188">
        <v>150</v>
      </c>
      <c r="Q1188">
        <v>156</v>
      </c>
      <c r="R1188">
        <v>120</v>
      </c>
      <c r="S1188" s="2">
        <v>3144</v>
      </c>
      <c r="T1188">
        <v>354</v>
      </c>
      <c r="U1188">
        <v>0</v>
      </c>
      <c r="V1188">
        <v>0</v>
      </c>
      <c r="W1188" s="1">
        <v>44160</v>
      </c>
    </row>
    <row r="1189" spans="1:37" x14ac:dyDescent="0.3">
      <c r="A1189">
        <v>2019</v>
      </c>
      <c r="B1189">
        <v>10</v>
      </c>
      <c r="C1189" t="str">
        <f t="shared" si="36"/>
        <v>10/01/2019</v>
      </c>
      <c r="D1189" s="1" t="str">
        <f t="shared" si="37"/>
        <v>10/01/2019</v>
      </c>
      <c r="E1189" t="s">
        <v>55</v>
      </c>
      <c r="F1189" t="s">
        <v>53</v>
      </c>
      <c r="G1189" t="s">
        <v>47</v>
      </c>
      <c r="H1189" s="2">
        <v>20384</v>
      </c>
      <c r="I1189" s="2">
        <v>19260</v>
      </c>
      <c r="J1189">
        <v>291</v>
      </c>
      <c r="K1189" s="2">
        <v>6308</v>
      </c>
      <c r="L1189">
        <v>763</v>
      </c>
      <c r="M1189">
        <v>221</v>
      </c>
      <c r="N1189">
        <v>237</v>
      </c>
      <c r="O1189" s="2">
        <v>1358</v>
      </c>
      <c r="P1189">
        <v>328</v>
      </c>
      <c r="Q1189">
        <v>326</v>
      </c>
      <c r="R1189">
        <v>139</v>
      </c>
      <c r="S1189" s="2">
        <v>4953</v>
      </c>
      <c r="T1189">
        <v>726</v>
      </c>
      <c r="U1189">
        <v>0</v>
      </c>
      <c r="V1189">
        <v>0</v>
      </c>
      <c r="W1189" s="1">
        <v>44160</v>
      </c>
    </row>
    <row r="1190" spans="1:37" x14ac:dyDescent="0.3">
      <c r="A1190">
        <v>2019</v>
      </c>
      <c r="B1190">
        <v>10</v>
      </c>
      <c r="C1190" t="str">
        <f t="shared" si="36"/>
        <v>10/01/2019</v>
      </c>
      <c r="D1190" s="1" t="str">
        <f t="shared" si="37"/>
        <v>10/01/2019</v>
      </c>
      <c r="E1190" t="s">
        <v>55</v>
      </c>
      <c r="F1190" t="s">
        <v>53</v>
      </c>
      <c r="G1190" t="s">
        <v>48</v>
      </c>
      <c r="H1190" s="2">
        <v>24180</v>
      </c>
      <c r="I1190" s="2">
        <v>23154</v>
      </c>
      <c r="J1190">
        <v>348</v>
      </c>
      <c r="K1190" s="2">
        <v>6110</v>
      </c>
      <c r="L1190">
        <v>720</v>
      </c>
      <c r="M1190">
        <v>918</v>
      </c>
      <c r="N1190">
        <v>374</v>
      </c>
      <c r="O1190" s="2">
        <v>1574</v>
      </c>
      <c r="P1190">
        <v>530</v>
      </c>
      <c r="Q1190">
        <v>477</v>
      </c>
      <c r="R1190">
        <v>196</v>
      </c>
      <c r="S1190" s="2">
        <v>5839</v>
      </c>
      <c r="T1190" s="2">
        <v>1214</v>
      </c>
      <c r="U1190">
        <v>0</v>
      </c>
      <c r="V1190">
        <v>0</v>
      </c>
      <c r="W1190" s="1">
        <v>44160</v>
      </c>
    </row>
    <row r="1191" spans="1:37" x14ac:dyDescent="0.3">
      <c r="A1191">
        <v>2019</v>
      </c>
      <c r="B1191">
        <v>10</v>
      </c>
      <c r="C1191" t="str">
        <f t="shared" si="36"/>
        <v>10/01/2019</v>
      </c>
      <c r="D1191" s="1" t="str">
        <f t="shared" si="37"/>
        <v>10/01/2019</v>
      </c>
      <c r="E1191" t="s">
        <v>55</v>
      </c>
      <c r="F1191" t="s">
        <v>53</v>
      </c>
      <c r="G1191" t="s">
        <v>49</v>
      </c>
      <c r="H1191" s="2">
        <v>23964</v>
      </c>
      <c r="I1191" s="2">
        <v>23022</v>
      </c>
      <c r="J1191">
        <v>253</v>
      </c>
      <c r="K1191" s="2">
        <v>3618</v>
      </c>
      <c r="L1191">
        <v>473</v>
      </c>
      <c r="M1191" s="2">
        <v>1551</v>
      </c>
      <c r="N1191">
        <v>492</v>
      </c>
      <c r="O1191" s="2">
        <v>1192</v>
      </c>
      <c r="P1191">
        <v>408</v>
      </c>
      <c r="Q1191">
        <v>505</v>
      </c>
      <c r="R1191">
        <v>294</v>
      </c>
      <c r="S1191" s="2">
        <v>7242</v>
      </c>
      <c r="T1191" s="2">
        <v>1428</v>
      </c>
      <c r="U1191">
        <v>0</v>
      </c>
      <c r="V1191">
        <v>0</v>
      </c>
      <c r="W1191" s="1">
        <v>44160</v>
      </c>
    </row>
    <row r="1192" spans="1:37" x14ac:dyDescent="0.3">
      <c r="A1192">
        <v>2019</v>
      </c>
      <c r="B1192">
        <v>10</v>
      </c>
      <c r="C1192" t="str">
        <f t="shared" si="36"/>
        <v>10/01/2019</v>
      </c>
      <c r="D1192" s="1" t="str">
        <f t="shared" si="37"/>
        <v>10/01/2019</v>
      </c>
      <c r="E1192" t="s">
        <v>55</v>
      </c>
      <c r="F1192" t="s">
        <v>54</v>
      </c>
      <c r="G1192" t="s">
        <v>39</v>
      </c>
      <c r="H1192">
        <v>49</v>
      </c>
      <c r="I1192">
        <v>39</v>
      </c>
      <c r="J1192">
        <v>0</v>
      </c>
      <c r="L1192">
        <v>0</v>
      </c>
      <c r="M1192">
        <v>0</v>
      </c>
      <c r="N1192">
        <v>0</v>
      </c>
      <c r="O1192">
        <v>0</v>
      </c>
      <c r="Q1192">
        <v>0</v>
      </c>
      <c r="T1192">
        <v>0</v>
      </c>
      <c r="U1192">
        <v>0</v>
      </c>
      <c r="V1192">
        <v>0</v>
      </c>
      <c r="W1192" s="1">
        <v>44160</v>
      </c>
      <c r="AB1192" t="s">
        <v>40</v>
      </c>
      <c r="AG1192" t="s">
        <v>40</v>
      </c>
      <c r="AI1192" t="s">
        <v>40</v>
      </c>
      <c r="AJ1192" t="s">
        <v>40</v>
      </c>
    </row>
    <row r="1193" spans="1:37" x14ac:dyDescent="0.3">
      <c r="A1193">
        <v>2019</v>
      </c>
      <c r="B1193">
        <v>10</v>
      </c>
      <c r="C1193" t="str">
        <f t="shared" si="36"/>
        <v>10/01/2019</v>
      </c>
      <c r="D1193" s="1" t="str">
        <f t="shared" si="37"/>
        <v>10/01/2019</v>
      </c>
      <c r="E1193" t="s">
        <v>55</v>
      </c>
      <c r="F1193" t="s">
        <v>54</v>
      </c>
      <c r="G1193" t="s">
        <v>41</v>
      </c>
      <c r="H1193">
        <v>44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U1193">
        <v>0</v>
      </c>
      <c r="V1193">
        <v>0</v>
      </c>
      <c r="W1193" s="1">
        <v>44160</v>
      </c>
      <c r="Z1193" t="s">
        <v>40</v>
      </c>
      <c r="AA1193" t="s">
        <v>40</v>
      </c>
      <c r="AB1193" t="s">
        <v>40</v>
      </c>
      <c r="AI1193" t="s">
        <v>40</v>
      </c>
      <c r="AJ1193" t="s">
        <v>40</v>
      </c>
      <c r="AK1193" t="s">
        <v>40</v>
      </c>
    </row>
    <row r="1194" spans="1:37" x14ac:dyDescent="0.3">
      <c r="A1194">
        <v>2019</v>
      </c>
      <c r="B1194">
        <v>10</v>
      </c>
      <c r="C1194" t="str">
        <f t="shared" si="36"/>
        <v>10/01/2019</v>
      </c>
      <c r="D1194" s="1" t="str">
        <f t="shared" si="37"/>
        <v>10/01/2019</v>
      </c>
      <c r="E1194" t="s">
        <v>55</v>
      </c>
      <c r="F1194" t="s">
        <v>54</v>
      </c>
      <c r="G1194" t="s">
        <v>42</v>
      </c>
      <c r="H1194">
        <v>55</v>
      </c>
      <c r="I1194">
        <v>13</v>
      </c>
      <c r="J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U1194">
        <v>0</v>
      </c>
      <c r="V1194">
        <v>0</v>
      </c>
      <c r="W1194" s="1">
        <v>44160</v>
      </c>
      <c r="AB1194" t="s">
        <v>40</v>
      </c>
      <c r="AI1194" t="s">
        <v>40</v>
      </c>
      <c r="AJ1194" t="s">
        <v>40</v>
      </c>
      <c r="AK1194" t="s">
        <v>40</v>
      </c>
    </row>
    <row r="1195" spans="1:37" x14ac:dyDescent="0.3">
      <c r="A1195">
        <v>2019</v>
      </c>
      <c r="B1195">
        <v>10</v>
      </c>
      <c r="C1195" t="str">
        <f t="shared" si="36"/>
        <v>10/01/2019</v>
      </c>
      <c r="D1195" s="1" t="str">
        <f t="shared" si="37"/>
        <v>10/01/2019</v>
      </c>
      <c r="E1195" t="s">
        <v>55</v>
      </c>
      <c r="F1195" t="s">
        <v>54</v>
      </c>
      <c r="G1195" t="s">
        <v>43</v>
      </c>
      <c r="H1195">
        <v>59</v>
      </c>
      <c r="I1195">
        <v>32</v>
      </c>
      <c r="J1195">
        <v>0</v>
      </c>
      <c r="L1195">
        <v>0</v>
      </c>
      <c r="M1195">
        <v>0</v>
      </c>
      <c r="N1195">
        <v>0</v>
      </c>
      <c r="P1195">
        <v>0</v>
      </c>
      <c r="R1195">
        <v>0</v>
      </c>
      <c r="S1195">
        <v>11</v>
      </c>
      <c r="U1195">
        <v>0</v>
      </c>
      <c r="V1195">
        <v>0</v>
      </c>
      <c r="W1195" s="1">
        <v>44160</v>
      </c>
      <c r="AB1195" t="s">
        <v>40</v>
      </c>
      <c r="AF1195" t="s">
        <v>40</v>
      </c>
      <c r="AH1195" t="s">
        <v>40</v>
      </c>
      <c r="AK1195" t="s">
        <v>40</v>
      </c>
    </row>
    <row r="1196" spans="1:37" x14ac:dyDescent="0.3">
      <c r="A1196">
        <v>2019</v>
      </c>
      <c r="B1196">
        <v>10</v>
      </c>
      <c r="C1196" t="str">
        <f t="shared" si="36"/>
        <v>10/01/2019</v>
      </c>
      <c r="D1196" s="1" t="str">
        <f t="shared" si="37"/>
        <v>10/01/2019</v>
      </c>
      <c r="E1196" t="s">
        <v>55</v>
      </c>
      <c r="F1196" t="s">
        <v>54</v>
      </c>
      <c r="G1196" t="s">
        <v>44</v>
      </c>
      <c r="H1196">
        <v>114</v>
      </c>
      <c r="I1196">
        <v>77</v>
      </c>
      <c r="K1196">
        <v>15</v>
      </c>
      <c r="M1196">
        <v>0</v>
      </c>
      <c r="S1196">
        <v>25</v>
      </c>
      <c r="U1196">
        <v>0</v>
      </c>
      <c r="V1196">
        <v>0</v>
      </c>
      <c r="W1196" s="1">
        <v>44160</v>
      </c>
      <c r="AA1196" t="s">
        <v>40</v>
      </c>
      <c r="AC1196" t="s">
        <v>40</v>
      </c>
      <c r="AE1196" t="s">
        <v>40</v>
      </c>
      <c r="AF1196" t="s">
        <v>40</v>
      </c>
      <c r="AG1196" t="s">
        <v>40</v>
      </c>
      <c r="AH1196" t="s">
        <v>40</v>
      </c>
      <c r="AI1196" t="s">
        <v>40</v>
      </c>
      <c r="AK1196" t="s">
        <v>40</v>
      </c>
    </row>
    <row r="1197" spans="1:37" x14ac:dyDescent="0.3">
      <c r="A1197">
        <v>2019</v>
      </c>
      <c r="B1197">
        <v>10</v>
      </c>
      <c r="C1197" t="str">
        <f t="shared" si="36"/>
        <v>10/01/2019</v>
      </c>
      <c r="D1197" s="1" t="str">
        <f t="shared" si="37"/>
        <v>10/01/2019</v>
      </c>
      <c r="E1197" t="s">
        <v>55</v>
      </c>
      <c r="F1197" t="s">
        <v>54</v>
      </c>
      <c r="G1197" t="s">
        <v>45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S1197">
        <v>0</v>
      </c>
      <c r="T1197">
        <v>0</v>
      </c>
      <c r="U1197">
        <v>0</v>
      </c>
      <c r="V1197">
        <v>0</v>
      </c>
      <c r="W1197" s="1">
        <v>44160</v>
      </c>
      <c r="Y1197" t="s">
        <v>40</v>
      </c>
      <c r="Z1197" t="s">
        <v>40</v>
      </c>
      <c r="AI1197" t="s">
        <v>40</v>
      </c>
    </row>
    <row r="1198" spans="1:37" x14ac:dyDescent="0.3">
      <c r="A1198">
        <v>2019</v>
      </c>
      <c r="B1198">
        <v>10</v>
      </c>
      <c r="C1198" t="str">
        <f t="shared" si="36"/>
        <v>10/01/2019</v>
      </c>
      <c r="D1198" s="1" t="str">
        <f t="shared" si="37"/>
        <v>10/01/2019</v>
      </c>
      <c r="E1198" t="s">
        <v>55</v>
      </c>
      <c r="F1198" t="s">
        <v>54</v>
      </c>
      <c r="G1198" t="s">
        <v>46</v>
      </c>
      <c r="H1198">
        <v>238</v>
      </c>
      <c r="I1198">
        <v>201</v>
      </c>
      <c r="K1198">
        <v>47</v>
      </c>
      <c r="L1198">
        <v>11</v>
      </c>
      <c r="M1198">
        <v>0</v>
      </c>
      <c r="S1198">
        <v>73</v>
      </c>
      <c r="U1198">
        <v>0</v>
      </c>
      <c r="V1198">
        <v>0</v>
      </c>
      <c r="W1198" s="1">
        <v>44160</v>
      </c>
      <c r="AA1198" t="s">
        <v>40</v>
      </c>
      <c r="AE1198" t="s">
        <v>40</v>
      </c>
      <c r="AF1198" t="s">
        <v>40</v>
      </c>
      <c r="AG1198" t="s">
        <v>40</v>
      </c>
      <c r="AH1198" t="s">
        <v>40</v>
      </c>
      <c r="AI1198" t="s">
        <v>40</v>
      </c>
      <c r="AK1198" t="s">
        <v>40</v>
      </c>
    </row>
    <row r="1199" spans="1:37" x14ac:dyDescent="0.3">
      <c r="A1199">
        <v>2019</v>
      </c>
      <c r="B1199">
        <v>10</v>
      </c>
      <c r="C1199" t="str">
        <f t="shared" si="36"/>
        <v>10/01/2019</v>
      </c>
      <c r="D1199" s="1" t="str">
        <f t="shared" si="37"/>
        <v>10/01/2019</v>
      </c>
      <c r="E1199" t="s">
        <v>55</v>
      </c>
      <c r="F1199" t="s">
        <v>54</v>
      </c>
      <c r="G1199" t="s">
        <v>47</v>
      </c>
      <c r="H1199">
        <v>269</v>
      </c>
      <c r="I1199">
        <v>251</v>
      </c>
      <c r="K1199">
        <v>62</v>
      </c>
      <c r="L1199">
        <v>13</v>
      </c>
      <c r="O1199">
        <v>20</v>
      </c>
      <c r="S1199">
        <v>73</v>
      </c>
      <c r="T1199">
        <v>16</v>
      </c>
      <c r="U1199">
        <v>0</v>
      </c>
      <c r="V1199">
        <v>0</v>
      </c>
      <c r="W1199" s="1">
        <v>44160</v>
      </c>
      <c r="AA1199" t="s">
        <v>40</v>
      </c>
      <c r="AD1199" t="s">
        <v>40</v>
      </c>
      <c r="AE1199" t="s">
        <v>40</v>
      </c>
      <c r="AG1199" t="s">
        <v>40</v>
      </c>
      <c r="AH1199" t="s">
        <v>40</v>
      </c>
      <c r="AI1199" t="s">
        <v>40</v>
      </c>
    </row>
    <row r="1200" spans="1:37" x14ac:dyDescent="0.3">
      <c r="A1200">
        <v>2019</v>
      </c>
      <c r="B1200">
        <v>10</v>
      </c>
      <c r="C1200" t="str">
        <f t="shared" si="36"/>
        <v>10/01/2019</v>
      </c>
      <c r="D1200" s="1" t="str">
        <f t="shared" si="37"/>
        <v>10/01/2019</v>
      </c>
      <c r="E1200" t="s">
        <v>55</v>
      </c>
      <c r="F1200" t="s">
        <v>54</v>
      </c>
      <c r="G1200" t="s">
        <v>48</v>
      </c>
      <c r="H1200">
        <v>187</v>
      </c>
      <c r="I1200">
        <v>183</v>
      </c>
      <c r="K1200">
        <v>52</v>
      </c>
      <c r="O1200">
        <v>16</v>
      </c>
      <c r="R1200">
        <v>0</v>
      </c>
      <c r="S1200">
        <v>42</v>
      </c>
      <c r="T1200">
        <v>10</v>
      </c>
      <c r="U1200">
        <v>0</v>
      </c>
      <c r="V1200">
        <v>0</v>
      </c>
      <c r="W1200" s="1">
        <v>44160</v>
      </c>
      <c r="AA1200" t="s">
        <v>40</v>
      </c>
      <c r="AC1200" t="s">
        <v>40</v>
      </c>
      <c r="AD1200" t="s">
        <v>40</v>
      </c>
      <c r="AE1200" t="s">
        <v>40</v>
      </c>
      <c r="AG1200" t="s">
        <v>40</v>
      </c>
      <c r="AH1200" t="s">
        <v>40</v>
      </c>
    </row>
    <row r="1201" spans="1:37" x14ac:dyDescent="0.3">
      <c r="A1201">
        <v>2019</v>
      </c>
      <c r="B1201">
        <v>10</v>
      </c>
      <c r="C1201" t="str">
        <f t="shared" si="36"/>
        <v>10/01/2019</v>
      </c>
      <c r="D1201" s="1" t="str">
        <f t="shared" si="37"/>
        <v>10/01/2019</v>
      </c>
      <c r="E1201" t="s">
        <v>55</v>
      </c>
      <c r="F1201" t="s">
        <v>54</v>
      </c>
      <c r="G1201" t="s">
        <v>49</v>
      </c>
      <c r="H1201">
        <v>106</v>
      </c>
      <c r="I1201">
        <v>103</v>
      </c>
      <c r="K1201">
        <v>12</v>
      </c>
      <c r="M1201">
        <v>10</v>
      </c>
      <c r="S1201">
        <v>28</v>
      </c>
      <c r="U1201">
        <v>0</v>
      </c>
      <c r="V1201">
        <v>0</v>
      </c>
      <c r="W1201" s="1">
        <v>44160</v>
      </c>
      <c r="AA1201" t="s">
        <v>40</v>
      </c>
      <c r="AC1201" t="s">
        <v>40</v>
      </c>
      <c r="AE1201" t="s">
        <v>40</v>
      </c>
      <c r="AF1201" t="s">
        <v>40</v>
      </c>
      <c r="AG1201" t="s">
        <v>40</v>
      </c>
      <c r="AH1201" t="s">
        <v>40</v>
      </c>
      <c r="AI1201" t="s">
        <v>40</v>
      </c>
      <c r="AK1201" t="s">
        <v>40</v>
      </c>
    </row>
    <row r="1202" spans="1:37" x14ac:dyDescent="0.3">
      <c r="A1202">
        <v>2019</v>
      </c>
      <c r="B1202">
        <v>11</v>
      </c>
      <c r="C1202" t="str">
        <f t="shared" si="36"/>
        <v>11/01/2019</v>
      </c>
      <c r="D1202" s="1" t="str">
        <f t="shared" si="37"/>
        <v>11/01/2019</v>
      </c>
      <c r="E1202" t="s">
        <v>37</v>
      </c>
      <c r="F1202" t="s">
        <v>38</v>
      </c>
      <c r="G1202" t="s">
        <v>39</v>
      </c>
      <c r="H1202">
        <v>206</v>
      </c>
      <c r="I1202">
        <v>191</v>
      </c>
      <c r="L1202">
        <v>0</v>
      </c>
      <c r="M1202">
        <v>0</v>
      </c>
      <c r="Q1202">
        <v>0</v>
      </c>
      <c r="R1202">
        <v>21</v>
      </c>
      <c r="U1202">
        <v>0</v>
      </c>
      <c r="V1202">
        <v>0</v>
      </c>
      <c r="W1202" s="1">
        <v>44160</v>
      </c>
      <c r="AA1202" t="s">
        <v>40</v>
      </c>
      <c r="AB1202" t="s">
        <v>40</v>
      </c>
      <c r="AE1202" t="s">
        <v>40</v>
      </c>
      <c r="AF1202" t="s">
        <v>40</v>
      </c>
      <c r="AG1202" t="s">
        <v>40</v>
      </c>
      <c r="AJ1202" t="s">
        <v>40</v>
      </c>
      <c r="AK1202" t="s">
        <v>40</v>
      </c>
    </row>
    <row r="1203" spans="1:37" x14ac:dyDescent="0.3">
      <c r="A1203">
        <v>2019</v>
      </c>
      <c r="B1203">
        <v>11</v>
      </c>
      <c r="C1203" t="str">
        <f t="shared" si="36"/>
        <v>11/01/2019</v>
      </c>
      <c r="D1203" s="1" t="str">
        <f t="shared" si="37"/>
        <v>11/01/2019</v>
      </c>
      <c r="E1203" t="s">
        <v>37</v>
      </c>
      <c r="F1203" t="s">
        <v>38</v>
      </c>
      <c r="G1203" t="s">
        <v>41</v>
      </c>
      <c r="H1203">
        <v>114</v>
      </c>
      <c r="I1203">
        <v>41</v>
      </c>
      <c r="J1203">
        <v>0</v>
      </c>
      <c r="K1203">
        <v>11</v>
      </c>
      <c r="L1203">
        <v>0</v>
      </c>
      <c r="M1203">
        <v>0</v>
      </c>
      <c r="U1203">
        <v>0</v>
      </c>
      <c r="V1203">
        <v>0</v>
      </c>
      <c r="W1203" s="1">
        <v>44160</v>
      </c>
      <c r="AE1203" t="s">
        <v>40</v>
      </c>
      <c r="AF1203" t="s">
        <v>40</v>
      </c>
      <c r="AG1203" t="s">
        <v>40</v>
      </c>
      <c r="AH1203" t="s">
        <v>40</v>
      </c>
      <c r="AI1203" t="s">
        <v>40</v>
      </c>
      <c r="AJ1203" t="s">
        <v>40</v>
      </c>
      <c r="AK1203" t="s">
        <v>40</v>
      </c>
    </row>
    <row r="1204" spans="1:37" x14ac:dyDescent="0.3">
      <c r="A1204">
        <v>2019</v>
      </c>
      <c r="B1204">
        <v>11</v>
      </c>
      <c r="C1204" t="str">
        <f t="shared" si="36"/>
        <v>11/01/2019</v>
      </c>
      <c r="D1204" s="1" t="str">
        <f t="shared" si="37"/>
        <v>11/01/2019</v>
      </c>
      <c r="E1204" t="s">
        <v>37</v>
      </c>
      <c r="F1204" t="s">
        <v>38</v>
      </c>
      <c r="G1204" t="s">
        <v>42</v>
      </c>
      <c r="H1204">
        <v>194</v>
      </c>
      <c r="I1204">
        <v>105</v>
      </c>
      <c r="K1204">
        <v>32</v>
      </c>
      <c r="M1204">
        <v>0</v>
      </c>
      <c r="S1204">
        <v>11</v>
      </c>
      <c r="U1204">
        <v>0</v>
      </c>
      <c r="V1204">
        <v>0</v>
      </c>
      <c r="W1204" s="1">
        <v>44160</v>
      </c>
      <c r="AA1204" t="s">
        <v>40</v>
      </c>
      <c r="AC1204" t="s">
        <v>40</v>
      </c>
      <c r="AE1204" t="s">
        <v>40</v>
      </c>
      <c r="AF1204" t="s">
        <v>40</v>
      </c>
      <c r="AG1204" t="s">
        <v>40</v>
      </c>
      <c r="AH1204" t="s">
        <v>40</v>
      </c>
      <c r="AI1204" t="s">
        <v>40</v>
      </c>
      <c r="AK1204" t="s">
        <v>40</v>
      </c>
    </row>
    <row r="1205" spans="1:37" x14ac:dyDescent="0.3">
      <c r="A1205">
        <v>2019</v>
      </c>
      <c r="B1205">
        <v>11</v>
      </c>
      <c r="C1205" t="str">
        <f t="shared" si="36"/>
        <v>11/01/2019</v>
      </c>
      <c r="D1205" s="1" t="str">
        <f t="shared" si="37"/>
        <v>11/01/2019</v>
      </c>
      <c r="E1205" t="s">
        <v>37</v>
      </c>
      <c r="F1205" t="s">
        <v>38</v>
      </c>
      <c r="G1205" t="s">
        <v>43</v>
      </c>
      <c r="H1205">
        <v>306</v>
      </c>
      <c r="I1205">
        <v>231</v>
      </c>
      <c r="K1205">
        <v>87</v>
      </c>
      <c r="M1205">
        <v>0</v>
      </c>
      <c r="S1205">
        <v>29</v>
      </c>
      <c r="T1205">
        <v>10</v>
      </c>
      <c r="U1205">
        <v>0</v>
      </c>
      <c r="V1205">
        <v>0</v>
      </c>
      <c r="W1205" s="1">
        <v>44160</v>
      </c>
      <c r="AA1205" t="s">
        <v>40</v>
      </c>
      <c r="AC1205" t="s">
        <v>40</v>
      </c>
      <c r="AE1205" t="s">
        <v>40</v>
      </c>
      <c r="AF1205" t="s">
        <v>40</v>
      </c>
      <c r="AG1205" t="s">
        <v>40</v>
      </c>
      <c r="AH1205" t="s">
        <v>40</v>
      </c>
      <c r="AI1205" t="s">
        <v>40</v>
      </c>
    </row>
    <row r="1206" spans="1:37" x14ac:dyDescent="0.3">
      <c r="A1206">
        <v>2019</v>
      </c>
      <c r="B1206">
        <v>11</v>
      </c>
      <c r="C1206" t="str">
        <f t="shared" si="36"/>
        <v>11/01/2019</v>
      </c>
      <c r="D1206" s="1" t="str">
        <f t="shared" si="37"/>
        <v>11/01/2019</v>
      </c>
      <c r="E1206" t="s">
        <v>37</v>
      </c>
      <c r="F1206" t="s">
        <v>38</v>
      </c>
      <c r="G1206" t="s">
        <v>44</v>
      </c>
      <c r="H1206">
        <v>536</v>
      </c>
      <c r="I1206">
        <v>475</v>
      </c>
      <c r="J1206">
        <v>13</v>
      </c>
      <c r="K1206">
        <v>206</v>
      </c>
      <c r="L1206">
        <v>21</v>
      </c>
      <c r="Q1206">
        <v>12</v>
      </c>
      <c r="S1206">
        <v>60</v>
      </c>
      <c r="T1206">
        <v>19</v>
      </c>
      <c r="U1206">
        <v>0</v>
      </c>
      <c r="V1206">
        <v>0</v>
      </c>
      <c r="W1206" s="1">
        <v>44160</v>
      </c>
      <c r="AD1206" t="s">
        <v>40</v>
      </c>
      <c r="AE1206" t="s">
        <v>40</v>
      </c>
      <c r="AF1206" t="s">
        <v>40</v>
      </c>
      <c r="AG1206" t="s">
        <v>40</v>
      </c>
      <c r="AI1206" t="s">
        <v>40</v>
      </c>
    </row>
    <row r="1207" spans="1:37" x14ac:dyDescent="0.3">
      <c r="A1207">
        <v>2019</v>
      </c>
      <c r="B1207">
        <v>11</v>
      </c>
      <c r="C1207" t="str">
        <f t="shared" si="36"/>
        <v>11/01/2019</v>
      </c>
      <c r="D1207" s="1" t="str">
        <f t="shared" si="37"/>
        <v>11/01/2019</v>
      </c>
      <c r="E1207" t="s">
        <v>37</v>
      </c>
      <c r="F1207" t="s">
        <v>38</v>
      </c>
      <c r="G1207" t="s">
        <v>45</v>
      </c>
      <c r="H1207">
        <v>42</v>
      </c>
      <c r="I1207">
        <v>23</v>
      </c>
      <c r="J1207">
        <v>0</v>
      </c>
      <c r="L1207">
        <v>0</v>
      </c>
      <c r="M1207">
        <v>0</v>
      </c>
      <c r="P1207">
        <v>0</v>
      </c>
      <c r="Q1207">
        <v>0</v>
      </c>
      <c r="R1207">
        <v>0</v>
      </c>
      <c r="U1207">
        <v>0</v>
      </c>
      <c r="V1207">
        <v>0</v>
      </c>
      <c r="W1207" s="1">
        <v>44160</v>
      </c>
      <c r="AB1207" t="s">
        <v>40</v>
      </c>
      <c r="AE1207" t="s">
        <v>40</v>
      </c>
      <c r="AF1207" t="s">
        <v>40</v>
      </c>
      <c r="AJ1207" t="s">
        <v>40</v>
      </c>
      <c r="AK1207" t="s">
        <v>40</v>
      </c>
    </row>
    <row r="1208" spans="1:37" x14ac:dyDescent="0.3">
      <c r="A1208">
        <v>2019</v>
      </c>
      <c r="B1208">
        <v>11</v>
      </c>
      <c r="C1208" t="str">
        <f t="shared" si="36"/>
        <v>11/01/2019</v>
      </c>
      <c r="D1208" s="1" t="str">
        <f t="shared" si="37"/>
        <v>11/01/2019</v>
      </c>
      <c r="E1208" t="s">
        <v>37</v>
      </c>
      <c r="F1208" t="s">
        <v>38</v>
      </c>
      <c r="G1208" t="s">
        <v>46</v>
      </c>
      <c r="H1208">
        <v>953</v>
      </c>
      <c r="I1208">
        <v>900</v>
      </c>
      <c r="K1208">
        <v>333</v>
      </c>
      <c r="L1208">
        <v>69</v>
      </c>
      <c r="N1208">
        <v>15</v>
      </c>
      <c r="O1208">
        <v>27</v>
      </c>
      <c r="P1208">
        <v>15</v>
      </c>
      <c r="Q1208">
        <v>21</v>
      </c>
      <c r="S1208">
        <v>152</v>
      </c>
      <c r="T1208">
        <v>49</v>
      </c>
      <c r="U1208">
        <v>0</v>
      </c>
      <c r="V1208">
        <v>0</v>
      </c>
      <c r="W1208" s="1">
        <v>44160</v>
      </c>
      <c r="AA1208" t="s">
        <v>40</v>
      </c>
      <c r="AD1208" t="s">
        <v>40</v>
      </c>
      <c r="AI1208" t="s">
        <v>40</v>
      </c>
    </row>
    <row r="1209" spans="1:37" x14ac:dyDescent="0.3">
      <c r="A1209">
        <v>2019</v>
      </c>
      <c r="B1209">
        <v>11</v>
      </c>
      <c r="C1209" t="str">
        <f t="shared" si="36"/>
        <v>11/01/2019</v>
      </c>
      <c r="D1209" s="1" t="str">
        <f t="shared" si="37"/>
        <v>11/01/2019</v>
      </c>
      <c r="E1209" t="s">
        <v>37</v>
      </c>
      <c r="F1209" t="s">
        <v>38</v>
      </c>
      <c r="G1209" t="s">
        <v>47</v>
      </c>
      <c r="H1209" s="2">
        <v>1368</v>
      </c>
      <c r="I1209" s="2">
        <v>1322</v>
      </c>
      <c r="J1209">
        <v>30</v>
      </c>
      <c r="K1209">
        <v>416</v>
      </c>
      <c r="L1209">
        <v>90</v>
      </c>
      <c r="M1209">
        <v>25</v>
      </c>
      <c r="N1209">
        <v>24</v>
      </c>
      <c r="O1209">
        <v>35</v>
      </c>
      <c r="P1209">
        <v>29</v>
      </c>
      <c r="Q1209">
        <v>48</v>
      </c>
      <c r="R1209">
        <v>13</v>
      </c>
      <c r="S1209">
        <v>228</v>
      </c>
      <c r="T1209">
        <v>87</v>
      </c>
      <c r="U1209">
        <v>0</v>
      </c>
      <c r="V1209">
        <v>0</v>
      </c>
      <c r="W1209" s="1">
        <v>44160</v>
      </c>
    </row>
    <row r="1210" spans="1:37" x14ac:dyDescent="0.3">
      <c r="A1210">
        <v>2019</v>
      </c>
      <c r="B1210">
        <v>11</v>
      </c>
      <c r="C1210" t="str">
        <f t="shared" si="36"/>
        <v>11/01/2019</v>
      </c>
      <c r="D1210" s="1" t="str">
        <f t="shared" si="37"/>
        <v>11/01/2019</v>
      </c>
      <c r="E1210" t="s">
        <v>37</v>
      </c>
      <c r="F1210" t="s">
        <v>38</v>
      </c>
      <c r="G1210" t="s">
        <v>48</v>
      </c>
      <c r="H1210" s="2">
        <v>1798</v>
      </c>
      <c r="I1210" s="2">
        <v>1757</v>
      </c>
      <c r="J1210">
        <v>18</v>
      </c>
      <c r="K1210">
        <v>374</v>
      </c>
      <c r="L1210">
        <v>92</v>
      </c>
      <c r="M1210">
        <v>131</v>
      </c>
      <c r="N1210">
        <v>43</v>
      </c>
      <c r="O1210">
        <v>60</v>
      </c>
      <c r="P1210">
        <v>39</v>
      </c>
      <c r="Q1210">
        <v>57</v>
      </c>
      <c r="R1210">
        <v>10</v>
      </c>
      <c r="S1210">
        <v>365</v>
      </c>
      <c r="T1210">
        <v>150</v>
      </c>
      <c r="U1210">
        <v>0</v>
      </c>
      <c r="V1210">
        <v>0</v>
      </c>
      <c r="W1210" s="1">
        <v>44160</v>
      </c>
    </row>
    <row r="1211" spans="1:37" x14ac:dyDescent="0.3">
      <c r="A1211">
        <v>2019</v>
      </c>
      <c r="B1211">
        <v>11</v>
      </c>
      <c r="C1211" t="str">
        <f t="shared" si="36"/>
        <v>11/01/2019</v>
      </c>
      <c r="D1211" s="1" t="str">
        <f t="shared" si="37"/>
        <v>11/01/2019</v>
      </c>
      <c r="E1211" t="s">
        <v>37</v>
      </c>
      <c r="F1211" t="s">
        <v>38</v>
      </c>
      <c r="G1211" t="s">
        <v>49</v>
      </c>
      <c r="H1211" s="2">
        <v>2495</v>
      </c>
      <c r="I1211" s="2">
        <v>2435</v>
      </c>
      <c r="J1211">
        <v>34</v>
      </c>
      <c r="K1211">
        <v>241</v>
      </c>
      <c r="L1211">
        <v>80</v>
      </c>
      <c r="M1211">
        <v>313</v>
      </c>
      <c r="N1211">
        <v>39</v>
      </c>
      <c r="O1211">
        <v>108</v>
      </c>
      <c r="P1211">
        <v>47</v>
      </c>
      <c r="Q1211">
        <v>49</v>
      </c>
      <c r="R1211">
        <v>17</v>
      </c>
      <c r="S1211">
        <v>709</v>
      </c>
      <c r="T1211">
        <v>238</v>
      </c>
      <c r="U1211">
        <v>0</v>
      </c>
      <c r="V1211">
        <v>0</v>
      </c>
      <c r="W1211" s="1">
        <v>44160</v>
      </c>
    </row>
    <row r="1212" spans="1:37" x14ac:dyDescent="0.3">
      <c r="A1212">
        <v>2019</v>
      </c>
      <c r="B1212">
        <v>11</v>
      </c>
      <c r="C1212" t="str">
        <f t="shared" si="36"/>
        <v>11/01/2019</v>
      </c>
      <c r="D1212" s="1" t="str">
        <f t="shared" si="37"/>
        <v>11/01/2019</v>
      </c>
      <c r="E1212" t="s">
        <v>37</v>
      </c>
      <c r="F1212" t="s">
        <v>50</v>
      </c>
      <c r="G1212" t="s">
        <v>39</v>
      </c>
      <c r="H1212">
        <v>11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S1212">
        <v>0</v>
      </c>
      <c r="T1212">
        <v>0</v>
      </c>
      <c r="U1212">
        <v>0</v>
      </c>
      <c r="V1212">
        <v>0</v>
      </c>
      <c r="W1212" s="1">
        <v>44160</v>
      </c>
      <c r="Z1212" t="s">
        <v>40</v>
      </c>
      <c r="AI1212" t="s">
        <v>40</v>
      </c>
    </row>
    <row r="1213" spans="1:37" x14ac:dyDescent="0.3">
      <c r="A1213">
        <v>2019</v>
      </c>
      <c r="B1213">
        <v>11</v>
      </c>
      <c r="C1213" t="str">
        <f t="shared" si="36"/>
        <v>11/01/2019</v>
      </c>
      <c r="D1213" s="1" t="str">
        <f t="shared" si="37"/>
        <v>11/01/2019</v>
      </c>
      <c r="E1213" t="s">
        <v>37</v>
      </c>
      <c r="F1213" t="s">
        <v>50</v>
      </c>
      <c r="G1213" t="s">
        <v>41</v>
      </c>
      <c r="H1213">
        <v>10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Q1213">
        <v>0</v>
      </c>
      <c r="S1213">
        <v>0</v>
      </c>
      <c r="T1213">
        <v>0</v>
      </c>
      <c r="U1213">
        <v>0</v>
      </c>
      <c r="V1213">
        <v>0</v>
      </c>
      <c r="W1213" s="1">
        <v>44160</v>
      </c>
      <c r="Z1213" t="s">
        <v>40</v>
      </c>
      <c r="AG1213" t="s">
        <v>40</v>
      </c>
      <c r="AI1213" t="s">
        <v>40</v>
      </c>
    </row>
    <row r="1214" spans="1:37" x14ac:dyDescent="0.3">
      <c r="A1214">
        <v>2019</v>
      </c>
      <c r="B1214">
        <v>11</v>
      </c>
      <c r="C1214" t="str">
        <f t="shared" si="36"/>
        <v>11/01/2019</v>
      </c>
      <c r="D1214" s="1" t="str">
        <f t="shared" si="37"/>
        <v>11/01/2019</v>
      </c>
      <c r="E1214" t="s">
        <v>37</v>
      </c>
      <c r="F1214" t="s">
        <v>50</v>
      </c>
      <c r="G1214" t="s">
        <v>42</v>
      </c>
      <c r="H1214">
        <v>30</v>
      </c>
      <c r="I1214">
        <v>11</v>
      </c>
      <c r="J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S1214">
        <v>0</v>
      </c>
      <c r="T1214">
        <v>0</v>
      </c>
      <c r="U1214">
        <v>0</v>
      </c>
      <c r="V1214">
        <v>0</v>
      </c>
      <c r="W1214" s="1">
        <v>44160</v>
      </c>
      <c r="AB1214" t="s">
        <v>40</v>
      </c>
      <c r="AC1214" t="s">
        <v>40</v>
      </c>
      <c r="AI1214" t="s">
        <v>40</v>
      </c>
    </row>
    <row r="1215" spans="1:37" x14ac:dyDescent="0.3">
      <c r="A1215">
        <v>2019</v>
      </c>
      <c r="B1215">
        <v>11</v>
      </c>
      <c r="C1215" t="str">
        <f t="shared" si="36"/>
        <v>11/01/2019</v>
      </c>
      <c r="D1215" s="1" t="str">
        <f t="shared" si="37"/>
        <v>11/01/2019</v>
      </c>
      <c r="E1215" t="s">
        <v>37</v>
      </c>
      <c r="F1215" t="s">
        <v>50</v>
      </c>
      <c r="G1215" t="s">
        <v>43</v>
      </c>
      <c r="H1215">
        <v>43</v>
      </c>
      <c r="I1215">
        <v>28</v>
      </c>
      <c r="J1215">
        <v>0</v>
      </c>
      <c r="M1215">
        <v>0</v>
      </c>
      <c r="N1215">
        <v>0</v>
      </c>
      <c r="O1215">
        <v>0</v>
      </c>
      <c r="P1215">
        <v>0</v>
      </c>
      <c r="R1215">
        <v>0</v>
      </c>
      <c r="T1215">
        <v>0</v>
      </c>
      <c r="U1215">
        <v>0</v>
      </c>
      <c r="V1215">
        <v>0</v>
      </c>
      <c r="W1215" s="1">
        <v>44160</v>
      </c>
      <c r="AB1215" t="s">
        <v>40</v>
      </c>
      <c r="AC1215" t="s">
        <v>40</v>
      </c>
      <c r="AH1215" t="s">
        <v>40</v>
      </c>
      <c r="AJ1215" t="s">
        <v>40</v>
      </c>
    </row>
    <row r="1216" spans="1:37" x14ac:dyDescent="0.3">
      <c r="A1216">
        <v>2019</v>
      </c>
      <c r="B1216">
        <v>11</v>
      </c>
      <c r="C1216" t="str">
        <f t="shared" si="36"/>
        <v>11/01/2019</v>
      </c>
      <c r="D1216" s="1" t="str">
        <f t="shared" si="37"/>
        <v>11/01/2019</v>
      </c>
      <c r="E1216" t="s">
        <v>37</v>
      </c>
      <c r="F1216" t="s">
        <v>50</v>
      </c>
      <c r="G1216" t="s">
        <v>44</v>
      </c>
      <c r="H1216">
        <v>75</v>
      </c>
      <c r="I1216">
        <v>63</v>
      </c>
      <c r="K1216">
        <v>10</v>
      </c>
      <c r="M1216">
        <v>0</v>
      </c>
      <c r="N1216">
        <v>0</v>
      </c>
      <c r="P1216">
        <v>0</v>
      </c>
      <c r="R1216">
        <v>0</v>
      </c>
      <c r="U1216">
        <v>0</v>
      </c>
      <c r="V1216">
        <v>0</v>
      </c>
      <c r="W1216" s="1">
        <v>44160</v>
      </c>
      <c r="AA1216" t="s">
        <v>40</v>
      </c>
      <c r="AC1216" t="s">
        <v>40</v>
      </c>
      <c r="AF1216" t="s">
        <v>40</v>
      </c>
      <c r="AH1216" t="s">
        <v>40</v>
      </c>
      <c r="AJ1216" t="s">
        <v>40</v>
      </c>
      <c r="AK1216" t="s">
        <v>40</v>
      </c>
    </row>
    <row r="1217" spans="1:37" x14ac:dyDescent="0.3">
      <c r="A1217">
        <v>2019</v>
      </c>
      <c r="B1217">
        <v>11</v>
      </c>
      <c r="C1217" t="str">
        <f t="shared" si="36"/>
        <v>11/01/2019</v>
      </c>
      <c r="D1217" s="1" t="str">
        <f t="shared" si="37"/>
        <v>11/01/2019</v>
      </c>
      <c r="E1217" t="s">
        <v>37</v>
      </c>
      <c r="F1217" t="s">
        <v>50</v>
      </c>
      <c r="G1217" t="s">
        <v>45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 s="1">
        <v>44160</v>
      </c>
      <c r="Y1217" t="s">
        <v>40</v>
      </c>
      <c r="Z1217" t="s">
        <v>40</v>
      </c>
      <c r="AG1217" t="s">
        <v>40</v>
      </c>
    </row>
    <row r="1218" spans="1:37" x14ac:dyDescent="0.3">
      <c r="A1218">
        <v>2019</v>
      </c>
      <c r="B1218">
        <v>11</v>
      </c>
      <c r="C1218" t="str">
        <f t="shared" si="36"/>
        <v>11/01/2019</v>
      </c>
      <c r="D1218" s="1" t="str">
        <f t="shared" si="37"/>
        <v>11/01/2019</v>
      </c>
      <c r="E1218" t="s">
        <v>37</v>
      </c>
      <c r="F1218" t="s">
        <v>50</v>
      </c>
      <c r="G1218" t="s">
        <v>46</v>
      </c>
      <c r="H1218">
        <v>121</v>
      </c>
      <c r="I1218">
        <v>113</v>
      </c>
      <c r="K1218">
        <v>28</v>
      </c>
      <c r="M1218">
        <v>0</v>
      </c>
      <c r="R1218">
        <v>0</v>
      </c>
      <c r="S1218">
        <v>23</v>
      </c>
      <c r="U1218">
        <v>0</v>
      </c>
      <c r="V1218">
        <v>0</v>
      </c>
      <c r="W1218" s="1">
        <v>44160</v>
      </c>
      <c r="AA1218" t="s">
        <v>40</v>
      </c>
      <c r="AC1218" t="s">
        <v>40</v>
      </c>
      <c r="AE1218" t="s">
        <v>40</v>
      </c>
      <c r="AF1218" t="s">
        <v>40</v>
      </c>
      <c r="AG1218" t="s">
        <v>40</v>
      </c>
      <c r="AH1218" t="s">
        <v>40</v>
      </c>
      <c r="AK1218" t="s">
        <v>40</v>
      </c>
    </row>
    <row r="1219" spans="1:37" x14ac:dyDescent="0.3">
      <c r="A1219">
        <v>2019</v>
      </c>
      <c r="B1219">
        <v>11</v>
      </c>
      <c r="C1219" t="str">
        <f t="shared" ref="C1219:C1282" si="38">CONCATENATE(B1219,"/01/",A1219)</f>
        <v>11/01/2019</v>
      </c>
      <c r="D1219" s="1" t="str">
        <f t="shared" ref="D1219:D1282" si="39">C1219</f>
        <v>11/01/2019</v>
      </c>
      <c r="E1219" t="s">
        <v>37</v>
      </c>
      <c r="F1219" t="s">
        <v>50</v>
      </c>
      <c r="G1219" t="s">
        <v>47</v>
      </c>
      <c r="H1219">
        <v>141</v>
      </c>
      <c r="I1219">
        <v>134</v>
      </c>
      <c r="K1219">
        <v>30</v>
      </c>
      <c r="L1219">
        <v>11</v>
      </c>
      <c r="O1219">
        <v>14</v>
      </c>
      <c r="R1219">
        <v>0</v>
      </c>
      <c r="S1219">
        <v>27</v>
      </c>
      <c r="U1219">
        <v>0</v>
      </c>
      <c r="V1219">
        <v>0</v>
      </c>
      <c r="W1219" s="1">
        <v>44160</v>
      </c>
      <c r="AA1219" t="s">
        <v>40</v>
      </c>
      <c r="AD1219" t="s">
        <v>40</v>
      </c>
      <c r="AE1219" t="s">
        <v>40</v>
      </c>
      <c r="AG1219" t="s">
        <v>40</v>
      </c>
      <c r="AH1219" t="s">
        <v>40</v>
      </c>
      <c r="AK1219" t="s">
        <v>40</v>
      </c>
    </row>
    <row r="1220" spans="1:37" x14ac:dyDescent="0.3">
      <c r="A1220">
        <v>2019</v>
      </c>
      <c r="B1220">
        <v>11</v>
      </c>
      <c r="C1220" t="str">
        <f t="shared" si="38"/>
        <v>11/01/2019</v>
      </c>
      <c r="D1220" s="1" t="str">
        <f t="shared" si="39"/>
        <v>11/01/2019</v>
      </c>
      <c r="E1220" t="s">
        <v>37</v>
      </c>
      <c r="F1220" t="s">
        <v>50</v>
      </c>
      <c r="G1220" t="s">
        <v>48</v>
      </c>
      <c r="H1220">
        <v>143</v>
      </c>
      <c r="I1220">
        <v>136</v>
      </c>
      <c r="K1220">
        <v>21</v>
      </c>
      <c r="O1220">
        <v>11</v>
      </c>
      <c r="S1220">
        <v>29</v>
      </c>
      <c r="T1220">
        <v>17</v>
      </c>
      <c r="U1220">
        <v>0</v>
      </c>
      <c r="V1220">
        <v>0</v>
      </c>
      <c r="W1220" s="1">
        <v>44160</v>
      </c>
      <c r="AA1220" t="s">
        <v>40</v>
      </c>
      <c r="AC1220" t="s">
        <v>40</v>
      </c>
      <c r="AD1220" t="s">
        <v>40</v>
      </c>
      <c r="AE1220" t="s">
        <v>40</v>
      </c>
      <c r="AG1220" t="s">
        <v>40</v>
      </c>
      <c r="AH1220" t="s">
        <v>40</v>
      </c>
      <c r="AI1220" t="s">
        <v>40</v>
      </c>
    </row>
    <row r="1221" spans="1:37" x14ac:dyDescent="0.3">
      <c r="A1221">
        <v>2019</v>
      </c>
      <c r="B1221">
        <v>11</v>
      </c>
      <c r="C1221" t="str">
        <f t="shared" si="38"/>
        <v>11/01/2019</v>
      </c>
      <c r="D1221" s="1" t="str">
        <f t="shared" si="39"/>
        <v>11/01/2019</v>
      </c>
      <c r="E1221" t="s">
        <v>37</v>
      </c>
      <c r="F1221" t="s">
        <v>50</v>
      </c>
      <c r="G1221" t="s">
        <v>49</v>
      </c>
      <c r="H1221">
        <v>120</v>
      </c>
      <c r="I1221">
        <v>115</v>
      </c>
      <c r="K1221">
        <v>10</v>
      </c>
      <c r="M1221">
        <v>16</v>
      </c>
      <c r="R1221">
        <v>0</v>
      </c>
      <c r="S1221">
        <v>23</v>
      </c>
      <c r="T1221">
        <v>10</v>
      </c>
      <c r="U1221">
        <v>0</v>
      </c>
      <c r="V1221">
        <v>0</v>
      </c>
      <c r="W1221" s="1">
        <v>44160</v>
      </c>
      <c r="AA1221" t="s">
        <v>40</v>
      </c>
      <c r="AC1221" t="s">
        <v>40</v>
      </c>
      <c r="AE1221" t="s">
        <v>40</v>
      </c>
      <c r="AF1221" t="s">
        <v>40</v>
      </c>
      <c r="AG1221" t="s">
        <v>40</v>
      </c>
      <c r="AH1221" t="s">
        <v>40</v>
      </c>
    </row>
    <row r="1222" spans="1:37" x14ac:dyDescent="0.3">
      <c r="A1222">
        <v>2019</v>
      </c>
      <c r="B1222">
        <v>11</v>
      </c>
      <c r="C1222" t="str">
        <f t="shared" si="38"/>
        <v>11/01/2019</v>
      </c>
      <c r="D1222" s="1" t="str">
        <f t="shared" si="39"/>
        <v>11/01/2019</v>
      </c>
      <c r="E1222" t="s">
        <v>37</v>
      </c>
      <c r="F1222" t="s">
        <v>51</v>
      </c>
      <c r="G1222" t="s">
        <v>39</v>
      </c>
      <c r="H1222">
        <v>24</v>
      </c>
      <c r="I1222">
        <v>23</v>
      </c>
      <c r="J1222">
        <v>0</v>
      </c>
      <c r="L1222">
        <v>0</v>
      </c>
      <c r="M1222">
        <v>0</v>
      </c>
      <c r="O1222">
        <v>0</v>
      </c>
      <c r="P1222">
        <v>0</v>
      </c>
      <c r="Q1222">
        <v>0</v>
      </c>
      <c r="S1222">
        <v>0</v>
      </c>
      <c r="T1222">
        <v>0</v>
      </c>
      <c r="U1222">
        <v>0</v>
      </c>
      <c r="V1222">
        <v>0</v>
      </c>
      <c r="W1222" s="1">
        <v>44160</v>
      </c>
      <c r="AB1222" t="s">
        <v>40</v>
      </c>
      <c r="AE1222" t="s">
        <v>40</v>
      </c>
      <c r="AI1222" t="s">
        <v>40</v>
      </c>
    </row>
    <row r="1223" spans="1:37" x14ac:dyDescent="0.3">
      <c r="A1223">
        <v>2019</v>
      </c>
      <c r="B1223">
        <v>11</v>
      </c>
      <c r="C1223" t="str">
        <f t="shared" si="38"/>
        <v>11/01/2019</v>
      </c>
      <c r="D1223" s="1" t="str">
        <f t="shared" si="39"/>
        <v>11/01/2019</v>
      </c>
      <c r="E1223" t="s">
        <v>37</v>
      </c>
      <c r="F1223" t="s">
        <v>51</v>
      </c>
      <c r="G1223" t="s">
        <v>41</v>
      </c>
      <c r="H1223">
        <v>17</v>
      </c>
      <c r="J1223">
        <v>0</v>
      </c>
      <c r="M1223">
        <v>0</v>
      </c>
      <c r="N1223">
        <v>0</v>
      </c>
      <c r="O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 s="1">
        <v>44160</v>
      </c>
      <c r="Z1223" t="s">
        <v>40</v>
      </c>
      <c r="AB1223" t="s">
        <v>40</v>
      </c>
      <c r="AC1223" t="s">
        <v>40</v>
      </c>
      <c r="AG1223" t="s">
        <v>40</v>
      </c>
      <c r="AH1223" t="s">
        <v>40</v>
      </c>
    </row>
    <row r="1224" spans="1:37" x14ac:dyDescent="0.3">
      <c r="A1224">
        <v>2019</v>
      </c>
      <c r="B1224">
        <v>11</v>
      </c>
      <c r="C1224" t="str">
        <f t="shared" si="38"/>
        <v>11/01/2019</v>
      </c>
      <c r="D1224" s="1" t="str">
        <f t="shared" si="39"/>
        <v>11/01/2019</v>
      </c>
      <c r="E1224" t="s">
        <v>37</v>
      </c>
      <c r="F1224" t="s">
        <v>51</v>
      </c>
      <c r="G1224" t="s">
        <v>42</v>
      </c>
      <c r="H1224">
        <v>47</v>
      </c>
      <c r="I1224">
        <v>29</v>
      </c>
      <c r="J1224">
        <v>0</v>
      </c>
      <c r="K1224">
        <v>14</v>
      </c>
      <c r="L1224">
        <v>0</v>
      </c>
      <c r="M1224">
        <v>0</v>
      </c>
      <c r="N1224">
        <v>0</v>
      </c>
      <c r="O1224">
        <v>0</v>
      </c>
      <c r="P1224">
        <v>0</v>
      </c>
      <c r="R1224">
        <v>0</v>
      </c>
      <c r="U1224">
        <v>0</v>
      </c>
      <c r="V1224">
        <v>0</v>
      </c>
      <c r="W1224" s="1">
        <v>44160</v>
      </c>
      <c r="AH1224" t="s">
        <v>40</v>
      </c>
      <c r="AJ1224" t="s">
        <v>40</v>
      </c>
      <c r="AK1224" t="s">
        <v>40</v>
      </c>
    </row>
    <row r="1225" spans="1:37" x14ac:dyDescent="0.3">
      <c r="A1225">
        <v>2019</v>
      </c>
      <c r="B1225">
        <v>11</v>
      </c>
      <c r="C1225" t="str">
        <f t="shared" si="38"/>
        <v>11/01/2019</v>
      </c>
      <c r="D1225" s="1" t="str">
        <f t="shared" si="39"/>
        <v>11/01/2019</v>
      </c>
      <c r="E1225" t="s">
        <v>37</v>
      </c>
      <c r="F1225" t="s">
        <v>51</v>
      </c>
      <c r="G1225" t="s">
        <v>43</v>
      </c>
      <c r="H1225">
        <v>55</v>
      </c>
      <c r="I1225">
        <v>47</v>
      </c>
      <c r="K1225">
        <v>21</v>
      </c>
      <c r="M1225">
        <v>0</v>
      </c>
      <c r="O1225">
        <v>0</v>
      </c>
      <c r="P1225">
        <v>0</v>
      </c>
      <c r="U1225">
        <v>0</v>
      </c>
      <c r="V1225">
        <v>0</v>
      </c>
      <c r="W1225" s="1">
        <v>44160</v>
      </c>
      <c r="AA1225" t="s">
        <v>40</v>
      </c>
      <c r="AC1225" t="s">
        <v>40</v>
      </c>
      <c r="AE1225" t="s">
        <v>40</v>
      </c>
      <c r="AH1225" t="s">
        <v>40</v>
      </c>
      <c r="AI1225" t="s">
        <v>40</v>
      </c>
      <c r="AJ1225" t="s">
        <v>40</v>
      </c>
      <c r="AK1225" t="s">
        <v>40</v>
      </c>
    </row>
    <row r="1226" spans="1:37" x14ac:dyDescent="0.3">
      <c r="A1226">
        <v>2019</v>
      </c>
      <c r="B1226">
        <v>11</v>
      </c>
      <c r="C1226" t="str">
        <f t="shared" si="38"/>
        <v>11/01/2019</v>
      </c>
      <c r="D1226" s="1" t="str">
        <f t="shared" si="39"/>
        <v>11/01/2019</v>
      </c>
      <c r="E1226" t="s">
        <v>37</v>
      </c>
      <c r="F1226" t="s">
        <v>51</v>
      </c>
      <c r="G1226" t="s">
        <v>44</v>
      </c>
      <c r="H1226">
        <v>128</v>
      </c>
      <c r="I1226">
        <v>110</v>
      </c>
      <c r="K1226">
        <v>71</v>
      </c>
      <c r="M1226">
        <v>0</v>
      </c>
      <c r="P1226">
        <v>0</v>
      </c>
      <c r="R1226">
        <v>0</v>
      </c>
      <c r="U1226">
        <v>0</v>
      </c>
      <c r="V1226">
        <v>0</v>
      </c>
      <c r="W1226" s="1">
        <v>44160</v>
      </c>
      <c r="AA1226" t="s">
        <v>40</v>
      </c>
      <c r="AC1226" t="s">
        <v>40</v>
      </c>
      <c r="AE1226" t="s">
        <v>40</v>
      </c>
      <c r="AF1226" t="s">
        <v>40</v>
      </c>
      <c r="AH1226" t="s">
        <v>40</v>
      </c>
      <c r="AJ1226" t="s">
        <v>40</v>
      </c>
      <c r="AK1226" t="s">
        <v>40</v>
      </c>
    </row>
    <row r="1227" spans="1:37" x14ac:dyDescent="0.3">
      <c r="A1227">
        <v>2019</v>
      </c>
      <c r="B1227">
        <v>11</v>
      </c>
      <c r="C1227" t="str">
        <f t="shared" si="38"/>
        <v>11/01/2019</v>
      </c>
      <c r="D1227" s="1" t="str">
        <f t="shared" si="39"/>
        <v>11/01/2019</v>
      </c>
      <c r="E1227" t="s">
        <v>37</v>
      </c>
      <c r="F1227" t="s">
        <v>51</v>
      </c>
      <c r="G1227" t="s">
        <v>45</v>
      </c>
      <c r="J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U1227">
        <v>0</v>
      </c>
      <c r="V1227">
        <v>0</v>
      </c>
      <c r="W1227" s="1">
        <v>44160</v>
      </c>
      <c r="Y1227" t="s">
        <v>40</v>
      </c>
      <c r="Z1227" t="s">
        <v>40</v>
      </c>
      <c r="AB1227" t="s">
        <v>40</v>
      </c>
      <c r="AK1227" t="s">
        <v>40</v>
      </c>
    </row>
    <row r="1228" spans="1:37" x14ac:dyDescent="0.3">
      <c r="A1228">
        <v>2019</v>
      </c>
      <c r="B1228">
        <v>11</v>
      </c>
      <c r="C1228" t="str">
        <f t="shared" si="38"/>
        <v>11/01/2019</v>
      </c>
      <c r="D1228" s="1" t="str">
        <f t="shared" si="39"/>
        <v>11/01/2019</v>
      </c>
      <c r="E1228" t="s">
        <v>37</v>
      </c>
      <c r="F1228" t="s">
        <v>51</v>
      </c>
      <c r="G1228" t="s">
        <v>46</v>
      </c>
      <c r="H1228">
        <v>251</v>
      </c>
      <c r="I1228">
        <v>237</v>
      </c>
      <c r="K1228">
        <v>125</v>
      </c>
      <c r="R1228">
        <v>0</v>
      </c>
      <c r="S1228">
        <v>31</v>
      </c>
      <c r="T1228">
        <v>22</v>
      </c>
      <c r="U1228">
        <v>0</v>
      </c>
      <c r="V1228">
        <v>0</v>
      </c>
      <c r="W1228" s="1">
        <v>44160</v>
      </c>
      <c r="AA1228" t="s">
        <v>40</v>
      </c>
      <c r="AC1228" t="s">
        <v>40</v>
      </c>
      <c r="AD1228" t="s">
        <v>40</v>
      </c>
      <c r="AE1228" t="s">
        <v>40</v>
      </c>
      <c r="AF1228" t="s">
        <v>40</v>
      </c>
      <c r="AG1228" t="s">
        <v>40</v>
      </c>
      <c r="AH1228" t="s">
        <v>40</v>
      </c>
    </row>
    <row r="1229" spans="1:37" x14ac:dyDescent="0.3">
      <c r="A1229">
        <v>2019</v>
      </c>
      <c r="B1229">
        <v>11</v>
      </c>
      <c r="C1229" t="str">
        <f t="shared" si="38"/>
        <v>11/01/2019</v>
      </c>
      <c r="D1229" s="1" t="str">
        <f t="shared" si="39"/>
        <v>11/01/2019</v>
      </c>
      <c r="E1229" t="s">
        <v>37</v>
      </c>
      <c r="F1229" t="s">
        <v>51</v>
      </c>
      <c r="G1229" t="s">
        <v>47</v>
      </c>
      <c r="H1229">
        <v>476</v>
      </c>
      <c r="I1229">
        <v>461</v>
      </c>
      <c r="J1229">
        <v>10</v>
      </c>
      <c r="K1229">
        <v>177</v>
      </c>
      <c r="L1229">
        <v>32</v>
      </c>
      <c r="N1229">
        <v>12</v>
      </c>
      <c r="S1229">
        <v>74</v>
      </c>
      <c r="T1229">
        <v>40</v>
      </c>
      <c r="U1229">
        <v>0</v>
      </c>
      <c r="V1229">
        <v>0</v>
      </c>
      <c r="W1229" s="1">
        <v>44160</v>
      </c>
      <c r="AD1229" t="s">
        <v>40</v>
      </c>
      <c r="AF1229" t="s">
        <v>40</v>
      </c>
      <c r="AG1229" t="s">
        <v>40</v>
      </c>
      <c r="AH1229" t="s">
        <v>40</v>
      </c>
      <c r="AI1229" t="s">
        <v>40</v>
      </c>
    </row>
    <row r="1230" spans="1:37" x14ac:dyDescent="0.3">
      <c r="A1230">
        <v>2019</v>
      </c>
      <c r="B1230">
        <v>11</v>
      </c>
      <c r="C1230" t="str">
        <f t="shared" si="38"/>
        <v>11/01/2019</v>
      </c>
      <c r="D1230" s="1" t="str">
        <f t="shared" si="39"/>
        <v>11/01/2019</v>
      </c>
      <c r="E1230" t="s">
        <v>37</v>
      </c>
      <c r="F1230" t="s">
        <v>51</v>
      </c>
      <c r="G1230" t="s">
        <v>48</v>
      </c>
      <c r="H1230">
        <v>718</v>
      </c>
      <c r="I1230">
        <v>692</v>
      </c>
      <c r="K1230">
        <v>173</v>
      </c>
      <c r="L1230">
        <v>31</v>
      </c>
      <c r="M1230">
        <v>30</v>
      </c>
      <c r="N1230">
        <v>12</v>
      </c>
      <c r="O1230">
        <v>26</v>
      </c>
      <c r="P1230">
        <v>18</v>
      </c>
      <c r="Q1230">
        <v>17</v>
      </c>
      <c r="S1230">
        <v>164</v>
      </c>
      <c r="T1230">
        <v>69</v>
      </c>
      <c r="U1230">
        <v>0</v>
      </c>
      <c r="V1230">
        <v>0</v>
      </c>
      <c r="W1230" s="1">
        <v>44160</v>
      </c>
      <c r="AA1230" t="s">
        <v>40</v>
      </c>
      <c r="AI1230" t="s">
        <v>40</v>
      </c>
    </row>
    <row r="1231" spans="1:37" x14ac:dyDescent="0.3">
      <c r="A1231">
        <v>2019</v>
      </c>
      <c r="B1231">
        <v>11</v>
      </c>
      <c r="C1231" t="str">
        <f t="shared" si="38"/>
        <v>11/01/2019</v>
      </c>
      <c r="D1231" s="1" t="str">
        <f t="shared" si="39"/>
        <v>11/01/2019</v>
      </c>
      <c r="E1231" t="s">
        <v>37</v>
      </c>
      <c r="F1231" t="s">
        <v>51</v>
      </c>
      <c r="G1231" t="s">
        <v>49</v>
      </c>
      <c r="H1231" s="2">
        <v>1275</v>
      </c>
      <c r="I1231" s="2">
        <v>1246</v>
      </c>
      <c r="J1231">
        <v>16</v>
      </c>
      <c r="K1231">
        <v>140</v>
      </c>
      <c r="L1231">
        <v>49</v>
      </c>
      <c r="M1231">
        <v>145</v>
      </c>
      <c r="N1231">
        <v>35</v>
      </c>
      <c r="O1231">
        <v>36</v>
      </c>
      <c r="P1231">
        <v>21</v>
      </c>
      <c r="Q1231">
        <v>35</v>
      </c>
      <c r="R1231">
        <v>12</v>
      </c>
      <c r="S1231">
        <v>314</v>
      </c>
      <c r="T1231">
        <v>145</v>
      </c>
      <c r="U1231">
        <v>0</v>
      </c>
      <c r="V1231">
        <v>0</v>
      </c>
      <c r="W1231" s="1">
        <v>44160</v>
      </c>
    </row>
    <row r="1232" spans="1:37" x14ac:dyDescent="0.3">
      <c r="A1232">
        <v>2019</v>
      </c>
      <c r="B1232">
        <v>11</v>
      </c>
      <c r="C1232" t="str">
        <f t="shared" si="38"/>
        <v>11/01/2019</v>
      </c>
      <c r="D1232" s="1" t="str">
        <f t="shared" si="39"/>
        <v>11/01/2019</v>
      </c>
      <c r="E1232" t="s">
        <v>37</v>
      </c>
      <c r="F1232" t="s">
        <v>52</v>
      </c>
      <c r="G1232" t="s">
        <v>39</v>
      </c>
      <c r="H1232">
        <v>255</v>
      </c>
      <c r="I1232">
        <v>226</v>
      </c>
      <c r="L1232">
        <v>0</v>
      </c>
      <c r="M1232">
        <v>0</v>
      </c>
      <c r="N1232">
        <v>0</v>
      </c>
      <c r="Q1232">
        <v>0</v>
      </c>
      <c r="R1232">
        <v>39</v>
      </c>
      <c r="U1232">
        <v>0</v>
      </c>
      <c r="V1232">
        <v>0</v>
      </c>
      <c r="W1232" s="1">
        <v>44160</v>
      </c>
      <c r="AA1232" t="s">
        <v>40</v>
      </c>
      <c r="AB1232" t="s">
        <v>40</v>
      </c>
      <c r="AF1232" t="s">
        <v>40</v>
      </c>
      <c r="AG1232" t="s">
        <v>40</v>
      </c>
      <c r="AJ1232" t="s">
        <v>40</v>
      </c>
      <c r="AK1232" t="s">
        <v>40</v>
      </c>
    </row>
    <row r="1233" spans="1:37" x14ac:dyDescent="0.3">
      <c r="A1233">
        <v>2019</v>
      </c>
      <c r="B1233">
        <v>11</v>
      </c>
      <c r="C1233" t="str">
        <f t="shared" si="38"/>
        <v>11/01/2019</v>
      </c>
      <c r="D1233" s="1" t="str">
        <f t="shared" si="39"/>
        <v>11/01/2019</v>
      </c>
      <c r="E1233" t="s">
        <v>37</v>
      </c>
      <c r="F1233" t="s">
        <v>52</v>
      </c>
      <c r="G1233" t="s">
        <v>41</v>
      </c>
      <c r="H1233">
        <v>175</v>
      </c>
      <c r="I1233">
        <v>75</v>
      </c>
      <c r="J1233">
        <v>0</v>
      </c>
      <c r="K1233">
        <v>14</v>
      </c>
      <c r="M1233">
        <v>0</v>
      </c>
      <c r="P1233">
        <v>0</v>
      </c>
      <c r="Q1233">
        <v>0</v>
      </c>
      <c r="R1233">
        <v>11</v>
      </c>
      <c r="U1233">
        <v>0</v>
      </c>
      <c r="V1233">
        <v>0</v>
      </c>
      <c r="W1233" s="1">
        <v>44160</v>
      </c>
      <c r="AC1233" t="s">
        <v>40</v>
      </c>
      <c r="AE1233" t="s">
        <v>40</v>
      </c>
      <c r="AF1233" t="s">
        <v>40</v>
      </c>
      <c r="AJ1233" t="s">
        <v>40</v>
      </c>
      <c r="AK1233" t="s">
        <v>40</v>
      </c>
    </row>
    <row r="1234" spans="1:37" x14ac:dyDescent="0.3">
      <c r="A1234">
        <v>2019</v>
      </c>
      <c r="B1234">
        <v>11</v>
      </c>
      <c r="C1234" t="str">
        <f t="shared" si="38"/>
        <v>11/01/2019</v>
      </c>
      <c r="D1234" s="1" t="str">
        <f t="shared" si="39"/>
        <v>11/01/2019</v>
      </c>
      <c r="E1234" t="s">
        <v>37</v>
      </c>
      <c r="F1234" t="s">
        <v>52</v>
      </c>
      <c r="G1234" t="s">
        <v>42</v>
      </c>
      <c r="H1234">
        <v>351</v>
      </c>
      <c r="I1234">
        <v>226</v>
      </c>
      <c r="K1234">
        <v>39</v>
      </c>
      <c r="M1234">
        <v>0</v>
      </c>
      <c r="R1234">
        <v>12</v>
      </c>
      <c r="S1234">
        <v>42</v>
      </c>
      <c r="U1234">
        <v>0</v>
      </c>
      <c r="V1234">
        <v>0</v>
      </c>
      <c r="W1234" s="1">
        <v>44160</v>
      </c>
      <c r="AA1234" t="s">
        <v>40</v>
      </c>
      <c r="AC1234" t="s">
        <v>40</v>
      </c>
      <c r="AE1234" t="s">
        <v>40</v>
      </c>
      <c r="AF1234" t="s">
        <v>40</v>
      </c>
      <c r="AG1234" t="s">
        <v>40</v>
      </c>
      <c r="AH1234" t="s">
        <v>40</v>
      </c>
      <c r="AK1234" t="s">
        <v>40</v>
      </c>
    </row>
    <row r="1235" spans="1:37" x14ac:dyDescent="0.3">
      <c r="A1235">
        <v>2019</v>
      </c>
      <c r="B1235">
        <v>11</v>
      </c>
      <c r="C1235" t="str">
        <f t="shared" si="38"/>
        <v>11/01/2019</v>
      </c>
      <c r="D1235" s="1" t="str">
        <f t="shared" si="39"/>
        <v>11/01/2019</v>
      </c>
      <c r="E1235" t="s">
        <v>37</v>
      </c>
      <c r="F1235" t="s">
        <v>52</v>
      </c>
      <c r="G1235" t="s">
        <v>43</v>
      </c>
      <c r="H1235">
        <v>524</v>
      </c>
      <c r="I1235">
        <v>425</v>
      </c>
      <c r="K1235">
        <v>91</v>
      </c>
      <c r="L1235">
        <v>26</v>
      </c>
      <c r="M1235">
        <v>0</v>
      </c>
      <c r="Q1235">
        <v>18</v>
      </c>
      <c r="S1235">
        <v>99</v>
      </c>
      <c r="T1235">
        <v>12</v>
      </c>
      <c r="U1235">
        <v>0</v>
      </c>
      <c r="V1235">
        <v>0</v>
      </c>
      <c r="W1235" s="1">
        <v>44160</v>
      </c>
      <c r="AA1235" t="s">
        <v>40</v>
      </c>
      <c r="AE1235" t="s">
        <v>40</v>
      </c>
      <c r="AF1235" t="s">
        <v>40</v>
      </c>
      <c r="AG1235" t="s">
        <v>40</v>
      </c>
      <c r="AI1235" t="s">
        <v>40</v>
      </c>
    </row>
    <row r="1236" spans="1:37" x14ac:dyDescent="0.3">
      <c r="A1236">
        <v>2019</v>
      </c>
      <c r="B1236">
        <v>11</v>
      </c>
      <c r="C1236" t="str">
        <f t="shared" si="38"/>
        <v>11/01/2019</v>
      </c>
      <c r="D1236" s="1" t="str">
        <f t="shared" si="39"/>
        <v>11/01/2019</v>
      </c>
      <c r="E1236" t="s">
        <v>37</v>
      </c>
      <c r="F1236" t="s">
        <v>52</v>
      </c>
      <c r="G1236" t="s">
        <v>44</v>
      </c>
      <c r="H1236" s="2">
        <v>1051</v>
      </c>
      <c r="I1236">
        <v>938</v>
      </c>
      <c r="J1236">
        <v>16</v>
      </c>
      <c r="K1236">
        <v>256</v>
      </c>
      <c r="L1236">
        <v>54</v>
      </c>
      <c r="N1236">
        <v>16</v>
      </c>
      <c r="O1236">
        <v>23</v>
      </c>
      <c r="P1236">
        <v>12</v>
      </c>
      <c r="Q1236">
        <v>39</v>
      </c>
      <c r="S1236">
        <v>199</v>
      </c>
      <c r="T1236">
        <v>63</v>
      </c>
      <c r="U1236">
        <v>0</v>
      </c>
      <c r="V1236">
        <v>0</v>
      </c>
      <c r="W1236" s="1">
        <v>44160</v>
      </c>
      <c r="AD1236" t="s">
        <v>40</v>
      </c>
      <c r="AI1236" t="s">
        <v>40</v>
      </c>
    </row>
    <row r="1237" spans="1:37" x14ac:dyDescent="0.3">
      <c r="A1237">
        <v>2019</v>
      </c>
      <c r="B1237">
        <v>11</v>
      </c>
      <c r="C1237" t="str">
        <f t="shared" si="38"/>
        <v>11/01/2019</v>
      </c>
      <c r="D1237" s="1" t="str">
        <f t="shared" si="39"/>
        <v>11/01/2019</v>
      </c>
      <c r="E1237" t="s">
        <v>37</v>
      </c>
      <c r="F1237" t="s">
        <v>52</v>
      </c>
      <c r="G1237" t="s">
        <v>45</v>
      </c>
      <c r="H1237">
        <v>41</v>
      </c>
      <c r="I1237">
        <v>30</v>
      </c>
      <c r="M1237">
        <v>0</v>
      </c>
      <c r="P1237">
        <v>0</v>
      </c>
      <c r="T1237">
        <v>0</v>
      </c>
      <c r="U1237">
        <v>0</v>
      </c>
      <c r="V1237">
        <v>0</v>
      </c>
      <c r="W1237" s="1">
        <v>44160</v>
      </c>
      <c r="AA1237" t="s">
        <v>40</v>
      </c>
      <c r="AB1237" t="s">
        <v>40</v>
      </c>
      <c r="AC1237" t="s">
        <v>40</v>
      </c>
      <c r="AE1237" t="s">
        <v>40</v>
      </c>
      <c r="AF1237" t="s">
        <v>40</v>
      </c>
      <c r="AH1237" t="s">
        <v>40</v>
      </c>
      <c r="AI1237" t="s">
        <v>40</v>
      </c>
      <c r="AJ1237" t="s">
        <v>40</v>
      </c>
    </row>
    <row r="1238" spans="1:37" x14ac:dyDescent="0.3">
      <c r="A1238">
        <v>2019</v>
      </c>
      <c r="B1238">
        <v>11</v>
      </c>
      <c r="C1238" t="str">
        <f t="shared" si="38"/>
        <v>11/01/2019</v>
      </c>
      <c r="D1238" s="1" t="str">
        <f t="shared" si="39"/>
        <v>11/01/2019</v>
      </c>
      <c r="E1238" t="s">
        <v>37</v>
      </c>
      <c r="F1238" t="s">
        <v>52</v>
      </c>
      <c r="G1238" t="s">
        <v>46</v>
      </c>
      <c r="H1238" s="2">
        <v>2284</v>
      </c>
      <c r="I1238" s="2">
        <v>2151</v>
      </c>
      <c r="J1238">
        <v>63</v>
      </c>
      <c r="K1238">
        <v>689</v>
      </c>
      <c r="L1238">
        <v>137</v>
      </c>
      <c r="M1238">
        <v>11</v>
      </c>
      <c r="N1238">
        <v>23</v>
      </c>
      <c r="O1238">
        <v>81</v>
      </c>
      <c r="P1238">
        <v>29</v>
      </c>
      <c r="Q1238">
        <v>50</v>
      </c>
      <c r="R1238">
        <v>12</v>
      </c>
      <c r="S1238">
        <v>514</v>
      </c>
      <c r="T1238">
        <v>124</v>
      </c>
      <c r="U1238">
        <v>0</v>
      </c>
      <c r="V1238">
        <v>0</v>
      </c>
      <c r="W1238" s="1">
        <v>44160</v>
      </c>
    </row>
    <row r="1239" spans="1:37" x14ac:dyDescent="0.3">
      <c r="A1239">
        <v>2019</v>
      </c>
      <c r="B1239">
        <v>11</v>
      </c>
      <c r="C1239" t="str">
        <f t="shared" si="38"/>
        <v>11/01/2019</v>
      </c>
      <c r="D1239" s="1" t="str">
        <f t="shared" si="39"/>
        <v>11/01/2019</v>
      </c>
      <c r="E1239" t="s">
        <v>37</v>
      </c>
      <c r="F1239" t="s">
        <v>52</v>
      </c>
      <c r="G1239" t="s">
        <v>47</v>
      </c>
      <c r="H1239" s="2">
        <v>2965</v>
      </c>
      <c r="I1239" s="2">
        <v>2891</v>
      </c>
      <c r="J1239">
        <v>72</v>
      </c>
      <c r="K1239">
        <v>851</v>
      </c>
      <c r="L1239">
        <v>165</v>
      </c>
      <c r="M1239">
        <v>56</v>
      </c>
      <c r="N1239">
        <v>49</v>
      </c>
      <c r="O1239">
        <v>111</v>
      </c>
      <c r="P1239">
        <v>49</v>
      </c>
      <c r="Q1239">
        <v>81</v>
      </c>
      <c r="R1239">
        <v>31</v>
      </c>
      <c r="S1239">
        <v>667</v>
      </c>
      <c r="T1239">
        <v>192</v>
      </c>
      <c r="U1239">
        <v>0</v>
      </c>
      <c r="V1239">
        <v>0</v>
      </c>
      <c r="W1239" s="1">
        <v>44160</v>
      </c>
    </row>
    <row r="1240" spans="1:37" x14ac:dyDescent="0.3">
      <c r="A1240">
        <v>2019</v>
      </c>
      <c r="B1240">
        <v>11</v>
      </c>
      <c r="C1240" t="str">
        <f t="shared" si="38"/>
        <v>11/01/2019</v>
      </c>
      <c r="D1240" s="1" t="str">
        <f t="shared" si="39"/>
        <v>11/01/2019</v>
      </c>
      <c r="E1240" t="s">
        <v>37</v>
      </c>
      <c r="F1240" t="s">
        <v>52</v>
      </c>
      <c r="G1240" t="s">
        <v>48</v>
      </c>
      <c r="H1240" s="2">
        <v>3025</v>
      </c>
      <c r="I1240" s="2">
        <v>2958</v>
      </c>
      <c r="J1240">
        <v>69</v>
      </c>
      <c r="K1240">
        <v>598</v>
      </c>
      <c r="L1240">
        <v>152</v>
      </c>
      <c r="M1240">
        <v>123</v>
      </c>
      <c r="N1240">
        <v>42</v>
      </c>
      <c r="O1240">
        <v>111</v>
      </c>
      <c r="P1240">
        <v>45</v>
      </c>
      <c r="Q1240">
        <v>132</v>
      </c>
      <c r="R1240">
        <v>25</v>
      </c>
      <c r="S1240">
        <v>776</v>
      </c>
      <c r="T1240">
        <v>251</v>
      </c>
      <c r="U1240">
        <v>0</v>
      </c>
      <c r="V1240">
        <v>0</v>
      </c>
      <c r="W1240" s="1">
        <v>44160</v>
      </c>
    </row>
    <row r="1241" spans="1:37" x14ac:dyDescent="0.3">
      <c r="A1241">
        <v>2019</v>
      </c>
      <c r="B1241">
        <v>11</v>
      </c>
      <c r="C1241" t="str">
        <f t="shared" si="38"/>
        <v>11/01/2019</v>
      </c>
      <c r="D1241" s="1" t="str">
        <f t="shared" si="39"/>
        <v>11/01/2019</v>
      </c>
      <c r="E1241" t="s">
        <v>37</v>
      </c>
      <c r="F1241" t="s">
        <v>52</v>
      </c>
      <c r="G1241" t="s">
        <v>49</v>
      </c>
      <c r="H1241" s="2">
        <v>3487</v>
      </c>
      <c r="I1241" s="2">
        <v>3436</v>
      </c>
      <c r="J1241">
        <v>55</v>
      </c>
      <c r="K1241">
        <v>388</v>
      </c>
      <c r="L1241">
        <v>97</v>
      </c>
      <c r="M1241">
        <v>372</v>
      </c>
      <c r="N1241">
        <v>51</v>
      </c>
      <c r="O1241">
        <v>87</v>
      </c>
      <c r="P1241">
        <v>40</v>
      </c>
      <c r="Q1241">
        <v>110</v>
      </c>
      <c r="R1241">
        <v>41</v>
      </c>
      <c r="S1241">
        <v>928</v>
      </c>
      <c r="T1241">
        <v>316</v>
      </c>
      <c r="U1241">
        <v>0</v>
      </c>
      <c r="V1241">
        <v>0</v>
      </c>
      <c r="W1241" s="1">
        <v>44160</v>
      </c>
    </row>
    <row r="1242" spans="1:37" x14ac:dyDescent="0.3">
      <c r="A1242">
        <v>2019</v>
      </c>
      <c r="B1242">
        <v>11</v>
      </c>
      <c r="C1242" t="str">
        <f t="shared" si="38"/>
        <v>11/01/2019</v>
      </c>
      <c r="D1242" s="1" t="str">
        <f t="shared" si="39"/>
        <v>11/01/2019</v>
      </c>
      <c r="E1242" t="s">
        <v>37</v>
      </c>
      <c r="F1242" t="s">
        <v>53</v>
      </c>
      <c r="G1242" t="s">
        <v>39</v>
      </c>
      <c r="H1242">
        <v>345</v>
      </c>
      <c r="I1242">
        <v>317</v>
      </c>
      <c r="L1242">
        <v>0</v>
      </c>
      <c r="M1242">
        <v>0</v>
      </c>
      <c r="O1242">
        <v>0</v>
      </c>
      <c r="P1242">
        <v>0</v>
      </c>
      <c r="R1242">
        <v>33</v>
      </c>
      <c r="U1242">
        <v>0</v>
      </c>
      <c r="V1242">
        <v>0</v>
      </c>
      <c r="W1242" s="1">
        <v>44160</v>
      </c>
      <c r="AA1242" t="s">
        <v>40</v>
      </c>
      <c r="AB1242" t="s">
        <v>40</v>
      </c>
      <c r="AE1242" t="s">
        <v>40</v>
      </c>
      <c r="AH1242" t="s">
        <v>40</v>
      </c>
      <c r="AJ1242" t="s">
        <v>40</v>
      </c>
      <c r="AK1242" t="s">
        <v>40</v>
      </c>
    </row>
    <row r="1243" spans="1:37" x14ac:dyDescent="0.3">
      <c r="A1243">
        <v>2019</v>
      </c>
      <c r="B1243">
        <v>11</v>
      </c>
      <c r="C1243" t="str">
        <f t="shared" si="38"/>
        <v>11/01/2019</v>
      </c>
      <c r="D1243" s="1" t="str">
        <f t="shared" si="39"/>
        <v>11/01/2019</v>
      </c>
      <c r="E1243" t="s">
        <v>37</v>
      </c>
      <c r="F1243" t="s">
        <v>53</v>
      </c>
      <c r="G1243" t="s">
        <v>41</v>
      </c>
      <c r="H1243">
        <v>335</v>
      </c>
      <c r="I1243">
        <v>108</v>
      </c>
      <c r="K1243">
        <v>18</v>
      </c>
      <c r="M1243">
        <v>0</v>
      </c>
      <c r="S1243">
        <v>18</v>
      </c>
      <c r="U1243">
        <v>0</v>
      </c>
      <c r="V1243">
        <v>0</v>
      </c>
      <c r="W1243" s="1">
        <v>44160</v>
      </c>
      <c r="AA1243" t="s">
        <v>40</v>
      </c>
      <c r="AC1243" t="s">
        <v>40</v>
      </c>
      <c r="AE1243" t="s">
        <v>40</v>
      </c>
      <c r="AF1243" t="s">
        <v>40</v>
      </c>
      <c r="AG1243" t="s">
        <v>40</v>
      </c>
      <c r="AH1243" t="s">
        <v>40</v>
      </c>
      <c r="AI1243" t="s">
        <v>40</v>
      </c>
      <c r="AK1243" t="s">
        <v>40</v>
      </c>
    </row>
    <row r="1244" spans="1:37" x14ac:dyDescent="0.3">
      <c r="A1244">
        <v>2019</v>
      </c>
      <c r="B1244">
        <v>11</v>
      </c>
      <c r="C1244" t="str">
        <f t="shared" si="38"/>
        <v>11/01/2019</v>
      </c>
      <c r="D1244" s="1" t="str">
        <f t="shared" si="39"/>
        <v>11/01/2019</v>
      </c>
      <c r="E1244" t="s">
        <v>37</v>
      </c>
      <c r="F1244" t="s">
        <v>53</v>
      </c>
      <c r="G1244" t="s">
        <v>42</v>
      </c>
      <c r="H1244">
        <v>915</v>
      </c>
      <c r="I1244">
        <v>394</v>
      </c>
      <c r="K1244">
        <v>85</v>
      </c>
      <c r="L1244">
        <v>15</v>
      </c>
      <c r="M1244">
        <v>0</v>
      </c>
      <c r="P1244">
        <v>11</v>
      </c>
      <c r="R1244">
        <v>16</v>
      </c>
      <c r="S1244">
        <v>63</v>
      </c>
      <c r="U1244">
        <v>0</v>
      </c>
      <c r="V1244">
        <v>0</v>
      </c>
      <c r="W1244" s="1">
        <v>44160</v>
      </c>
      <c r="AA1244" t="s">
        <v>40</v>
      </c>
      <c r="AE1244" t="s">
        <v>40</v>
      </c>
      <c r="AF1244" t="s">
        <v>40</v>
      </c>
      <c r="AH1244" t="s">
        <v>40</v>
      </c>
      <c r="AK1244" t="s">
        <v>40</v>
      </c>
    </row>
    <row r="1245" spans="1:37" x14ac:dyDescent="0.3">
      <c r="A1245">
        <v>2019</v>
      </c>
      <c r="B1245">
        <v>11</v>
      </c>
      <c r="C1245" t="str">
        <f t="shared" si="38"/>
        <v>11/01/2019</v>
      </c>
      <c r="D1245" s="1" t="str">
        <f t="shared" si="39"/>
        <v>11/01/2019</v>
      </c>
      <c r="E1245" t="s">
        <v>37</v>
      </c>
      <c r="F1245" t="s">
        <v>53</v>
      </c>
      <c r="G1245" t="s">
        <v>43</v>
      </c>
      <c r="H1245" s="2">
        <v>1429</v>
      </c>
      <c r="I1245">
        <v>889</v>
      </c>
      <c r="J1245">
        <v>25</v>
      </c>
      <c r="K1245">
        <v>296</v>
      </c>
      <c r="L1245">
        <v>32</v>
      </c>
      <c r="M1245">
        <v>0</v>
      </c>
      <c r="N1245">
        <v>20</v>
      </c>
      <c r="O1245">
        <v>18</v>
      </c>
      <c r="P1245">
        <v>11</v>
      </c>
      <c r="R1245">
        <v>34</v>
      </c>
      <c r="S1245">
        <v>115</v>
      </c>
      <c r="T1245">
        <v>18</v>
      </c>
      <c r="U1245">
        <v>0</v>
      </c>
      <c r="V1245">
        <v>0</v>
      </c>
      <c r="W1245" s="1">
        <v>44160</v>
      </c>
      <c r="AH1245" t="s">
        <v>40</v>
      </c>
    </row>
    <row r="1246" spans="1:37" x14ac:dyDescent="0.3">
      <c r="A1246">
        <v>2019</v>
      </c>
      <c r="B1246">
        <v>11</v>
      </c>
      <c r="C1246" t="str">
        <f t="shared" si="38"/>
        <v>11/01/2019</v>
      </c>
      <c r="D1246" s="1" t="str">
        <f t="shared" si="39"/>
        <v>11/01/2019</v>
      </c>
      <c r="E1246" t="s">
        <v>37</v>
      </c>
      <c r="F1246" t="s">
        <v>53</v>
      </c>
      <c r="G1246" t="s">
        <v>44</v>
      </c>
      <c r="H1246" s="2">
        <v>3393</v>
      </c>
      <c r="I1246" s="2">
        <v>2748</v>
      </c>
      <c r="J1246">
        <v>56</v>
      </c>
      <c r="K1246" s="2">
        <v>1000</v>
      </c>
      <c r="L1246">
        <v>90</v>
      </c>
      <c r="N1246">
        <v>30</v>
      </c>
      <c r="O1246">
        <v>130</v>
      </c>
      <c r="P1246">
        <v>29</v>
      </c>
      <c r="Q1246">
        <v>37</v>
      </c>
      <c r="R1246">
        <v>38</v>
      </c>
      <c r="S1246">
        <v>471</v>
      </c>
      <c r="T1246">
        <v>112</v>
      </c>
      <c r="U1246">
        <v>0</v>
      </c>
      <c r="V1246">
        <v>0</v>
      </c>
      <c r="W1246" s="1">
        <v>44160</v>
      </c>
      <c r="AD1246" t="s">
        <v>40</v>
      </c>
    </row>
    <row r="1247" spans="1:37" x14ac:dyDescent="0.3">
      <c r="A1247">
        <v>2019</v>
      </c>
      <c r="B1247">
        <v>11</v>
      </c>
      <c r="C1247" t="str">
        <f t="shared" si="38"/>
        <v>11/01/2019</v>
      </c>
      <c r="D1247" s="1" t="str">
        <f t="shared" si="39"/>
        <v>11/01/2019</v>
      </c>
      <c r="E1247" t="s">
        <v>37</v>
      </c>
      <c r="F1247" t="s">
        <v>53</v>
      </c>
      <c r="G1247" t="s">
        <v>45</v>
      </c>
      <c r="H1247">
        <v>85</v>
      </c>
      <c r="I1247">
        <v>47</v>
      </c>
      <c r="K1247">
        <v>14</v>
      </c>
      <c r="L1247">
        <v>0</v>
      </c>
      <c r="M1247">
        <v>0</v>
      </c>
      <c r="Q1247">
        <v>0</v>
      </c>
      <c r="T1247">
        <v>0</v>
      </c>
      <c r="U1247">
        <v>0</v>
      </c>
      <c r="V1247">
        <v>0</v>
      </c>
      <c r="W1247" s="1">
        <v>44160</v>
      </c>
      <c r="AA1247" t="s">
        <v>40</v>
      </c>
      <c r="AE1247" t="s">
        <v>40</v>
      </c>
      <c r="AF1247" t="s">
        <v>40</v>
      </c>
      <c r="AG1247" t="s">
        <v>40</v>
      </c>
      <c r="AI1247" t="s">
        <v>40</v>
      </c>
      <c r="AJ1247" t="s">
        <v>40</v>
      </c>
    </row>
    <row r="1248" spans="1:37" x14ac:dyDescent="0.3">
      <c r="A1248">
        <v>2019</v>
      </c>
      <c r="B1248">
        <v>11</v>
      </c>
      <c r="C1248" t="str">
        <f t="shared" si="38"/>
        <v>11/01/2019</v>
      </c>
      <c r="D1248" s="1" t="str">
        <f t="shared" si="39"/>
        <v>11/01/2019</v>
      </c>
      <c r="E1248" t="s">
        <v>37</v>
      </c>
      <c r="F1248" t="s">
        <v>53</v>
      </c>
      <c r="G1248" t="s">
        <v>46</v>
      </c>
      <c r="H1248" s="2">
        <v>8556</v>
      </c>
      <c r="I1248" s="2">
        <v>7922</v>
      </c>
      <c r="J1248">
        <v>140</v>
      </c>
      <c r="K1248" s="2">
        <v>3056</v>
      </c>
      <c r="L1248">
        <v>265</v>
      </c>
      <c r="M1248">
        <v>59</v>
      </c>
      <c r="N1248">
        <v>98</v>
      </c>
      <c r="O1248">
        <v>599</v>
      </c>
      <c r="P1248">
        <v>134</v>
      </c>
      <c r="Q1248">
        <v>111</v>
      </c>
      <c r="R1248">
        <v>69</v>
      </c>
      <c r="S1248" s="2">
        <v>1392</v>
      </c>
      <c r="T1248">
        <v>290</v>
      </c>
      <c r="U1248">
        <v>0</v>
      </c>
      <c r="V1248">
        <v>0</v>
      </c>
      <c r="W1248" s="1">
        <v>44160</v>
      </c>
    </row>
    <row r="1249" spans="1:37" x14ac:dyDescent="0.3">
      <c r="A1249">
        <v>2019</v>
      </c>
      <c r="B1249">
        <v>11</v>
      </c>
      <c r="C1249" t="str">
        <f t="shared" si="38"/>
        <v>11/01/2019</v>
      </c>
      <c r="D1249" s="1" t="str">
        <f t="shared" si="39"/>
        <v>11/01/2019</v>
      </c>
      <c r="E1249" t="s">
        <v>37</v>
      </c>
      <c r="F1249" t="s">
        <v>53</v>
      </c>
      <c r="G1249" t="s">
        <v>47</v>
      </c>
      <c r="H1249" s="2">
        <v>14676</v>
      </c>
      <c r="I1249" s="2">
        <v>14149</v>
      </c>
      <c r="J1249">
        <v>223</v>
      </c>
      <c r="K1249" s="2">
        <v>4714</v>
      </c>
      <c r="L1249">
        <v>485</v>
      </c>
      <c r="M1249">
        <v>312</v>
      </c>
      <c r="N1249">
        <v>192</v>
      </c>
      <c r="O1249" s="2">
        <v>1298</v>
      </c>
      <c r="P1249">
        <v>279</v>
      </c>
      <c r="Q1249">
        <v>238</v>
      </c>
      <c r="R1249">
        <v>121</v>
      </c>
      <c r="S1249" s="2">
        <v>2646</v>
      </c>
      <c r="T1249">
        <v>653</v>
      </c>
      <c r="U1249">
        <v>0</v>
      </c>
      <c r="V1249">
        <v>0</v>
      </c>
      <c r="W1249" s="1">
        <v>44160</v>
      </c>
    </row>
    <row r="1250" spans="1:37" x14ac:dyDescent="0.3">
      <c r="A1250">
        <v>2019</v>
      </c>
      <c r="B1250">
        <v>11</v>
      </c>
      <c r="C1250" t="str">
        <f t="shared" si="38"/>
        <v>11/01/2019</v>
      </c>
      <c r="D1250" s="1" t="str">
        <f t="shared" si="39"/>
        <v>11/01/2019</v>
      </c>
      <c r="E1250" t="s">
        <v>37</v>
      </c>
      <c r="F1250" t="s">
        <v>53</v>
      </c>
      <c r="G1250" t="s">
        <v>48</v>
      </c>
      <c r="H1250" s="2">
        <v>22099</v>
      </c>
      <c r="I1250" s="2">
        <v>21442</v>
      </c>
      <c r="J1250">
        <v>308</v>
      </c>
      <c r="K1250" s="2">
        <v>5074</v>
      </c>
      <c r="L1250">
        <v>514</v>
      </c>
      <c r="M1250" s="2">
        <v>1486</v>
      </c>
      <c r="N1250">
        <v>347</v>
      </c>
      <c r="O1250" s="2">
        <v>1832</v>
      </c>
      <c r="P1250">
        <v>419</v>
      </c>
      <c r="Q1250">
        <v>420</v>
      </c>
      <c r="R1250">
        <v>222</v>
      </c>
      <c r="S1250" s="2">
        <v>4442</v>
      </c>
      <c r="T1250" s="2">
        <v>1443</v>
      </c>
      <c r="U1250">
        <v>0</v>
      </c>
      <c r="V1250">
        <v>0</v>
      </c>
      <c r="W1250" s="1">
        <v>44160</v>
      </c>
    </row>
    <row r="1251" spans="1:37" x14ac:dyDescent="0.3">
      <c r="A1251">
        <v>2019</v>
      </c>
      <c r="B1251">
        <v>11</v>
      </c>
      <c r="C1251" t="str">
        <f t="shared" si="38"/>
        <v>11/01/2019</v>
      </c>
      <c r="D1251" s="1" t="str">
        <f t="shared" si="39"/>
        <v>11/01/2019</v>
      </c>
      <c r="E1251" t="s">
        <v>37</v>
      </c>
      <c r="F1251" t="s">
        <v>53</v>
      </c>
      <c r="G1251" t="s">
        <v>49</v>
      </c>
      <c r="H1251" s="2">
        <v>37253</v>
      </c>
      <c r="I1251" s="2">
        <v>36120</v>
      </c>
      <c r="J1251">
        <v>371</v>
      </c>
      <c r="K1251" s="2">
        <v>3658</v>
      </c>
      <c r="L1251">
        <v>550</v>
      </c>
      <c r="M1251" s="2">
        <v>4141</v>
      </c>
      <c r="N1251">
        <v>623</v>
      </c>
      <c r="O1251" s="2">
        <v>1757</v>
      </c>
      <c r="P1251">
        <v>519</v>
      </c>
      <c r="Q1251">
        <v>599</v>
      </c>
      <c r="R1251">
        <v>548</v>
      </c>
      <c r="S1251" s="2">
        <v>10225</v>
      </c>
      <c r="T1251" s="2">
        <v>2974</v>
      </c>
      <c r="U1251">
        <v>0</v>
      </c>
      <c r="V1251">
        <v>0</v>
      </c>
      <c r="W1251" s="1">
        <v>44160</v>
      </c>
    </row>
    <row r="1252" spans="1:37" x14ac:dyDescent="0.3">
      <c r="A1252">
        <v>2019</v>
      </c>
      <c r="B1252">
        <v>11</v>
      </c>
      <c r="C1252" t="str">
        <f t="shared" si="38"/>
        <v>11/01/2019</v>
      </c>
      <c r="D1252" s="1" t="str">
        <f t="shared" si="39"/>
        <v>11/01/2019</v>
      </c>
      <c r="E1252" t="s">
        <v>37</v>
      </c>
      <c r="F1252" t="s">
        <v>54</v>
      </c>
      <c r="G1252" t="s">
        <v>39</v>
      </c>
      <c r="H1252">
        <v>36</v>
      </c>
      <c r="I1252">
        <v>31</v>
      </c>
      <c r="J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T1252">
        <v>0</v>
      </c>
      <c r="U1252">
        <v>0</v>
      </c>
      <c r="V1252">
        <v>0</v>
      </c>
      <c r="W1252" s="1">
        <v>44160</v>
      </c>
      <c r="AB1252" t="s">
        <v>40</v>
      </c>
      <c r="AI1252" t="s">
        <v>40</v>
      </c>
      <c r="AJ1252" t="s">
        <v>40</v>
      </c>
    </row>
    <row r="1253" spans="1:37" x14ac:dyDescent="0.3">
      <c r="A1253">
        <v>2019</v>
      </c>
      <c r="B1253">
        <v>11</v>
      </c>
      <c r="C1253" t="str">
        <f t="shared" si="38"/>
        <v>11/01/2019</v>
      </c>
      <c r="D1253" s="1" t="str">
        <f t="shared" si="39"/>
        <v>11/01/2019</v>
      </c>
      <c r="E1253" t="s">
        <v>37</v>
      </c>
      <c r="F1253" t="s">
        <v>54</v>
      </c>
      <c r="G1253" t="s">
        <v>41</v>
      </c>
      <c r="H1253">
        <v>23</v>
      </c>
      <c r="J1253">
        <v>0</v>
      </c>
      <c r="K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U1253">
        <v>0</v>
      </c>
      <c r="V1253">
        <v>0</v>
      </c>
      <c r="W1253" s="1">
        <v>44160</v>
      </c>
      <c r="Z1253" t="s">
        <v>40</v>
      </c>
      <c r="AC1253" t="s">
        <v>40</v>
      </c>
      <c r="AJ1253" t="s">
        <v>40</v>
      </c>
      <c r="AK1253" t="s">
        <v>40</v>
      </c>
    </row>
    <row r="1254" spans="1:37" x14ac:dyDescent="0.3">
      <c r="A1254">
        <v>2019</v>
      </c>
      <c r="B1254">
        <v>11</v>
      </c>
      <c r="C1254" t="str">
        <f t="shared" si="38"/>
        <v>11/01/2019</v>
      </c>
      <c r="D1254" s="1" t="str">
        <f t="shared" si="39"/>
        <v>11/01/2019</v>
      </c>
      <c r="E1254" t="s">
        <v>37</v>
      </c>
      <c r="F1254" t="s">
        <v>54</v>
      </c>
      <c r="G1254" t="s">
        <v>42</v>
      </c>
      <c r="H1254">
        <v>22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Q1254">
        <v>0</v>
      </c>
      <c r="R1254">
        <v>0</v>
      </c>
      <c r="T1254">
        <v>0</v>
      </c>
      <c r="U1254">
        <v>0</v>
      </c>
      <c r="V1254">
        <v>0</v>
      </c>
      <c r="W1254" s="1">
        <v>44160</v>
      </c>
      <c r="Z1254" t="s">
        <v>40</v>
      </c>
      <c r="AG1254" t="s">
        <v>40</v>
      </c>
      <c r="AJ1254" t="s">
        <v>40</v>
      </c>
    </row>
    <row r="1255" spans="1:37" x14ac:dyDescent="0.3">
      <c r="A1255">
        <v>2019</v>
      </c>
      <c r="B1255">
        <v>11</v>
      </c>
      <c r="C1255" t="str">
        <f t="shared" si="38"/>
        <v>11/01/2019</v>
      </c>
      <c r="D1255" s="1" t="str">
        <f t="shared" si="39"/>
        <v>11/01/2019</v>
      </c>
      <c r="E1255" t="s">
        <v>37</v>
      </c>
      <c r="F1255" t="s">
        <v>54</v>
      </c>
      <c r="G1255" t="s">
        <v>43</v>
      </c>
      <c r="H1255">
        <v>42</v>
      </c>
      <c r="I1255">
        <v>23</v>
      </c>
      <c r="N1255">
        <v>0</v>
      </c>
      <c r="O1255">
        <v>0</v>
      </c>
      <c r="Q1255">
        <v>0</v>
      </c>
      <c r="R1255">
        <v>0</v>
      </c>
      <c r="U1255">
        <v>0</v>
      </c>
      <c r="V1255">
        <v>0</v>
      </c>
      <c r="W1255" s="1">
        <v>44160</v>
      </c>
      <c r="AA1255" t="s">
        <v>40</v>
      </c>
      <c r="AB1255" t="s">
        <v>40</v>
      </c>
      <c r="AC1255" t="s">
        <v>40</v>
      </c>
      <c r="AD1255" t="s">
        <v>40</v>
      </c>
      <c r="AG1255" t="s">
        <v>40</v>
      </c>
      <c r="AJ1255" t="s">
        <v>40</v>
      </c>
      <c r="AK1255" t="s">
        <v>40</v>
      </c>
    </row>
    <row r="1256" spans="1:37" x14ac:dyDescent="0.3">
      <c r="A1256">
        <v>2019</v>
      </c>
      <c r="B1256">
        <v>11</v>
      </c>
      <c r="C1256" t="str">
        <f t="shared" si="38"/>
        <v>11/01/2019</v>
      </c>
      <c r="D1256" s="1" t="str">
        <f t="shared" si="39"/>
        <v>11/01/2019</v>
      </c>
      <c r="E1256" t="s">
        <v>37</v>
      </c>
      <c r="F1256" t="s">
        <v>54</v>
      </c>
      <c r="G1256" t="s">
        <v>44</v>
      </c>
      <c r="H1256">
        <v>62</v>
      </c>
      <c r="I1256">
        <v>49</v>
      </c>
      <c r="J1256">
        <v>0</v>
      </c>
      <c r="K1256">
        <v>16</v>
      </c>
      <c r="M1256">
        <v>0</v>
      </c>
      <c r="N1256">
        <v>0</v>
      </c>
      <c r="R1256">
        <v>0</v>
      </c>
      <c r="U1256">
        <v>0</v>
      </c>
      <c r="V1256">
        <v>0</v>
      </c>
      <c r="W1256" s="1">
        <v>44160</v>
      </c>
      <c r="AC1256" t="s">
        <v>40</v>
      </c>
      <c r="AF1256" t="s">
        <v>40</v>
      </c>
      <c r="AG1256" t="s">
        <v>40</v>
      </c>
      <c r="AH1256" t="s">
        <v>40</v>
      </c>
      <c r="AJ1256" t="s">
        <v>40</v>
      </c>
      <c r="AK1256" t="s">
        <v>40</v>
      </c>
    </row>
    <row r="1257" spans="1:37" x14ac:dyDescent="0.3">
      <c r="A1257">
        <v>2019</v>
      </c>
      <c r="B1257">
        <v>11</v>
      </c>
      <c r="C1257" t="str">
        <f t="shared" si="38"/>
        <v>11/01/2019</v>
      </c>
      <c r="D1257" s="1" t="str">
        <f t="shared" si="39"/>
        <v>11/01/2019</v>
      </c>
      <c r="E1257" t="s">
        <v>37</v>
      </c>
      <c r="F1257" t="s">
        <v>54</v>
      </c>
      <c r="G1257" t="s">
        <v>45</v>
      </c>
      <c r="J1257">
        <v>0</v>
      </c>
      <c r="L1257">
        <v>0</v>
      </c>
      <c r="M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 s="1">
        <v>44160</v>
      </c>
      <c r="Y1257" t="s">
        <v>40</v>
      </c>
      <c r="Z1257" t="s">
        <v>40</v>
      </c>
      <c r="AB1257" t="s">
        <v>40</v>
      </c>
      <c r="AE1257" t="s">
        <v>40</v>
      </c>
    </row>
    <row r="1258" spans="1:37" x14ac:dyDescent="0.3">
      <c r="A1258">
        <v>2019</v>
      </c>
      <c r="B1258">
        <v>11</v>
      </c>
      <c r="C1258" t="str">
        <f t="shared" si="38"/>
        <v>11/01/2019</v>
      </c>
      <c r="D1258" s="1" t="str">
        <f t="shared" si="39"/>
        <v>11/01/2019</v>
      </c>
      <c r="E1258" t="s">
        <v>37</v>
      </c>
      <c r="F1258" t="s">
        <v>54</v>
      </c>
      <c r="G1258" t="s">
        <v>46</v>
      </c>
      <c r="H1258">
        <v>126</v>
      </c>
      <c r="I1258">
        <v>115</v>
      </c>
      <c r="J1258">
        <v>0</v>
      </c>
      <c r="K1258">
        <v>38</v>
      </c>
      <c r="L1258">
        <v>10</v>
      </c>
      <c r="M1258">
        <v>0</v>
      </c>
      <c r="S1258">
        <v>18</v>
      </c>
      <c r="U1258">
        <v>0</v>
      </c>
      <c r="V1258">
        <v>0</v>
      </c>
      <c r="W1258" s="1">
        <v>44160</v>
      </c>
      <c r="AE1258" t="s">
        <v>40</v>
      </c>
      <c r="AF1258" t="s">
        <v>40</v>
      </c>
      <c r="AG1258" t="s">
        <v>40</v>
      </c>
      <c r="AH1258" t="s">
        <v>40</v>
      </c>
      <c r="AI1258" t="s">
        <v>40</v>
      </c>
      <c r="AK1258" t="s">
        <v>40</v>
      </c>
    </row>
    <row r="1259" spans="1:37" x14ac:dyDescent="0.3">
      <c r="A1259">
        <v>2019</v>
      </c>
      <c r="B1259">
        <v>11</v>
      </c>
      <c r="C1259" t="str">
        <f t="shared" si="38"/>
        <v>11/01/2019</v>
      </c>
      <c r="D1259" s="1" t="str">
        <f t="shared" si="39"/>
        <v>11/01/2019</v>
      </c>
      <c r="E1259" t="s">
        <v>37</v>
      </c>
      <c r="F1259" t="s">
        <v>54</v>
      </c>
      <c r="G1259" t="s">
        <v>47</v>
      </c>
      <c r="H1259">
        <v>169</v>
      </c>
      <c r="I1259">
        <v>163</v>
      </c>
      <c r="K1259">
        <v>47</v>
      </c>
      <c r="O1259">
        <v>13</v>
      </c>
      <c r="P1259">
        <v>0</v>
      </c>
      <c r="S1259">
        <v>44</v>
      </c>
      <c r="T1259">
        <v>11</v>
      </c>
      <c r="U1259">
        <v>0</v>
      </c>
      <c r="V1259">
        <v>0</v>
      </c>
      <c r="W1259" s="1">
        <v>44160</v>
      </c>
      <c r="AA1259" t="s">
        <v>40</v>
      </c>
      <c r="AC1259" t="s">
        <v>40</v>
      </c>
      <c r="AD1259" t="s">
        <v>40</v>
      </c>
      <c r="AE1259" t="s">
        <v>40</v>
      </c>
      <c r="AH1259" t="s">
        <v>40</v>
      </c>
      <c r="AI1259" t="s">
        <v>40</v>
      </c>
    </row>
    <row r="1260" spans="1:37" x14ac:dyDescent="0.3">
      <c r="A1260">
        <v>2019</v>
      </c>
      <c r="B1260">
        <v>11</v>
      </c>
      <c r="C1260" t="str">
        <f t="shared" si="38"/>
        <v>11/01/2019</v>
      </c>
      <c r="D1260" s="1" t="str">
        <f t="shared" si="39"/>
        <v>11/01/2019</v>
      </c>
      <c r="E1260" t="s">
        <v>37</v>
      </c>
      <c r="F1260" t="s">
        <v>54</v>
      </c>
      <c r="G1260" t="s">
        <v>48</v>
      </c>
      <c r="H1260">
        <v>160</v>
      </c>
      <c r="I1260">
        <v>159</v>
      </c>
      <c r="K1260">
        <v>35</v>
      </c>
      <c r="S1260">
        <v>36</v>
      </c>
      <c r="T1260">
        <v>11</v>
      </c>
      <c r="U1260">
        <v>0</v>
      </c>
      <c r="V1260">
        <v>0</v>
      </c>
      <c r="W1260" s="1">
        <v>44160</v>
      </c>
      <c r="AA1260" t="s">
        <v>40</v>
      </c>
      <c r="AC1260" t="s">
        <v>40</v>
      </c>
      <c r="AD1260" t="s">
        <v>40</v>
      </c>
      <c r="AE1260" t="s">
        <v>40</v>
      </c>
      <c r="AF1260" t="s">
        <v>40</v>
      </c>
      <c r="AG1260" t="s">
        <v>40</v>
      </c>
      <c r="AH1260" t="s">
        <v>40</v>
      </c>
      <c r="AI1260" t="s">
        <v>40</v>
      </c>
    </row>
    <row r="1261" spans="1:37" x14ac:dyDescent="0.3">
      <c r="A1261">
        <v>2019</v>
      </c>
      <c r="B1261">
        <v>11</v>
      </c>
      <c r="C1261" t="str">
        <f t="shared" si="38"/>
        <v>11/01/2019</v>
      </c>
      <c r="D1261" s="1" t="str">
        <f t="shared" si="39"/>
        <v>11/01/2019</v>
      </c>
      <c r="E1261" t="s">
        <v>37</v>
      </c>
      <c r="F1261" t="s">
        <v>54</v>
      </c>
      <c r="G1261" t="s">
        <v>49</v>
      </c>
      <c r="H1261">
        <v>169</v>
      </c>
      <c r="I1261">
        <v>165</v>
      </c>
      <c r="J1261">
        <v>0</v>
      </c>
      <c r="K1261">
        <v>14</v>
      </c>
      <c r="M1261">
        <v>16</v>
      </c>
      <c r="S1261">
        <v>43</v>
      </c>
      <c r="T1261">
        <v>17</v>
      </c>
      <c r="U1261">
        <v>0</v>
      </c>
      <c r="V1261">
        <v>0</v>
      </c>
      <c r="W1261" s="1">
        <v>44160</v>
      </c>
      <c r="AC1261" t="s">
        <v>40</v>
      </c>
      <c r="AE1261" t="s">
        <v>40</v>
      </c>
      <c r="AF1261" t="s">
        <v>40</v>
      </c>
      <c r="AG1261" t="s">
        <v>40</v>
      </c>
      <c r="AH1261" t="s">
        <v>40</v>
      </c>
      <c r="AI1261" t="s">
        <v>40</v>
      </c>
    </row>
    <row r="1262" spans="1:37" x14ac:dyDescent="0.3">
      <c r="A1262">
        <v>2019</v>
      </c>
      <c r="B1262">
        <v>11</v>
      </c>
      <c r="C1262" t="str">
        <f t="shared" si="38"/>
        <v>11/01/2019</v>
      </c>
      <c r="D1262" s="1" t="str">
        <f t="shared" si="39"/>
        <v>11/01/2019</v>
      </c>
      <c r="E1262" t="s">
        <v>55</v>
      </c>
      <c r="F1262" t="s">
        <v>38</v>
      </c>
      <c r="G1262" t="s">
        <v>39</v>
      </c>
      <c r="H1262">
        <v>232</v>
      </c>
      <c r="I1262">
        <v>216</v>
      </c>
      <c r="L1262">
        <v>0</v>
      </c>
      <c r="M1262">
        <v>0</v>
      </c>
      <c r="N1262">
        <v>0</v>
      </c>
      <c r="O1262">
        <v>0</v>
      </c>
      <c r="R1262">
        <v>18</v>
      </c>
      <c r="U1262">
        <v>0</v>
      </c>
      <c r="V1262">
        <v>0</v>
      </c>
      <c r="W1262" s="1">
        <v>44160</v>
      </c>
      <c r="AA1262" t="s">
        <v>40</v>
      </c>
      <c r="AB1262" t="s">
        <v>40</v>
      </c>
      <c r="AG1262" t="s">
        <v>40</v>
      </c>
      <c r="AH1262" t="s">
        <v>40</v>
      </c>
      <c r="AJ1262" t="s">
        <v>40</v>
      </c>
      <c r="AK1262" t="s">
        <v>40</v>
      </c>
    </row>
    <row r="1263" spans="1:37" x14ac:dyDescent="0.3">
      <c r="A1263">
        <v>2019</v>
      </c>
      <c r="B1263">
        <v>11</v>
      </c>
      <c r="C1263" t="str">
        <f t="shared" si="38"/>
        <v>11/01/2019</v>
      </c>
      <c r="D1263" s="1" t="str">
        <f t="shared" si="39"/>
        <v>11/01/2019</v>
      </c>
      <c r="E1263" t="s">
        <v>55</v>
      </c>
      <c r="F1263" t="s">
        <v>38</v>
      </c>
      <c r="G1263" t="s">
        <v>41</v>
      </c>
      <c r="H1263">
        <v>437</v>
      </c>
      <c r="I1263">
        <v>90</v>
      </c>
      <c r="K1263">
        <v>25</v>
      </c>
      <c r="M1263">
        <v>0</v>
      </c>
      <c r="U1263">
        <v>0</v>
      </c>
      <c r="V1263">
        <v>0</v>
      </c>
      <c r="W1263" s="1">
        <v>44160</v>
      </c>
      <c r="AA1263" t="s">
        <v>40</v>
      </c>
      <c r="AC1263" t="s">
        <v>40</v>
      </c>
      <c r="AE1263" t="s">
        <v>40</v>
      </c>
      <c r="AF1263" t="s">
        <v>40</v>
      </c>
      <c r="AG1263" t="s">
        <v>40</v>
      </c>
      <c r="AH1263" t="s">
        <v>40</v>
      </c>
      <c r="AI1263" t="s">
        <v>40</v>
      </c>
      <c r="AJ1263" t="s">
        <v>40</v>
      </c>
      <c r="AK1263" t="s">
        <v>40</v>
      </c>
    </row>
    <row r="1264" spans="1:37" x14ac:dyDescent="0.3">
      <c r="A1264">
        <v>2019</v>
      </c>
      <c r="B1264">
        <v>11</v>
      </c>
      <c r="C1264" t="str">
        <f t="shared" si="38"/>
        <v>11/01/2019</v>
      </c>
      <c r="D1264" s="1" t="str">
        <f t="shared" si="39"/>
        <v>11/01/2019</v>
      </c>
      <c r="E1264" t="s">
        <v>55</v>
      </c>
      <c r="F1264" t="s">
        <v>38</v>
      </c>
      <c r="G1264" t="s">
        <v>42</v>
      </c>
      <c r="H1264">
        <v>596</v>
      </c>
      <c r="I1264">
        <v>173</v>
      </c>
      <c r="K1264">
        <v>31</v>
      </c>
      <c r="M1264">
        <v>0</v>
      </c>
      <c r="Q1264">
        <v>0</v>
      </c>
      <c r="R1264">
        <v>10</v>
      </c>
      <c r="S1264">
        <v>26</v>
      </c>
      <c r="U1264">
        <v>0</v>
      </c>
      <c r="V1264">
        <v>0</v>
      </c>
      <c r="W1264" s="1">
        <v>44160</v>
      </c>
      <c r="AA1264" t="s">
        <v>40</v>
      </c>
      <c r="AC1264" t="s">
        <v>40</v>
      </c>
      <c r="AE1264" t="s">
        <v>40</v>
      </c>
      <c r="AF1264" t="s">
        <v>40</v>
      </c>
      <c r="AG1264" t="s">
        <v>40</v>
      </c>
      <c r="AK1264" t="s">
        <v>40</v>
      </c>
    </row>
    <row r="1265" spans="1:37" x14ac:dyDescent="0.3">
      <c r="A1265">
        <v>2019</v>
      </c>
      <c r="B1265">
        <v>11</v>
      </c>
      <c r="C1265" t="str">
        <f t="shared" si="38"/>
        <v>11/01/2019</v>
      </c>
      <c r="D1265" s="1" t="str">
        <f t="shared" si="39"/>
        <v>11/01/2019</v>
      </c>
      <c r="E1265" t="s">
        <v>55</v>
      </c>
      <c r="F1265" t="s">
        <v>38</v>
      </c>
      <c r="G1265" t="s">
        <v>43</v>
      </c>
      <c r="H1265">
        <v>701</v>
      </c>
      <c r="I1265">
        <v>368</v>
      </c>
      <c r="K1265">
        <v>58</v>
      </c>
      <c r="L1265">
        <v>24</v>
      </c>
      <c r="M1265">
        <v>0</v>
      </c>
      <c r="R1265">
        <v>10</v>
      </c>
      <c r="S1265">
        <v>83</v>
      </c>
      <c r="T1265">
        <v>19</v>
      </c>
      <c r="U1265">
        <v>0</v>
      </c>
      <c r="V1265">
        <v>0</v>
      </c>
      <c r="W1265" s="1">
        <v>44160</v>
      </c>
      <c r="AA1265" t="s">
        <v>40</v>
      </c>
      <c r="AE1265" t="s">
        <v>40</v>
      </c>
      <c r="AF1265" t="s">
        <v>40</v>
      </c>
      <c r="AG1265" t="s">
        <v>40</v>
      </c>
      <c r="AH1265" t="s">
        <v>40</v>
      </c>
    </row>
    <row r="1266" spans="1:37" x14ac:dyDescent="0.3">
      <c r="A1266">
        <v>2019</v>
      </c>
      <c r="B1266">
        <v>11</v>
      </c>
      <c r="C1266" t="str">
        <f t="shared" si="38"/>
        <v>11/01/2019</v>
      </c>
      <c r="D1266" s="1" t="str">
        <f t="shared" si="39"/>
        <v>11/01/2019</v>
      </c>
      <c r="E1266" t="s">
        <v>55</v>
      </c>
      <c r="F1266" t="s">
        <v>38</v>
      </c>
      <c r="G1266" t="s">
        <v>44</v>
      </c>
      <c r="H1266" s="2">
        <v>1044</v>
      </c>
      <c r="I1266">
        <v>776</v>
      </c>
      <c r="J1266">
        <v>13</v>
      </c>
      <c r="K1266">
        <v>175</v>
      </c>
      <c r="L1266">
        <v>58</v>
      </c>
      <c r="N1266">
        <v>13</v>
      </c>
      <c r="Q1266">
        <v>21</v>
      </c>
      <c r="S1266">
        <v>196</v>
      </c>
      <c r="T1266">
        <v>43</v>
      </c>
      <c r="U1266">
        <v>0</v>
      </c>
      <c r="V1266">
        <v>0</v>
      </c>
      <c r="W1266" s="1">
        <v>44160</v>
      </c>
      <c r="AD1266" t="s">
        <v>40</v>
      </c>
      <c r="AF1266" t="s">
        <v>40</v>
      </c>
      <c r="AG1266" t="s">
        <v>40</v>
      </c>
      <c r="AI1266" t="s">
        <v>40</v>
      </c>
    </row>
    <row r="1267" spans="1:37" x14ac:dyDescent="0.3">
      <c r="A1267">
        <v>2019</v>
      </c>
      <c r="B1267">
        <v>11</v>
      </c>
      <c r="C1267" t="str">
        <f t="shared" si="38"/>
        <v>11/01/2019</v>
      </c>
      <c r="D1267" s="1" t="str">
        <f t="shared" si="39"/>
        <v>11/01/2019</v>
      </c>
      <c r="E1267" t="s">
        <v>55</v>
      </c>
      <c r="F1267" t="s">
        <v>38</v>
      </c>
      <c r="G1267" t="s">
        <v>45</v>
      </c>
      <c r="H1267">
        <v>67</v>
      </c>
      <c r="I1267">
        <v>43</v>
      </c>
      <c r="K1267">
        <v>10</v>
      </c>
      <c r="L1267">
        <v>0</v>
      </c>
      <c r="M1267">
        <v>0</v>
      </c>
      <c r="P1267">
        <v>0</v>
      </c>
      <c r="S1267">
        <v>0</v>
      </c>
      <c r="U1267">
        <v>0</v>
      </c>
      <c r="V1267">
        <v>0</v>
      </c>
      <c r="W1267" s="1">
        <v>44160</v>
      </c>
      <c r="AA1267" t="s">
        <v>40</v>
      </c>
      <c r="AE1267" t="s">
        <v>40</v>
      </c>
      <c r="AF1267" t="s">
        <v>40</v>
      </c>
      <c r="AH1267" t="s">
        <v>40</v>
      </c>
      <c r="AI1267" t="s">
        <v>40</v>
      </c>
      <c r="AK1267" t="s">
        <v>40</v>
      </c>
    </row>
    <row r="1268" spans="1:37" x14ac:dyDescent="0.3">
      <c r="A1268">
        <v>2019</v>
      </c>
      <c r="B1268">
        <v>11</v>
      </c>
      <c r="C1268" t="str">
        <f t="shared" si="38"/>
        <v>11/01/2019</v>
      </c>
      <c r="D1268" s="1" t="str">
        <f t="shared" si="39"/>
        <v>11/01/2019</v>
      </c>
      <c r="E1268" t="s">
        <v>55</v>
      </c>
      <c r="F1268" t="s">
        <v>38</v>
      </c>
      <c r="G1268" t="s">
        <v>46</v>
      </c>
      <c r="H1268" s="2">
        <v>1651</v>
      </c>
      <c r="I1268" s="2">
        <v>1454</v>
      </c>
      <c r="J1268">
        <v>28</v>
      </c>
      <c r="K1268">
        <v>391</v>
      </c>
      <c r="L1268">
        <v>100</v>
      </c>
      <c r="N1268">
        <v>13</v>
      </c>
      <c r="O1268">
        <v>26</v>
      </c>
      <c r="P1268">
        <v>18</v>
      </c>
      <c r="Q1268">
        <v>52</v>
      </c>
      <c r="R1268">
        <v>19</v>
      </c>
      <c r="S1268">
        <v>367</v>
      </c>
      <c r="T1268">
        <v>74</v>
      </c>
      <c r="U1268">
        <v>0</v>
      </c>
      <c r="V1268">
        <v>0</v>
      </c>
      <c r="W1268" s="1">
        <v>44160</v>
      </c>
      <c r="AD1268" t="s">
        <v>40</v>
      </c>
    </row>
    <row r="1269" spans="1:37" x14ac:dyDescent="0.3">
      <c r="A1269">
        <v>2019</v>
      </c>
      <c r="B1269">
        <v>11</v>
      </c>
      <c r="C1269" t="str">
        <f t="shared" si="38"/>
        <v>11/01/2019</v>
      </c>
      <c r="D1269" s="1" t="str">
        <f t="shared" si="39"/>
        <v>11/01/2019</v>
      </c>
      <c r="E1269" t="s">
        <v>55</v>
      </c>
      <c r="F1269" t="s">
        <v>38</v>
      </c>
      <c r="G1269" t="s">
        <v>47</v>
      </c>
      <c r="H1269" s="2">
        <v>1815</v>
      </c>
      <c r="I1269" s="2">
        <v>1726</v>
      </c>
      <c r="J1269">
        <v>21</v>
      </c>
      <c r="K1269">
        <v>471</v>
      </c>
      <c r="L1269">
        <v>141</v>
      </c>
      <c r="M1269">
        <v>20</v>
      </c>
      <c r="N1269">
        <v>20</v>
      </c>
      <c r="O1269">
        <v>46</v>
      </c>
      <c r="P1269">
        <v>33</v>
      </c>
      <c r="Q1269">
        <v>48</v>
      </c>
      <c r="R1269">
        <v>11</v>
      </c>
      <c r="S1269">
        <v>443</v>
      </c>
      <c r="T1269">
        <v>82</v>
      </c>
      <c r="U1269">
        <v>0</v>
      </c>
      <c r="V1269">
        <v>0</v>
      </c>
      <c r="W1269" s="1">
        <v>44160</v>
      </c>
    </row>
    <row r="1270" spans="1:37" x14ac:dyDescent="0.3">
      <c r="A1270">
        <v>2019</v>
      </c>
      <c r="B1270">
        <v>11</v>
      </c>
      <c r="C1270" t="str">
        <f t="shared" si="38"/>
        <v>11/01/2019</v>
      </c>
      <c r="D1270" s="1" t="str">
        <f t="shared" si="39"/>
        <v>11/01/2019</v>
      </c>
      <c r="E1270" t="s">
        <v>55</v>
      </c>
      <c r="F1270" t="s">
        <v>38</v>
      </c>
      <c r="G1270" t="s">
        <v>48</v>
      </c>
      <c r="H1270" s="2">
        <v>1753</v>
      </c>
      <c r="I1270" s="2">
        <v>1691</v>
      </c>
      <c r="J1270">
        <v>32</v>
      </c>
      <c r="K1270">
        <v>411</v>
      </c>
      <c r="L1270">
        <v>98</v>
      </c>
      <c r="M1270">
        <v>77</v>
      </c>
      <c r="N1270">
        <v>31</v>
      </c>
      <c r="O1270">
        <v>57</v>
      </c>
      <c r="P1270">
        <v>34</v>
      </c>
      <c r="Q1270">
        <v>47</v>
      </c>
      <c r="S1270">
        <v>425</v>
      </c>
      <c r="T1270">
        <v>107</v>
      </c>
      <c r="U1270">
        <v>0</v>
      </c>
      <c r="V1270">
        <v>0</v>
      </c>
      <c r="W1270" s="1">
        <v>44160</v>
      </c>
      <c r="AI1270" t="s">
        <v>40</v>
      </c>
    </row>
    <row r="1271" spans="1:37" x14ac:dyDescent="0.3">
      <c r="A1271">
        <v>2019</v>
      </c>
      <c r="B1271">
        <v>11</v>
      </c>
      <c r="C1271" t="str">
        <f t="shared" si="38"/>
        <v>11/01/2019</v>
      </c>
      <c r="D1271" s="1" t="str">
        <f t="shared" si="39"/>
        <v>11/01/2019</v>
      </c>
      <c r="E1271" t="s">
        <v>55</v>
      </c>
      <c r="F1271" t="s">
        <v>38</v>
      </c>
      <c r="G1271" t="s">
        <v>49</v>
      </c>
      <c r="H1271" s="2">
        <v>1627</v>
      </c>
      <c r="I1271" s="2">
        <v>1584</v>
      </c>
      <c r="J1271">
        <v>24</v>
      </c>
      <c r="K1271">
        <v>249</v>
      </c>
      <c r="L1271">
        <v>55</v>
      </c>
      <c r="M1271">
        <v>118</v>
      </c>
      <c r="N1271">
        <v>23</v>
      </c>
      <c r="O1271">
        <v>70</v>
      </c>
      <c r="P1271">
        <v>23</v>
      </c>
      <c r="Q1271">
        <v>34</v>
      </c>
      <c r="R1271">
        <v>16</v>
      </c>
      <c r="S1271">
        <v>471</v>
      </c>
      <c r="T1271">
        <v>143</v>
      </c>
      <c r="U1271">
        <v>0</v>
      </c>
      <c r="V1271">
        <v>0</v>
      </c>
      <c r="W1271" s="1">
        <v>44160</v>
      </c>
    </row>
    <row r="1272" spans="1:37" x14ac:dyDescent="0.3">
      <c r="A1272">
        <v>2019</v>
      </c>
      <c r="B1272">
        <v>11</v>
      </c>
      <c r="C1272" t="str">
        <f t="shared" si="38"/>
        <v>11/01/2019</v>
      </c>
      <c r="D1272" s="1" t="str">
        <f t="shared" si="39"/>
        <v>11/01/2019</v>
      </c>
      <c r="E1272" t="s">
        <v>55</v>
      </c>
      <c r="F1272" t="s">
        <v>50</v>
      </c>
      <c r="G1272" t="s">
        <v>39</v>
      </c>
      <c r="K1272">
        <v>0</v>
      </c>
      <c r="L1272">
        <v>0</v>
      </c>
      <c r="M1272">
        <v>0</v>
      </c>
      <c r="O1272">
        <v>0</v>
      </c>
      <c r="Q1272">
        <v>0</v>
      </c>
      <c r="S1272">
        <v>0</v>
      </c>
      <c r="T1272">
        <v>0</v>
      </c>
      <c r="U1272">
        <v>0</v>
      </c>
      <c r="V1272">
        <v>0</v>
      </c>
      <c r="W1272" s="1">
        <v>44160</v>
      </c>
      <c r="Y1272" t="s">
        <v>40</v>
      </c>
      <c r="Z1272" t="s">
        <v>40</v>
      </c>
      <c r="AA1272" t="s">
        <v>40</v>
      </c>
      <c r="AE1272" t="s">
        <v>40</v>
      </c>
      <c r="AG1272" t="s">
        <v>40</v>
      </c>
      <c r="AI1272" t="s">
        <v>40</v>
      </c>
    </row>
    <row r="1273" spans="1:37" x14ac:dyDescent="0.3">
      <c r="A1273">
        <v>2019</v>
      </c>
      <c r="B1273">
        <v>11</v>
      </c>
      <c r="C1273" t="str">
        <f t="shared" si="38"/>
        <v>11/01/2019</v>
      </c>
      <c r="D1273" s="1" t="str">
        <f t="shared" si="39"/>
        <v>11/01/2019</v>
      </c>
      <c r="E1273" t="s">
        <v>55</v>
      </c>
      <c r="F1273" t="s">
        <v>50</v>
      </c>
      <c r="G1273" t="s">
        <v>41</v>
      </c>
      <c r="H1273">
        <v>35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 s="1">
        <v>44160</v>
      </c>
      <c r="Z1273" t="s">
        <v>40</v>
      </c>
    </row>
    <row r="1274" spans="1:37" x14ac:dyDescent="0.3">
      <c r="A1274">
        <v>2019</v>
      </c>
      <c r="B1274">
        <v>11</v>
      </c>
      <c r="C1274" t="str">
        <f t="shared" si="38"/>
        <v>11/01/2019</v>
      </c>
      <c r="D1274" s="1" t="str">
        <f t="shared" si="39"/>
        <v>11/01/2019</v>
      </c>
      <c r="E1274" t="s">
        <v>55</v>
      </c>
      <c r="F1274" t="s">
        <v>50</v>
      </c>
      <c r="G1274" t="s">
        <v>42</v>
      </c>
      <c r="H1274">
        <v>56</v>
      </c>
      <c r="I1274">
        <v>22</v>
      </c>
      <c r="J1274">
        <v>0</v>
      </c>
      <c r="M1274">
        <v>0</v>
      </c>
      <c r="O1274">
        <v>0</v>
      </c>
      <c r="P1274">
        <v>0</v>
      </c>
      <c r="Q1274">
        <v>0</v>
      </c>
      <c r="T1274">
        <v>0</v>
      </c>
      <c r="U1274">
        <v>0</v>
      </c>
      <c r="V1274">
        <v>0</v>
      </c>
      <c r="W1274" s="1">
        <v>44160</v>
      </c>
      <c r="AB1274" t="s">
        <v>40</v>
      </c>
      <c r="AC1274" t="s">
        <v>40</v>
      </c>
      <c r="AE1274" t="s">
        <v>40</v>
      </c>
      <c r="AI1274" t="s">
        <v>40</v>
      </c>
      <c r="AJ1274" t="s">
        <v>40</v>
      </c>
    </row>
    <row r="1275" spans="1:37" x14ac:dyDescent="0.3">
      <c r="A1275">
        <v>2019</v>
      </c>
      <c r="B1275">
        <v>11</v>
      </c>
      <c r="C1275" t="str">
        <f t="shared" si="38"/>
        <v>11/01/2019</v>
      </c>
      <c r="D1275" s="1" t="str">
        <f t="shared" si="39"/>
        <v>11/01/2019</v>
      </c>
      <c r="E1275" t="s">
        <v>55</v>
      </c>
      <c r="F1275" t="s">
        <v>50</v>
      </c>
      <c r="G1275" t="s">
        <v>43</v>
      </c>
      <c r="H1275">
        <v>71</v>
      </c>
      <c r="I1275">
        <v>42</v>
      </c>
      <c r="M1275">
        <v>0</v>
      </c>
      <c r="N1275">
        <v>0</v>
      </c>
      <c r="O1275">
        <v>0</v>
      </c>
      <c r="P1275">
        <v>0</v>
      </c>
      <c r="S1275">
        <v>10</v>
      </c>
      <c r="U1275">
        <v>0</v>
      </c>
      <c r="V1275">
        <v>0</v>
      </c>
      <c r="W1275" s="1">
        <v>44160</v>
      </c>
      <c r="AA1275" t="s">
        <v>40</v>
      </c>
      <c r="AB1275" t="s">
        <v>40</v>
      </c>
      <c r="AC1275" t="s">
        <v>40</v>
      </c>
      <c r="AH1275" t="s">
        <v>40</v>
      </c>
      <c r="AI1275" t="s">
        <v>40</v>
      </c>
      <c r="AK1275" t="s">
        <v>40</v>
      </c>
    </row>
    <row r="1276" spans="1:37" x14ac:dyDescent="0.3">
      <c r="A1276">
        <v>2019</v>
      </c>
      <c r="B1276">
        <v>11</v>
      </c>
      <c r="C1276" t="str">
        <f t="shared" si="38"/>
        <v>11/01/2019</v>
      </c>
      <c r="D1276" s="1" t="str">
        <f t="shared" si="39"/>
        <v>11/01/2019</v>
      </c>
      <c r="E1276" t="s">
        <v>55</v>
      </c>
      <c r="F1276" t="s">
        <v>50</v>
      </c>
      <c r="G1276" t="s">
        <v>44</v>
      </c>
      <c r="H1276">
        <v>101</v>
      </c>
      <c r="I1276">
        <v>70</v>
      </c>
      <c r="M1276">
        <v>0</v>
      </c>
      <c r="Q1276">
        <v>0</v>
      </c>
      <c r="R1276">
        <v>0</v>
      </c>
      <c r="S1276">
        <v>20</v>
      </c>
      <c r="U1276">
        <v>0</v>
      </c>
      <c r="V1276">
        <v>0</v>
      </c>
      <c r="W1276" s="1">
        <v>44160</v>
      </c>
      <c r="AA1276" t="s">
        <v>40</v>
      </c>
      <c r="AB1276" t="s">
        <v>40</v>
      </c>
      <c r="AC1276" t="s">
        <v>40</v>
      </c>
      <c r="AE1276" t="s">
        <v>40</v>
      </c>
      <c r="AF1276" t="s">
        <v>40</v>
      </c>
      <c r="AG1276" t="s">
        <v>40</v>
      </c>
      <c r="AK1276" t="s">
        <v>40</v>
      </c>
    </row>
    <row r="1277" spans="1:37" x14ac:dyDescent="0.3">
      <c r="A1277">
        <v>2019</v>
      </c>
      <c r="B1277">
        <v>11</v>
      </c>
      <c r="C1277" t="str">
        <f t="shared" si="38"/>
        <v>11/01/2019</v>
      </c>
      <c r="D1277" s="1" t="str">
        <f t="shared" si="39"/>
        <v>11/01/2019</v>
      </c>
      <c r="E1277" t="s">
        <v>55</v>
      </c>
      <c r="F1277" t="s">
        <v>50</v>
      </c>
      <c r="G1277" t="s">
        <v>45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 s="1">
        <v>44160</v>
      </c>
      <c r="Y1277" t="s">
        <v>40</v>
      </c>
      <c r="Z1277" t="s">
        <v>40</v>
      </c>
    </row>
    <row r="1278" spans="1:37" x14ac:dyDescent="0.3">
      <c r="A1278">
        <v>2019</v>
      </c>
      <c r="B1278">
        <v>11</v>
      </c>
      <c r="C1278" t="str">
        <f t="shared" si="38"/>
        <v>11/01/2019</v>
      </c>
      <c r="D1278" s="1" t="str">
        <f t="shared" si="39"/>
        <v>11/01/2019</v>
      </c>
      <c r="E1278" t="s">
        <v>55</v>
      </c>
      <c r="F1278" t="s">
        <v>50</v>
      </c>
      <c r="G1278" t="s">
        <v>46</v>
      </c>
      <c r="H1278">
        <v>167</v>
      </c>
      <c r="I1278">
        <v>134</v>
      </c>
      <c r="J1278">
        <v>0</v>
      </c>
      <c r="K1278">
        <v>39</v>
      </c>
      <c r="M1278">
        <v>0</v>
      </c>
      <c r="P1278">
        <v>0</v>
      </c>
      <c r="Q1278">
        <v>0</v>
      </c>
      <c r="S1278">
        <v>34</v>
      </c>
      <c r="U1278">
        <v>0</v>
      </c>
      <c r="V1278">
        <v>0</v>
      </c>
      <c r="W1278" s="1">
        <v>44160</v>
      </c>
      <c r="AC1278" t="s">
        <v>40</v>
      </c>
      <c r="AE1278" t="s">
        <v>40</v>
      </c>
      <c r="AF1278" t="s">
        <v>40</v>
      </c>
      <c r="AI1278" t="s">
        <v>40</v>
      </c>
      <c r="AK1278" t="s">
        <v>40</v>
      </c>
    </row>
    <row r="1279" spans="1:37" x14ac:dyDescent="0.3">
      <c r="A1279">
        <v>2019</v>
      </c>
      <c r="B1279">
        <v>11</v>
      </c>
      <c r="C1279" t="str">
        <f t="shared" si="38"/>
        <v>11/01/2019</v>
      </c>
      <c r="D1279" s="1" t="str">
        <f t="shared" si="39"/>
        <v>11/01/2019</v>
      </c>
      <c r="E1279" t="s">
        <v>55</v>
      </c>
      <c r="F1279" t="s">
        <v>50</v>
      </c>
      <c r="G1279" t="s">
        <v>47</v>
      </c>
      <c r="H1279">
        <v>149</v>
      </c>
      <c r="I1279">
        <v>140</v>
      </c>
      <c r="K1279">
        <v>34</v>
      </c>
      <c r="L1279">
        <v>10</v>
      </c>
      <c r="M1279">
        <v>0</v>
      </c>
      <c r="S1279">
        <v>38</v>
      </c>
      <c r="U1279">
        <v>0</v>
      </c>
      <c r="V1279">
        <v>0</v>
      </c>
      <c r="W1279" s="1">
        <v>44160</v>
      </c>
      <c r="AA1279" t="s">
        <v>40</v>
      </c>
      <c r="AE1279" t="s">
        <v>40</v>
      </c>
      <c r="AF1279" t="s">
        <v>40</v>
      </c>
      <c r="AG1279" t="s">
        <v>40</v>
      </c>
      <c r="AH1279" t="s">
        <v>40</v>
      </c>
      <c r="AI1279" t="s">
        <v>40</v>
      </c>
      <c r="AK1279" t="s">
        <v>40</v>
      </c>
    </row>
    <row r="1280" spans="1:37" x14ac:dyDescent="0.3">
      <c r="A1280">
        <v>2019</v>
      </c>
      <c r="B1280">
        <v>11</v>
      </c>
      <c r="C1280" t="str">
        <f t="shared" si="38"/>
        <v>11/01/2019</v>
      </c>
      <c r="D1280" s="1" t="str">
        <f t="shared" si="39"/>
        <v>11/01/2019</v>
      </c>
      <c r="E1280" t="s">
        <v>55</v>
      </c>
      <c r="F1280" t="s">
        <v>50</v>
      </c>
      <c r="G1280" t="s">
        <v>48</v>
      </c>
      <c r="H1280">
        <v>139</v>
      </c>
      <c r="I1280">
        <v>127</v>
      </c>
      <c r="K1280">
        <v>27</v>
      </c>
      <c r="L1280">
        <v>11</v>
      </c>
      <c r="O1280">
        <v>10</v>
      </c>
      <c r="S1280">
        <v>32</v>
      </c>
      <c r="U1280">
        <v>0</v>
      </c>
      <c r="V1280">
        <v>0</v>
      </c>
      <c r="W1280" s="1">
        <v>44160</v>
      </c>
      <c r="AA1280" t="s">
        <v>40</v>
      </c>
      <c r="AD1280" t="s">
        <v>40</v>
      </c>
      <c r="AE1280" t="s">
        <v>40</v>
      </c>
      <c r="AG1280" t="s">
        <v>40</v>
      </c>
      <c r="AH1280" t="s">
        <v>40</v>
      </c>
      <c r="AI1280" t="s">
        <v>40</v>
      </c>
      <c r="AK1280" t="s">
        <v>40</v>
      </c>
    </row>
    <row r="1281" spans="1:37" x14ac:dyDescent="0.3">
      <c r="A1281">
        <v>2019</v>
      </c>
      <c r="B1281">
        <v>11</v>
      </c>
      <c r="C1281" t="str">
        <f t="shared" si="38"/>
        <v>11/01/2019</v>
      </c>
      <c r="D1281" s="1" t="str">
        <f t="shared" si="39"/>
        <v>11/01/2019</v>
      </c>
      <c r="E1281" t="s">
        <v>55</v>
      </c>
      <c r="F1281" t="s">
        <v>50</v>
      </c>
      <c r="G1281" t="s">
        <v>49</v>
      </c>
      <c r="H1281">
        <v>76</v>
      </c>
      <c r="I1281">
        <v>73</v>
      </c>
      <c r="J1281">
        <v>0</v>
      </c>
      <c r="K1281">
        <v>11</v>
      </c>
      <c r="R1281">
        <v>0</v>
      </c>
      <c r="S1281">
        <v>21</v>
      </c>
      <c r="U1281">
        <v>0</v>
      </c>
      <c r="V1281">
        <v>0</v>
      </c>
      <c r="W1281" s="1">
        <v>44160</v>
      </c>
      <c r="AC1281" t="s">
        <v>40</v>
      </c>
      <c r="AD1281" t="s">
        <v>40</v>
      </c>
      <c r="AE1281" t="s">
        <v>40</v>
      </c>
      <c r="AF1281" t="s">
        <v>40</v>
      </c>
      <c r="AG1281" t="s">
        <v>40</v>
      </c>
      <c r="AH1281" t="s">
        <v>40</v>
      </c>
      <c r="AK1281" t="s">
        <v>40</v>
      </c>
    </row>
    <row r="1282" spans="1:37" x14ac:dyDescent="0.3">
      <c r="A1282">
        <v>2019</v>
      </c>
      <c r="B1282">
        <v>11</v>
      </c>
      <c r="C1282" t="str">
        <f t="shared" si="38"/>
        <v>11/01/2019</v>
      </c>
      <c r="D1282" s="1" t="str">
        <f t="shared" si="39"/>
        <v>11/01/2019</v>
      </c>
      <c r="E1282" t="s">
        <v>55</v>
      </c>
      <c r="F1282" t="s">
        <v>51</v>
      </c>
      <c r="G1282" t="s">
        <v>39</v>
      </c>
      <c r="H1282">
        <v>34</v>
      </c>
      <c r="I1282">
        <v>33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Q1282">
        <v>0</v>
      </c>
      <c r="S1282">
        <v>0</v>
      </c>
      <c r="U1282">
        <v>0</v>
      </c>
      <c r="V1282">
        <v>0</v>
      </c>
      <c r="W1282" s="1">
        <v>44160</v>
      </c>
      <c r="AG1282" t="s">
        <v>40</v>
      </c>
      <c r="AI1282" t="s">
        <v>40</v>
      </c>
      <c r="AK1282" t="s">
        <v>40</v>
      </c>
    </row>
    <row r="1283" spans="1:37" x14ac:dyDescent="0.3">
      <c r="A1283">
        <v>2019</v>
      </c>
      <c r="B1283">
        <v>11</v>
      </c>
      <c r="C1283" t="str">
        <f t="shared" ref="C1283:C1346" si="40">CONCATENATE(B1283,"/01/",A1283)</f>
        <v>11/01/2019</v>
      </c>
      <c r="D1283" s="1" t="str">
        <f t="shared" ref="D1283:D1346" si="41">C1283</f>
        <v>11/01/2019</v>
      </c>
      <c r="E1283" t="s">
        <v>55</v>
      </c>
      <c r="F1283" t="s">
        <v>51</v>
      </c>
      <c r="G1283" t="s">
        <v>41</v>
      </c>
      <c r="H1283">
        <v>47</v>
      </c>
      <c r="I1283">
        <v>11</v>
      </c>
      <c r="J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S1283">
        <v>0</v>
      </c>
      <c r="T1283">
        <v>0</v>
      </c>
      <c r="U1283">
        <v>0</v>
      </c>
      <c r="V1283">
        <v>0</v>
      </c>
      <c r="W1283" s="1">
        <v>44160</v>
      </c>
      <c r="AB1283" t="s">
        <v>40</v>
      </c>
      <c r="AI1283" t="s">
        <v>40</v>
      </c>
    </row>
    <row r="1284" spans="1:37" x14ac:dyDescent="0.3">
      <c r="A1284">
        <v>2019</v>
      </c>
      <c r="B1284">
        <v>11</v>
      </c>
      <c r="C1284" t="str">
        <f t="shared" si="40"/>
        <v>11/01/2019</v>
      </c>
      <c r="D1284" s="1" t="str">
        <f t="shared" si="41"/>
        <v>11/01/2019</v>
      </c>
      <c r="E1284" t="s">
        <v>55</v>
      </c>
      <c r="F1284" t="s">
        <v>51</v>
      </c>
      <c r="G1284" t="s">
        <v>42</v>
      </c>
      <c r="H1284">
        <v>74</v>
      </c>
      <c r="I1284">
        <v>30</v>
      </c>
      <c r="J1284">
        <v>0</v>
      </c>
      <c r="L1284">
        <v>0</v>
      </c>
      <c r="M1284">
        <v>0</v>
      </c>
      <c r="N1284">
        <v>0</v>
      </c>
      <c r="P1284">
        <v>0</v>
      </c>
      <c r="U1284">
        <v>0</v>
      </c>
      <c r="V1284">
        <v>0</v>
      </c>
      <c r="W1284" s="1">
        <v>44160</v>
      </c>
      <c r="AB1284" t="s">
        <v>40</v>
      </c>
      <c r="AF1284" t="s">
        <v>40</v>
      </c>
      <c r="AH1284" t="s">
        <v>40</v>
      </c>
      <c r="AI1284" t="s">
        <v>40</v>
      </c>
      <c r="AJ1284" t="s">
        <v>40</v>
      </c>
      <c r="AK1284" t="s">
        <v>40</v>
      </c>
    </row>
    <row r="1285" spans="1:37" x14ac:dyDescent="0.3">
      <c r="A1285">
        <v>2019</v>
      </c>
      <c r="B1285">
        <v>11</v>
      </c>
      <c r="C1285" t="str">
        <f t="shared" si="40"/>
        <v>11/01/2019</v>
      </c>
      <c r="D1285" s="1" t="str">
        <f t="shared" si="41"/>
        <v>11/01/2019</v>
      </c>
      <c r="E1285" t="s">
        <v>55</v>
      </c>
      <c r="F1285" t="s">
        <v>51</v>
      </c>
      <c r="G1285" t="s">
        <v>43</v>
      </c>
      <c r="H1285">
        <v>109</v>
      </c>
      <c r="I1285">
        <v>72</v>
      </c>
      <c r="J1285">
        <v>0</v>
      </c>
      <c r="K1285">
        <v>21</v>
      </c>
      <c r="M1285">
        <v>0</v>
      </c>
      <c r="N1285">
        <v>0</v>
      </c>
      <c r="O1285">
        <v>0</v>
      </c>
      <c r="R1285">
        <v>0</v>
      </c>
      <c r="S1285">
        <v>19</v>
      </c>
      <c r="U1285">
        <v>0</v>
      </c>
      <c r="V1285">
        <v>0</v>
      </c>
      <c r="W1285" s="1">
        <v>44160</v>
      </c>
      <c r="AC1285" t="s">
        <v>40</v>
      </c>
      <c r="AG1285" t="s">
        <v>40</v>
      </c>
      <c r="AH1285" t="s">
        <v>40</v>
      </c>
      <c r="AK1285" t="s">
        <v>40</v>
      </c>
    </row>
    <row r="1286" spans="1:37" x14ac:dyDescent="0.3">
      <c r="A1286">
        <v>2019</v>
      </c>
      <c r="B1286">
        <v>11</v>
      </c>
      <c r="C1286" t="str">
        <f t="shared" si="40"/>
        <v>11/01/2019</v>
      </c>
      <c r="D1286" s="1" t="str">
        <f t="shared" si="41"/>
        <v>11/01/2019</v>
      </c>
      <c r="E1286" t="s">
        <v>55</v>
      </c>
      <c r="F1286" t="s">
        <v>51</v>
      </c>
      <c r="G1286" t="s">
        <v>44</v>
      </c>
      <c r="H1286">
        <v>190</v>
      </c>
      <c r="I1286">
        <v>164</v>
      </c>
      <c r="K1286">
        <v>51</v>
      </c>
      <c r="M1286">
        <v>0</v>
      </c>
      <c r="S1286">
        <v>38</v>
      </c>
      <c r="T1286">
        <v>12</v>
      </c>
      <c r="U1286">
        <v>0</v>
      </c>
      <c r="V1286">
        <v>0</v>
      </c>
      <c r="W1286" s="1">
        <v>44160</v>
      </c>
      <c r="AA1286" t="s">
        <v>40</v>
      </c>
      <c r="AC1286" t="s">
        <v>40</v>
      </c>
      <c r="AE1286" t="s">
        <v>40</v>
      </c>
      <c r="AF1286" t="s">
        <v>40</v>
      </c>
      <c r="AG1286" t="s">
        <v>40</v>
      </c>
      <c r="AH1286" t="s">
        <v>40</v>
      </c>
      <c r="AI1286" t="s">
        <v>40</v>
      </c>
    </row>
    <row r="1287" spans="1:37" x14ac:dyDescent="0.3">
      <c r="A1287">
        <v>2019</v>
      </c>
      <c r="B1287">
        <v>11</v>
      </c>
      <c r="C1287" t="str">
        <f t="shared" si="40"/>
        <v>11/01/2019</v>
      </c>
      <c r="D1287" s="1" t="str">
        <f t="shared" si="41"/>
        <v>11/01/2019</v>
      </c>
      <c r="E1287" t="s">
        <v>55</v>
      </c>
      <c r="F1287" t="s">
        <v>51</v>
      </c>
      <c r="G1287" t="s">
        <v>45</v>
      </c>
      <c r="J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T1287">
        <v>0</v>
      </c>
      <c r="U1287">
        <v>0</v>
      </c>
      <c r="V1287">
        <v>0</v>
      </c>
      <c r="W1287" s="1">
        <v>44160</v>
      </c>
      <c r="Y1287" t="s">
        <v>40</v>
      </c>
      <c r="Z1287" t="s">
        <v>40</v>
      </c>
      <c r="AB1287" t="s">
        <v>40</v>
      </c>
      <c r="AI1287" t="s">
        <v>40</v>
      </c>
      <c r="AJ1287" t="s">
        <v>40</v>
      </c>
    </row>
    <row r="1288" spans="1:37" x14ac:dyDescent="0.3">
      <c r="A1288">
        <v>2019</v>
      </c>
      <c r="B1288">
        <v>11</v>
      </c>
      <c r="C1288" t="str">
        <f t="shared" si="40"/>
        <v>11/01/2019</v>
      </c>
      <c r="D1288" s="1" t="str">
        <f t="shared" si="41"/>
        <v>11/01/2019</v>
      </c>
      <c r="E1288" t="s">
        <v>55</v>
      </c>
      <c r="F1288" t="s">
        <v>51</v>
      </c>
      <c r="G1288" t="s">
        <v>46</v>
      </c>
      <c r="H1288">
        <v>370</v>
      </c>
      <c r="I1288">
        <v>333</v>
      </c>
      <c r="K1288">
        <v>112</v>
      </c>
      <c r="L1288">
        <v>21</v>
      </c>
      <c r="M1288">
        <v>0</v>
      </c>
      <c r="O1288">
        <v>10</v>
      </c>
      <c r="Q1288">
        <v>14</v>
      </c>
      <c r="S1288">
        <v>95</v>
      </c>
      <c r="T1288">
        <v>22</v>
      </c>
      <c r="U1288">
        <v>0</v>
      </c>
      <c r="V1288">
        <v>0</v>
      </c>
      <c r="W1288" s="1">
        <v>44160</v>
      </c>
      <c r="AA1288" t="s">
        <v>40</v>
      </c>
      <c r="AE1288" t="s">
        <v>40</v>
      </c>
      <c r="AG1288" t="s">
        <v>40</v>
      </c>
      <c r="AI1288" t="s">
        <v>40</v>
      </c>
    </row>
    <row r="1289" spans="1:37" x14ac:dyDescent="0.3">
      <c r="A1289">
        <v>2019</v>
      </c>
      <c r="B1289">
        <v>11</v>
      </c>
      <c r="C1289" t="str">
        <f t="shared" si="40"/>
        <v>11/01/2019</v>
      </c>
      <c r="D1289" s="1" t="str">
        <f t="shared" si="41"/>
        <v>11/01/2019</v>
      </c>
      <c r="E1289" t="s">
        <v>55</v>
      </c>
      <c r="F1289" t="s">
        <v>51</v>
      </c>
      <c r="G1289" t="s">
        <v>47</v>
      </c>
      <c r="H1289">
        <v>630</v>
      </c>
      <c r="I1289">
        <v>597</v>
      </c>
      <c r="K1289">
        <v>222</v>
      </c>
      <c r="L1289">
        <v>35</v>
      </c>
      <c r="O1289">
        <v>12</v>
      </c>
      <c r="P1289">
        <v>14</v>
      </c>
      <c r="Q1289">
        <v>17</v>
      </c>
      <c r="S1289">
        <v>134</v>
      </c>
      <c r="T1289">
        <v>50</v>
      </c>
      <c r="U1289">
        <v>0</v>
      </c>
      <c r="V1289">
        <v>0</v>
      </c>
      <c r="W1289" s="1">
        <v>44160</v>
      </c>
      <c r="AA1289" t="s">
        <v>40</v>
      </c>
      <c r="AD1289" t="s">
        <v>40</v>
      </c>
      <c r="AE1289" t="s">
        <v>40</v>
      </c>
      <c r="AI1289" t="s">
        <v>40</v>
      </c>
    </row>
    <row r="1290" spans="1:37" x14ac:dyDescent="0.3">
      <c r="A1290">
        <v>2019</v>
      </c>
      <c r="B1290">
        <v>11</v>
      </c>
      <c r="C1290" t="str">
        <f t="shared" si="40"/>
        <v>11/01/2019</v>
      </c>
      <c r="D1290" s="1" t="str">
        <f t="shared" si="41"/>
        <v>11/01/2019</v>
      </c>
      <c r="E1290" t="s">
        <v>55</v>
      </c>
      <c r="F1290" t="s">
        <v>51</v>
      </c>
      <c r="G1290" t="s">
        <v>48</v>
      </c>
      <c r="H1290">
        <v>819</v>
      </c>
      <c r="I1290">
        <v>789</v>
      </c>
      <c r="J1290">
        <v>10</v>
      </c>
      <c r="K1290">
        <v>204</v>
      </c>
      <c r="L1290">
        <v>28</v>
      </c>
      <c r="M1290">
        <v>22</v>
      </c>
      <c r="N1290">
        <v>27</v>
      </c>
      <c r="O1290">
        <v>32</v>
      </c>
      <c r="P1290">
        <v>22</v>
      </c>
      <c r="Q1290">
        <v>26</v>
      </c>
      <c r="S1290">
        <v>189</v>
      </c>
      <c r="T1290">
        <v>69</v>
      </c>
      <c r="U1290">
        <v>0</v>
      </c>
      <c r="V1290">
        <v>0</v>
      </c>
      <c r="W1290" s="1">
        <v>44160</v>
      </c>
      <c r="AI1290" t="s">
        <v>40</v>
      </c>
    </row>
    <row r="1291" spans="1:37" x14ac:dyDescent="0.3">
      <c r="A1291">
        <v>2019</v>
      </c>
      <c r="B1291">
        <v>11</v>
      </c>
      <c r="C1291" t="str">
        <f t="shared" si="40"/>
        <v>11/01/2019</v>
      </c>
      <c r="D1291" s="1" t="str">
        <f t="shared" si="41"/>
        <v>11/01/2019</v>
      </c>
      <c r="E1291" t="s">
        <v>55</v>
      </c>
      <c r="F1291" t="s">
        <v>51</v>
      </c>
      <c r="G1291" t="s">
        <v>49</v>
      </c>
      <c r="H1291">
        <v>755</v>
      </c>
      <c r="I1291">
        <v>733</v>
      </c>
      <c r="K1291">
        <v>123</v>
      </c>
      <c r="L1291">
        <v>26</v>
      </c>
      <c r="M1291">
        <v>54</v>
      </c>
      <c r="N1291">
        <v>26</v>
      </c>
      <c r="O1291">
        <v>23</v>
      </c>
      <c r="P1291">
        <v>13</v>
      </c>
      <c r="Q1291">
        <v>19</v>
      </c>
      <c r="S1291">
        <v>189</v>
      </c>
      <c r="T1291">
        <v>80</v>
      </c>
      <c r="U1291">
        <v>0</v>
      </c>
      <c r="V1291">
        <v>0</v>
      </c>
      <c r="W1291" s="1">
        <v>44160</v>
      </c>
      <c r="AA1291" t="s">
        <v>40</v>
      </c>
      <c r="AI1291" t="s">
        <v>40</v>
      </c>
    </row>
    <row r="1292" spans="1:37" x14ac:dyDescent="0.3">
      <c r="A1292">
        <v>2019</v>
      </c>
      <c r="B1292">
        <v>11</v>
      </c>
      <c r="C1292" t="str">
        <f t="shared" si="40"/>
        <v>11/01/2019</v>
      </c>
      <c r="D1292" s="1" t="str">
        <f t="shared" si="41"/>
        <v>11/01/2019</v>
      </c>
      <c r="E1292" t="s">
        <v>55</v>
      </c>
      <c r="F1292" t="s">
        <v>52</v>
      </c>
      <c r="G1292" t="s">
        <v>39</v>
      </c>
      <c r="H1292">
        <v>306</v>
      </c>
      <c r="I1292">
        <v>281</v>
      </c>
      <c r="L1292">
        <v>0</v>
      </c>
      <c r="M1292">
        <v>0</v>
      </c>
      <c r="O1292">
        <v>0</v>
      </c>
      <c r="R1292">
        <v>44</v>
      </c>
      <c r="U1292">
        <v>0</v>
      </c>
      <c r="V1292">
        <v>0</v>
      </c>
      <c r="W1292" s="1">
        <v>44160</v>
      </c>
      <c r="AA1292" t="s">
        <v>40</v>
      </c>
      <c r="AB1292" t="s">
        <v>40</v>
      </c>
      <c r="AE1292" t="s">
        <v>40</v>
      </c>
      <c r="AG1292" t="s">
        <v>40</v>
      </c>
      <c r="AH1292" t="s">
        <v>40</v>
      </c>
      <c r="AJ1292" t="s">
        <v>40</v>
      </c>
      <c r="AK1292" t="s">
        <v>40</v>
      </c>
    </row>
    <row r="1293" spans="1:37" x14ac:dyDescent="0.3">
      <c r="A1293">
        <v>2019</v>
      </c>
      <c r="B1293">
        <v>11</v>
      </c>
      <c r="C1293" t="str">
        <f t="shared" si="40"/>
        <v>11/01/2019</v>
      </c>
      <c r="D1293" s="1" t="str">
        <f t="shared" si="41"/>
        <v>11/01/2019</v>
      </c>
      <c r="E1293" t="s">
        <v>55</v>
      </c>
      <c r="F1293" t="s">
        <v>52</v>
      </c>
      <c r="G1293" t="s">
        <v>41</v>
      </c>
      <c r="H1293">
        <v>434</v>
      </c>
      <c r="I1293">
        <v>80</v>
      </c>
      <c r="K1293">
        <v>10</v>
      </c>
      <c r="M1293">
        <v>0</v>
      </c>
      <c r="N1293">
        <v>0</v>
      </c>
      <c r="S1293">
        <v>19</v>
      </c>
      <c r="U1293">
        <v>0</v>
      </c>
      <c r="V1293">
        <v>0</v>
      </c>
      <c r="W1293" s="1">
        <v>44160</v>
      </c>
      <c r="AA1293" t="s">
        <v>40</v>
      </c>
      <c r="AC1293" t="s">
        <v>40</v>
      </c>
      <c r="AF1293" t="s">
        <v>40</v>
      </c>
      <c r="AG1293" t="s">
        <v>40</v>
      </c>
      <c r="AH1293" t="s">
        <v>40</v>
      </c>
      <c r="AI1293" t="s">
        <v>40</v>
      </c>
      <c r="AK1293" t="s">
        <v>40</v>
      </c>
    </row>
    <row r="1294" spans="1:37" x14ac:dyDescent="0.3">
      <c r="A1294">
        <v>2019</v>
      </c>
      <c r="B1294">
        <v>11</v>
      </c>
      <c r="C1294" t="str">
        <f t="shared" si="40"/>
        <v>11/01/2019</v>
      </c>
      <c r="D1294" s="1" t="str">
        <f t="shared" si="41"/>
        <v>11/01/2019</v>
      </c>
      <c r="E1294" t="s">
        <v>55</v>
      </c>
      <c r="F1294" t="s">
        <v>52</v>
      </c>
      <c r="G1294" t="s">
        <v>42</v>
      </c>
      <c r="H1294">
        <v>733</v>
      </c>
      <c r="I1294">
        <v>226</v>
      </c>
      <c r="K1294">
        <v>26</v>
      </c>
      <c r="L1294">
        <v>15</v>
      </c>
      <c r="M1294">
        <v>0</v>
      </c>
      <c r="R1294">
        <v>17</v>
      </c>
      <c r="S1294">
        <v>47</v>
      </c>
      <c r="U1294">
        <v>0</v>
      </c>
      <c r="V1294">
        <v>0</v>
      </c>
      <c r="W1294" s="1">
        <v>44160</v>
      </c>
      <c r="AA1294" t="s">
        <v>40</v>
      </c>
      <c r="AE1294" t="s">
        <v>40</v>
      </c>
      <c r="AF1294" t="s">
        <v>40</v>
      </c>
      <c r="AG1294" t="s">
        <v>40</v>
      </c>
      <c r="AH1294" t="s">
        <v>40</v>
      </c>
      <c r="AK1294" t="s">
        <v>40</v>
      </c>
    </row>
    <row r="1295" spans="1:37" x14ac:dyDescent="0.3">
      <c r="A1295">
        <v>2019</v>
      </c>
      <c r="B1295">
        <v>11</v>
      </c>
      <c r="C1295" t="str">
        <f t="shared" si="40"/>
        <v>11/01/2019</v>
      </c>
      <c r="D1295" s="1" t="str">
        <f t="shared" si="41"/>
        <v>11/01/2019</v>
      </c>
      <c r="E1295" t="s">
        <v>55</v>
      </c>
      <c r="F1295" t="s">
        <v>52</v>
      </c>
      <c r="G1295" t="s">
        <v>43</v>
      </c>
      <c r="H1295">
        <v>896</v>
      </c>
      <c r="I1295">
        <v>510</v>
      </c>
      <c r="J1295">
        <v>10</v>
      </c>
      <c r="K1295">
        <v>63</v>
      </c>
      <c r="L1295">
        <v>32</v>
      </c>
      <c r="M1295">
        <v>0</v>
      </c>
      <c r="O1295">
        <v>10</v>
      </c>
      <c r="R1295">
        <v>17</v>
      </c>
      <c r="S1295">
        <v>185</v>
      </c>
      <c r="T1295">
        <v>19</v>
      </c>
      <c r="U1295">
        <v>0</v>
      </c>
      <c r="V1295">
        <v>0</v>
      </c>
      <c r="W1295" s="1">
        <v>44160</v>
      </c>
      <c r="AE1295" t="s">
        <v>40</v>
      </c>
      <c r="AG1295" t="s">
        <v>40</v>
      </c>
      <c r="AH1295" t="s">
        <v>40</v>
      </c>
    </row>
    <row r="1296" spans="1:37" x14ac:dyDescent="0.3">
      <c r="A1296">
        <v>2019</v>
      </c>
      <c r="B1296">
        <v>11</v>
      </c>
      <c r="C1296" t="str">
        <f t="shared" si="40"/>
        <v>11/01/2019</v>
      </c>
      <c r="D1296" s="1" t="str">
        <f t="shared" si="41"/>
        <v>11/01/2019</v>
      </c>
      <c r="E1296" t="s">
        <v>55</v>
      </c>
      <c r="F1296" t="s">
        <v>52</v>
      </c>
      <c r="G1296" t="s">
        <v>44</v>
      </c>
      <c r="H1296" s="2">
        <v>1553</v>
      </c>
      <c r="I1296" s="2">
        <v>1176</v>
      </c>
      <c r="J1296">
        <v>24</v>
      </c>
      <c r="K1296">
        <v>197</v>
      </c>
      <c r="L1296">
        <v>83</v>
      </c>
      <c r="N1296">
        <v>15</v>
      </c>
      <c r="O1296">
        <v>23</v>
      </c>
      <c r="P1296">
        <v>15</v>
      </c>
      <c r="Q1296">
        <v>38</v>
      </c>
      <c r="R1296">
        <v>19</v>
      </c>
      <c r="S1296">
        <v>414</v>
      </c>
      <c r="T1296">
        <v>65</v>
      </c>
      <c r="U1296">
        <v>0</v>
      </c>
      <c r="V1296">
        <v>0</v>
      </c>
      <c r="W1296" s="1">
        <v>44160</v>
      </c>
      <c r="AD1296" t="s">
        <v>40</v>
      </c>
    </row>
    <row r="1297" spans="1:37" x14ac:dyDescent="0.3">
      <c r="A1297">
        <v>2019</v>
      </c>
      <c r="B1297">
        <v>11</v>
      </c>
      <c r="C1297" t="str">
        <f t="shared" si="40"/>
        <v>11/01/2019</v>
      </c>
      <c r="D1297" s="1" t="str">
        <f t="shared" si="41"/>
        <v>11/01/2019</v>
      </c>
      <c r="E1297" t="s">
        <v>55</v>
      </c>
      <c r="F1297" t="s">
        <v>52</v>
      </c>
      <c r="G1297" t="s">
        <v>45</v>
      </c>
      <c r="H1297">
        <v>60</v>
      </c>
      <c r="I1297">
        <v>31</v>
      </c>
      <c r="J1297">
        <v>0</v>
      </c>
      <c r="L1297">
        <v>0</v>
      </c>
      <c r="M1297">
        <v>0</v>
      </c>
      <c r="U1297">
        <v>0</v>
      </c>
      <c r="V1297">
        <v>0</v>
      </c>
      <c r="W1297" s="1">
        <v>44160</v>
      </c>
      <c r="AB1297" t="s">
        <v>40</v>
      </c>
      <c r="AE1297" t="s">
        <v>40</v>
      </c>
      <c r="AF1297" t="s">
        <v>40</v>
      </c>
      <c r="AG1297" t="s">
        <v>40</v>
      </c>
      <c r="AH1297" t="s">
        <v>40</v>
      </c>
      <c r="AI1297" t="s">
        <v>40</v>
      </c>
      <c r="AJ1297" t="s">
        <v>40</v>
      </c>
      <c r="AK1297" t="s">
        <v>40</v>
      </c>
    </row>
    <row r="1298" spans="1:37" x14ac:dyDescent="0.3">
      <c r="A1298">
        <v>2019</v>
      </c>
      <c r="B1298">
        <v>11</v>
      </c>
      <c r="C1298" t="str">
        <f t="shared" si="40"/>
        <v>11/01/2019</v>
      </c>
      <c r="D1298" s="1" t="str">
        <f t="shared" si="41"/>
        <v>11/01/2019</v>
      </c>
      <c r="E1298" t="s">
        <v>55</v>
      </c>
      <c r="F1298" t="s">
        <v>52</v>
      </c>
      <c r="G1298" t="s">
        <v>46</v>
      </c>
      <c r="H1298" s="2">
        <v>3270</v>
      </c>
      <c r="I1298" s="2">
        <v>2876</v>
      </c>
      <c r="J1298">
        <v>49</v>
      </c>
      <c r="K1298">
        <v>709</v>
      </c>
      <c r="L1298">
        <v>160</v>
      </c>
      <c r="N1298">
        <v>50</v>
      </c>
      <c r="O1298">
        <v>87</v>
      </c>
      <c r="P1298">
        <v>34</v>
      </c>
      <c r="Q1298">
        <v>82</v>
      </c>
      <c r="R1298">
        <v>29</v>
      </c>
      <c r="S1298">
        <v>984</v>
      </c>
      <c r="T1298">
        <v>135</v>
      </c>
      <c r="U1298">
        <v>0</v>
      </c>
      <c r="V1298">
        <v>0</v>
      </c>
      <c r="W1298" s="1">
        <v>44160</v>
      </c>
      <c r="AD1298" t="s">
        <v>40</v>
      </c>
    </row>
    <row r="1299" spans="1:37" x14ac:dyDescent="0.3">
      <c r="A1299">
        <v>2019</v>
      </c>
      <c r="B1299">
        <v>11</v>
      </c>
      <c r="C1299" t="str">
        <f t="shared" si="40"/>
        <v>11/01/2019</v>
      </c>
      <c r="D1299" s="1" t="str">
        <f t="shared" si="41"/>
        <v>11/01/2019</v>
      </c>
      <c r="E1299" t="s">
        <v>55</v>
      </c>
      <c r="F1299" t="s">
        <v>52</v>
      </c>
      <c r="G1299" t="s">
        <v>47</v>
      </c>
      <c r="H1299" s="2">
        <v>3691</v>
      </c>
      <c r="I1299" s="2">
        <v>3500</v>
      </c>
      <c r="J1299">
        <v>71</v>
      </c>
      <c r="K1299">
        <v>936</v>
      </c>
      <c r="L1299">
        <v>198</v>
      </c>
      <c r="M1299">
        <v>38</v>
      </c>
      <c r="N1299">
        <v>57</v>
      </c>
      <c r="O1299">
        <v>158</v>
      </c>
      <c r="P1299">
        <v>37</v>
      </c>
      <c r="Q1299">
        <v>111</v>
      </c>
      <c r="R1299">
        <v>44</v>
      </c>
      <c r="S1299">
        <v>984</v>
      </c>
      <c r="T1299">
        <v>206</v>
      </c>
      <c r="U1299">
        <v>0</v>
      </c>
      <c r="V1299">
        <v>0</v>
      </c>
      <c r="W1299" s="1">
        <v>44160</v>
      </c>
    </row>
    <row r="1300" spans="1:37" x14ac:dyDescent="0.3">
      <c r="A1300">
        <v>2019</v>
      </c>
      <c r="B1300">
        <v>11</v>
      </c>
      <c r="C1300" t="str">
        <f t="shared" si="40"/>
        <v>11/01/2019</v>
      </c>
      <c r="D1300" s="1" t="str">
        <f t="shared" si="41"/>
        <v>11/01/2019</v>
      </c>
      <c r="E1300" t="s">
        <v>55</v>
      </c>
      <c r="F1300" t="s">
        <v>52</v>
      </c>
      <c r="G1300" t="s">
        <v>48</v>
      </c>
      <c r="H1300" s="2">
        <v>2747</v>
      </c>
      <c r="I1300" s="2">
        <v>2679</v>
      </c>
      <c r="J1300">
        <v>43</v>
      </c>
      <c r="K1300">
        <v>649</v>
      </c>
      <c r="L1300">
        <v>120</v>
      </c>
      <c r="M1300">
        <v>91</v>
      </c>
      <c r="N1300">
        <v>53</v>
      </c>
      <c r="O1300">
        <v>122</v>
      </c>
      <c r="P1300">
        <v>43</v>
      </c>
      <c r="Q1300">
        <v>91</v>
      </c>
      <c r="R1300">
        <v>20</v>
      </c>
      <c r="S1300">
        <v>717</v>
      </c>
      <c r="T1300">
        <v>197</v>
      </c>
      <c r="U1300">
        <v>0</v>
      </c>
      <c r="V1300">
        <v>0</v>
      </c>
      <c r="W1300" s="1">
        <v>44160</v>
      </c>
    </row>
    <row r="1301" spans="1:37" x14ac:dyDescent="0.3">
      <c r="A1301">
        <v>2019</v>
      </c>
      <c r="B1301">
        <v>11</v>
      </c>
      <c r="C1301" t="str">
        <f t="shared" si="40"/>
        <v>11/01/2019</v>
      </c>
      <c r="D1301" s="1" t="str">
        <f t="shared" si="41"/>
        <v>11/01/2019</v>
      </c>
      <c r="E1301" t="s">
        <v>55</v>
      </c>
      <c r="F1301" t="s">
        <v>52</v>
      </c>
      <c r="G1301" t="s">
        <v>49</v>
      </c>
      <c r="H1301" s="2">
        <v>1808</v>
      </c>
      <c r="I1301" s="2">
        <v>1769</v>
      </c>
      <c r="J1301">
        <v>38</v>
      </c>
      <c r="K1301">
        <v>300</v>
      </c>
      <c r="L1301">
        <v>77</v>
      </c>
      <c r="M1301">
        <v>119</v>
      </c>
      <c r="N1301">
        <v>35</v>
      </c>
      <c r="O1301">
        <v>74</v>
      </c>
      <c r="P1301">
        <v>28</v>
      </c>
      <c r="Q1301">
        <v>63</v>
      </c>
      <c r="R1301">
        <v>18</v>
      </c>
      <c r="S1301">
        <v>503</v>
      </c>
      <c r="T1301">
        <v>124</v>
      </c>
      <c r="U1301">
        <v>0</v>
      </c>
      <c r="V1301">
        <v>0</v>
      </c>
      <c r="W1301" s="1">
        <v>44160</v>
      </c>
    </row>
    <row r="1302" spans="1:37" x14ac:dyDescent="0.3">
      <c r="A1302">
        <v>2019</v>
      </c>
      <c r="B1302">
        <v>11</v>
      </c>
      <c r="C1302" t="str">
        <f t="shared" si="40"/>
        <v>11/01/2019</v>
      </c>
      <c r="D1302" s="1" t="str">
        <f t="shared" si="41"/>
        <v>11/01/2019</v>
      </c>
      <c r="E1302" t="s">
        <v>55</v>
      </c>
      <c r="F1302" t="s">
        <v>53</v>
      </c>
      <c r="G1302" t="s">
        <v>39</v>
      </c>
      <c r="H1302">
        <v>452</v>
      </c>
      <c r="I1302">
        <v>391</v>
      </c>
      <c r="L1302">
        <v>0</v>
      </c>
      <c r="M1302">
        <v>0</v>
      </c>
      <c r="O1302">
        <v>0</v>
      </c>
      <c r="R1302">
        <v>53</v>
      </c>
      <c r="U1302">
        <v>0</v>
      </c>
      <c r="V1302">
        <v>0</v>
      </c>
      <c r="W1302" s="1">
        <v>44160</v>
      </c>
      <c r="AA1302" t="s">
        <v>40</v>
      </c>
      <c r="AB1302" t="s">
        <v>40</v>
      </c>
      <c r="AE1302" t="s">
        <v>40</v>
      </c>
      <c r="AG1302" t="s">
        <v>40</v>
      </c>
      <c r="AH1302" t="s">
        <v>40</v>
      </c>
      <c r="AJ1302" t="s">
        <v>40</v>
      </c>
      <c r="AK1302" t="s">
        <v>40</v>
      </c>
    </row>
    <row r="1303" spans="1:37" x14ac:dyDescent="0.3">
      <c r="A1303">
        <v>2019</v>
      </c>
      <c r="B1303">
        <v>11</v>
      </c>
      <c r="C1303" t="str">
        <f t="shared" si="40"/>
        <v>11/01/2019</v>
      </c>
      <c r="D1303" s="1" t="str">
        <f t="shared" si="41"/>
        <v>11/01/2019</v>
      </c>
      <c r="E1303" t="s">
        <v>55</v>
      </c>
      <c r="F1303" t="s">
        <v>53</v>
      </c>
      <c r="G1303" t="s">
        <v>41</v>
      </c>
      <c r="H1303">
        <v>874</v>
      </c>
      <c r="I1303">
        <v>144</v>
      </c>
      <c r="K1303">
        <v>30</v>
      </c>
      <c r="M1303">
        <v>0</v>
      </c>
      <c r="R1303">
        <v>17</v>
      </c>
      <c r="S1303">
        <v>16</v>
      </c>
      <c r="U1303">
        <v>0</v>
      </c>
      <c r="V1303">
        <v>0</v>
      </c>
      <c r="W1303" s="1">
        <v>44160</v>
      </c>
      <c r="AA1303" t="s">
        <v>40</v>
      </c>
      <c r="AC1303" t="s">
        <v>40</v>
      </c>
      <c r="AE1303" t="s">
        <v>40</v>
      </c>
      <c r="AF1303" t="s">
        <v>40</v>
      </c>
      <c r="AG1303" t="s">
        <v>40</v>
      </c>
      <c r="AH1303" t="s">
        <v>40</v>
      </c>
      <c r="AK1303" t="s">
        <v>40</v>
      </c>
    </row>
    <row r="1304" spans="1:37" x14ac:dyDescent="0.3">
      <c r="A1304">
        <v>2019</v>
      </c>
      <c r="B1304">
        <v>11</v>
      </c>
      <c r="C1304" t="str">
        <f t="shared" si="40"/>
        <v>11/01/2019</v>
      </c>
      <c r="D1304" s="1" t="str">
        <f t="shared" si="41"/>
        <v>11/01/2019</v>
      </c>
      <c r="E1304" t="s">
        <v>55</v>
      </c>
      <c r="F1304" t="s">
        <v>53</v>
      </c>
      <c r="G1304" t="s">
        <v>42</v>
      </c>
      <c r="H1304" s="2">
        <v>1902</v>
      </c>
      <c r="I1304">
        <v>495</v>
      </c>
      <c r="K1304">
        <v>83</v>
      </c>
      <c r="L1304">
        <v>19</v>
      </c>
      <c r="M1304">
        <v>0</v>
      </c>
      <c r="P1304">
        <v>10</v>
      </c>
      <c r="R1304">
        <v>36</v>
      </c>
      <c r="S1304">
        <v>85</v>
      </c>
      <c r="T1304">
        <v>15</v>
      </c>
      <c r="U1304">
        <v>0</v>
      </c>
      <c r="V1304">
        <v>0</v>
      </c>
      <c r="W1304" s="1">
        <v>44160</v>
      </c>
      <c r="AA1304" t="s">
        <v>40</v>
      </c>
      <c r="AE1304" t="s">
        <v>40</v>
      </c>
      <c r="AF1304" t="s">
        <v>40</v>
      </c>
      <c r="AH1304" t="s">
        <v>40</v>
      </c>
    </row>
    <row r="1305" spans="1:37" x14ac:dyDescent="0.3">
      <c r="A1305">
        <v>2019</v>
      </c>
      <c r="B1305">
        <v>11</v>
      </c>
      <c r="C1305" t="str">
        <f t="shared" si="40"/>
        <v>11/01/2019</v>
      </c>
      <c r="D1305" s="1" t="str">
        <f t="shared" si="41"/>
        <v>11/01/2019</v>
      </c>
      <c r="E1305" t="s">
        <v>55</v>
      </c>
      <c r="F1305" t="s">
        <v>53</v>
      </c>
      <c r="G1305" t="s">
        <v>43</v>
      </c>
      <c r="H1305" s="2">
        <v>2680</v>
      </c>
      <c r="I1305" s="2">
        <v>1237</v>
      </c>
      <c r="J1305">
        <v>28</v>
      </c>
      <c r="K1305">
        <v>221</v>
      </c>
      <c r="L1305">
        <v>61</v>
      </c>
      <c r="M1305">
        <v>0</v>
      </c>
      <c r="N1305">
        <v>22</v>
      </c>
      <c r="P1305">
        <v>14</v>
      </c>
      <c r="Q1305">
        <v>12</v>
      </c>
      <c r="R1305">
        <v>43</v>
      </c>
      <c r="S1305">
        <v>324</v>
      </c>
      <c r="T1305">
        <v>39</v>
      </c>
      <c r="U1305">
        <v>0</v>
      </c>
      <c r="V1305">
        <v>0</v>
      </c>
      <c r="W1305" s="1">
        <v>44160</v>
      </c>
      <c r="AF1305" t="s">
        <v>40</v>
      </c>
    </row>
    <row r="1306" spans="1:37" x14ac:dyDescent="0.3">
      <c r="A1306">
        <v>2019</v>
      </c>
      <c r="B1306">
        <v>11</v>
      </c>
      <c r="C1306" t="str">
        <f t="shared" si="40"/>
        <v>11/01/2019</v>
      </c>
      <c r="D1306" s="1" t="str">
        <f t="shared" si="41"/>
        <v>11/01/2019</v>
      </c>
      <c r="E1306" t="s">
        <v>55</v>
      </c>
      <c r="F1306" t="s">
        <v>53</v>
      </c>
      <c r="G1306" t="s">
        <v>44</v>
      </c>
      <c r="H1306" s="2">
        <v>5098</v>
      </c>
      <c r="I1306" s="2">
        <v>3732</v>
      </c>
      <c r="J1306">
        <v>53</v>
      </c>
      <c r="K1306">
        <v>897</v>
      </c>
      <c r="L1306">
        <v>199</v>
      </c>
      <c r="N1306">
        <v>40</v>
      </c>
      <c r="O1306">
        <v>89</v>
      </c>
      <c r="P1306">
        <v>34</v>
      </c>
      <c r="Q1306">
        <v>44</v>
      </c>
      <c r="R1306">
        <v>66</v>
      </c>
      <c r="S1306" s="2">
        <v>1110</v>
      </c>
      <c r="T1306">
        <v>124</v>
      </c>
      <c r="U1306">
        <v>0</v>
      </c>
      <c r="V1306">
        <v>0</v>
      </c>
      <c r="W1306" s="1">
        <v>44160</v>
      </c>
      <c r="AD1306" t="s">
        <v>40</v>
      </c>
    </row>
    <row r="1307" spans="1:37" x14ac:dyDescent="0.3">
      <c r="A1307">
        <v>2019</v>
      </c>
      <c r="B1307">
        <v>11</v>
      </c>
      <c r="C1307" t="str">
        <f t="shared" si="40"/>
        <v>11/01/2019</v>
      </c>
      <c r="D1307" s="1" t="str">
        <f t="shared" si="41"/>
        <v>11/01/2019</v>
      </c>
      <c r="E1307" t="s">
        <v>55</v>
      </c>
      <c r="F1307" t="s">
        <v>53</v>
      </c>
      <c r="G1307" t="s">
        <v>45</v>
      </c>
      <c r="H1307">
        <v>119</v>
      </c>
      <c r="I1307">
        <v>61</v>
      </c>
      <c r="K1307">
        <v>13</v>
      </c>
      <c r="L1307">
        <v>0</v>
      </c>
      <c r="M1307">
        <v>0</v>
      </c>
      <c r="Q1307">
        <v>0</v>
      </c>
      <c r="U1307">
        <v>0</v>
      </c>
      <c r="V1307">
        <v>0</v>
      </c>
      <c r="W1307" s="1">
        <v>44160</v>
      </c>
      <c r="AA1307" t="s">
        <v>40</v>
      </c>
      <c r="AE1307" t="s">
        <v>40</v>
      </c>
      <c r="AF1307" t="s">
        <v>40</v>
      </c>
      <c r="AG1307" t="s">
        <v>40</v>
      </c>
      <c r="AI1307" t="s">
        <v>40</v>
      </c>
      <c r="AJ1307" t="s">
        <v>40</v>
      </c>
      <c r="AK1307" t="s">
        <v>40</v>
      </c>
    </row>
    <row r="1308" spans="1:37" x14ac:dyDescent="0.3">
      <c r="A1308">
        <v>2019</v>
      </c>
      <c r="B1308">
        <v>11</v>
      </c>
      <c r="C1308" t="str">
        <f t="shared" si="40"/>
        <v>11/01/2019</v>
      </c>
      <c r="D1308" s="1" t="str">
        <f t="shared" si="41"/>
        <v>11/01/2019</v>
      </c>
      <c r="E1308" t="s">
        <v>55</v>
      </c>
      <c r="F1308" t="s">
        <v>53</v>
      </c>
      <c r="G1308" t="s">
        <v>46</v>
      </c>
      <c r="H1308" s="2">
        <v>13304</v>
      </c>
      <c r="I1308" s="2">
        <v>11700</v>
      </c>
      <c r="J1308">
        <v>179</v>
      </c>
      <c r="K1308" s="2">
        <v>3635</v>
      </c>
      <c r="L1308">
        <v>529</v>
      </c>
      <c r="M1308">
        <v>43</v>
      </c>
      <c r="N1308">
        <v>126</v>
      </c>
      <c r="O1308">
        <v>598</v>
      </c>
      <c r="P1308">
        <v>161</v>
      </c>
      <c r="Q1308">
        <v>158</v>
      </c>
      <c r="R1308">
        <v>133</v>
      </c>
      <c r="S1308" s="2">
        <v>3170</v>
      </c>
      <c r="T1308">
        <v>368</v>
      </c>
      <c r="U1308">
        <v>0</v>
      </c>
      <c r="V1308">
        <v>0</v>
      </c>
      <c r="W1308" s="1">
        <v>44160</v>
      </c>
    </row>
    <row r="1309" spans="1:37" x14ac:dyDescent="0.3">
      <c r="A1309">
        <v>2019</v>
      </c>
      <c r="B1309">
        <v>11</v>
      </c>
      <c r="C1309" t="str">
        <f t="shared" si="40"/>
        <v>11/01/2019</v>
      </c>
      <c r="D1309" s="1" t="str">
        <f t="shared" si="41"/>
        <v>11/01/2019</v>
      </c>
      <c r="E1309" t="s">
        <v>55</v>
      </c>
      <c r="F1309" t="s">
        <v>53</v>
      </c>
      <c r="G1309" t="s">
        <v>47</v>
      </c>
      <c r="H1309" s="2">
        <v>20614</v>
      </c>
      <c r="I1309" s="2">
        <v>19566</v>
      </c>
      <c r="J1309">
        <v>272</v>
      </c>
      <c r="K1309" s="2">
        <v>6178</v>
      </c>
      <c r="L1309">
        <v>795</v>
      </c>
      <c r="M1309">
        <v>261</v>
      </c>
      <c r="N1309">
        <v>248</v>
      </c>
      <c r="O1309" s="2">
        <v>1336</v>
      </c>
      <c r="P1309">
        <v>372</v>
      </c>
      <c r="Q1309">
        <v>309</v>
      </c>
      <c r="R1309">
        <v>196</v>
      </c>
      <c r="S1309" s="2">
        <v>5079</v>
      </c>
      <c r="T1309">
        <v>781</v>
      </c>
      <c r="U1309">
        <v>0</v>
      </c>
      <c r="V1309">
        <v>0</v>
      </c>
      <c r="W1309" s="1">
        <v>44160</v>
      </c>
    </row>
    <row r="1310" spans="1:37" x14ac:dyDescent="0.3">
      <c r="A1310">
        <v>2019</v>
      </c>
      <c r="B1310">
        <v>11</v>
      </c>
      <c r="C1310" t="str">
        <f t="shared" si="40"/>
        <v>11/01/2019</v>
      </c>
      <c r="D1310" s="1" t="str">
        <f t="shared" si="41"/>
        <v>11/01/2019</v>
      </c>
      <c r="E1310" t="s">
        <v>55</v>
      </c>
      <c r="F1310" t="s">
        <v>53</v>
      </c>
      <c r="G1310" t="s">
        <v>48</v>
      </c>
      <c r="H1310" s="2">
        <v>24139</v>
      </c>
      <c r="I1310" s="2">
        <v>23130</v>
      </c>
      <c r="J1310">
        <v>326</v>
      </c>
      <c r="K1310" s="2">
        <v>5836</v>
      </c>
      <c r="L1310">
        <v>702</v>
      </c>
      <c r="M1310">
        <v>921</v>
      </c>
      <c r="N1310">
        <v>397</v>
      </c>
      <c r="O1310" s="2">
        <v>1663</v>
      </c>
      <c r="P1310">
        <v>525</v>
      </c>
      <c r="Q1310">
        <v>493</v>
      </c>
      <c r="R1310">
        <v>181</v>
      </c>
      <c r="S1310" s="2">
        <v>5978</v>
      </c>
      <c r="T1310" s="2">
        <v>1270</v>
      </c>
      <c r="U1310">
        <v>0</v>
      </c>
      <c r="V1310">
        <v>0</v>
      </c>
      <c r="W1310" s="1">
        <v>44160</v>
      </c>
    </row>
    <row r="1311" spans="1:37" x14ac:dyDescent="0.3">
      <c r="A1311">
        <v>2019</v>
      </c>
      <c r="B1311">
        <v>11</v>
      </c>
      <c r="C1311" t="str">
        <f t="shared" si="40"/>
        <v>11/01/2019</v>
      </c>
      <c r="D1311" s="1" t="str">
        <f t="shared" si="41"/>
        <v>11/01/2019</v>
      </c>
      <c r="E1311" t="s">
        <v>55</v>
      </c>
      <c r="F1311" t="s">
        <v>53</v>
      </c>
      <c r="G1311" t="s">
        <v>49</v>
      </c>
      <c r="H1311" s="2">
        <v>24256</v>
      </c>
      <c r="I1311" s="2">
        <v>23370</v>
      </c>
      <c r="J1311">
        <v>308</v>
      </c>
      <c r="K1311" s="2">
        <v>3538</v>
      </c>
      <c r="L1311">
        <v>513</v>
      </c>
      <c r="M1311" s="2">
        <v>1555</v>
      </c>
      <c r="N1311">
        <v>494</v>
      </c>
      <c r="O1311" s="2">
        <v>1184</v>
      </c>
      <c r="P1311">
        <v>440</v>
      </c>
      <c r="Q1311">
        <v>523</v>
      </c>
      <c r="R1311">
        <v>309</v>
      </c>
      <c r="S1311" s="2">
        <v>7367</v>
      </c>
      <c r="T1311" s="2">
        <v>1426</v>
      </c>
      <c r="U1311">
        <v>0</v>
      </c>
      <c r="V1311">
        <v>0</v>
      </c>
      <c r="W1311" s="1">
        <v>44160</v>
      </c>
    </row>
    <row r="1312" spans="1:37" x14ac:dyDescent="0.3">
      <c r="A1312">
        <v>2019</v>
      </c>
      <c r="B1312">
        <v>11</v>
      </c>
      <c r="C1312" t="str">
        <f t="shared" si="40"/>
        <v>11/01/2019</v>
      </c>
      <c r="D1312" s="1" t="str">
        <f t="shared" si="41"/>
        <v>11/01/2019</v>
      </c>
      <c r="E1312" t="s">
        <v>55</v>
      </c>
      <c r="F1312" t="s">
        <v>54</v>
      </c>
      <c r="G1312" t="s">
        <v>39</v>
      </c>
      <c r="H1312">
        <v>49</v>
      </c>
      <c r="I1312">
        <v>41</v>
      </c>
      <c r="J1312">
        <v>0</v>
      </c>
      <c r="L1312">
        <v>0</v>
      </c>
      <c r="M1312">
        <v>0</v>
      </c>
      <c r="O1312">
        <v>0</v>
      </c>
      <c r="Q1312">
        <v>0</v>
      </c>
      <c r="S1312">
        <v>0</v>
      </c>
      <c r="T1312">
        <v>0</v>
      </c>
      <c r="U1312">
        <v>0</v>
      </c>
      <c r="V1312">
        <v>0</v>
      </c>
      <c r="W1312" s="1">
        <v>44160</v>
      </c>
      <c r="AB1312" t="s">
        <v>40</v>
      </c>
      <c r="AE1312" t="s">
        <v>40</v>
      </c>
      <c r="AG1312" t="s">
        <v>40</v>
      </c>
      <c r="AI1312" t="s">
        <v>40</v>
      </c>
    </row>
    <row r="1313" spans="1:37" x14ac:dyDescent="0.3">
      <c r="A1313">
        <v>2019</v>
      </c>
      <c r="B1313">
        <v>11</v>
      </c>
      <c r="C1313" t="str">
        <f t="shared" si="40"/>
        <v>11/01/2019</v>
      </c>
      <c r="D1313" s="1" t="str">
        <f t="shared" si="41"/>
        <v>11/01/2019</v>
      </c>
      <c r="E1313" t="s">
        <v>55</v>
      </c>
      <c r="F1313" t="s">
        <v>54</v>
      </c>
      <c r="G1313" t="s">
        <v>41</v>
      </c>
      <c r="H1313">
        <v>33</v>
      </c>
      <c r="K1313">
        <v>0</v>
      </c>
      <c r="L1313">
        <v>0</v>
      </c>
      <c r="M1313">
        <v>0</v>
      </c>
      <c r="N1313">
        <v>0</v>
      </c>
      <c r="O1313">
        <v>0</v>
      </c>
      <c r="Q1313">
        <v>0</v>
      </c>
      <c r="S1313">
        <v>0</v>
      </c>
      <c r="T1313">
        <v>0</v>
      </c>
      <c r="U1313">
        <v>0</v>
      </c>
      <c r="V1313">
        <v>0</v>
      </c>
      <c r="W1313" s="1">
        <v>44160</v>
      </c>
      <c r="Z1313" t="s">
        <v>40</v>
      </c>
      <c r="AA1313" t="s">
        <v>40</v>
      </c>
      <c r="AG1313" t="s">
        <v>40</v>
      </c>
      <c r="AI1313" t="s">
        <v>40</v>
      </c>
    </row>
    <row r="1314" spans="1:37" x14ac:dyDescent="0.3">
      <c r="A1314">
        <v>2019</v>
      </c>
      <c r="B1314">
        <v>11</v>
      </c>
      <c r="C1314" t="str">
        <f t="shared" si="40"/>
        <v>11/01/2019</v>
      </c>
      <c r="D1314" s="1" t="str">
        <f t="shared" si="41"/>
        <v>11/01/2019</v>
      </c>
      <c r="E1314" t="s">
        <v>55</v>
      </c>
      <c r="F1314" t="s">
        <v>54</v>
      </c>
      <c r="G1314" t="s">
        <v>42</v>
      </c>
      <c r="H1314">
        <v>46</v>
      </c>
      <c r="I1314">
        <v>11</v>
      </c>
      <c r="J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T1314">
        <v>0</v>
      </c>
      <c r="U1314">
        <v>0</v>
      </c>
      <c r="V1314">
        <v>0</v>
      </c>
      <c r="W1314" s="1">
        <v>44160</v>
      </c>
      <c r="AB1314" t="s">
        <v>40</v>
      </c>
      <c r="AI1314" t="s">
        <v>40</v>
      </c>
      <c r="AJ1314" t="s">
        <v>40</v>
      </c>
    </row>
    <row r="1315" spans="1:37" x14ac:dyDescent="0.3">
      <c r="A1315">
        <v>2019</v>
      </c>
      <c r="B1315">
        <v>11</v>
      </c>
      <c r="C1315" t="str">
        <f t="shared" si="40"/>
        <v>11/01/2019</v>
      </c>
      <c r="D1315" s="1" t="str">
        <f t="shared" si="41"/>
        <v>11/01/2019</v>
      </c>
      <c r="E1315" t="s">
        <v>55</v>
      </c>
      <c r="F1315" t="s">
        <v>54</v>
      </c>
      <c r="G1315" t="s">
        <v>43</v>
      </c>
      <c r="H1315">
        <v>68</v>
      </c>
      <c r="I1315">
        <v>40</v>
      </c>
      <c r="J1315">
        <v>0</v>
      </c>
      <c r="M1315">
        <v>0</v>
      </c>
      <c r="N1315">
        <v>0</v>
      </c>
      <c r="P1315">
        <v>0</v>
      </c>
      <c r="U1315">
        <v>0</v>
      </c>
      <c r="V1315">
        <v>0</v>
      </c>
      <c r="W1315" s="1">
        <v>44160</v>
      </c>
      <c r="AB1315" t="s">
        <v>40</v>
      </c>
      <c r="AC1315" t="s">
        <v>40</v>
      </c>
      <c r="AF1315" t="s">
        <v>40</v>
      </c>
      <c r="AH1315" t="s">
        <v>40</v>
      </c>
      <c r="AI1315" t="s">
        <v>40</v>
      </c>
      <c r="AJ1315" t="s">
        <v>40</v>
      </c>
      <c r="AK1315" t="s">
        <v>40</v>
      </c>
    </row>
    <row r="1316" spans="1:37" x14ac:dyDescent="0.3">
      <c r="A1316">
        <v>2019</v>
      </c>
      <c r="B1316">
        <v>11</v>
      </c>
      <c r="C1316" t="str">
        <f t="shared" si="40"/>
        <v>11/01/2019</v>
      </c>
      <c r="D1316" s="1" t="str">
        <f t="shared" si="41"/>
        <v>11/01/2019</v>
      </c>
      <c r="E1316" t="s">
        <v>55</v>
      </c>
      <c r="F1316" t="s">
        <v>54</v>
      </c>
      <c r="G1316" t="s">
        <v>44</v>
      </c>
      <c r="H1316">
        <v>89</v>
      </c>
      <c r="I1316">
        <v>70</v>
      </c>
      <c r="K1316">
        <v>13</v>
      </c>
      <c r="M1316">
        <v>0</v>
      </c>
      <c r="S1316">
        <v>20</v>
      </c>
      <c r="U1316">
        <v>0</v>
      </c>
      <c r="V1316">
        <v>0</v>
      </c>
      <c r="W1316" s="1">
        <v>44160</v>
      </c>
      <c r="AA1316" t="s">
        <v>40</v>
      </c>
      <c r="AC1316" t="s">
        <v>40</v>
      </c>
      <c r="AE1316" t="s">
        <v>40</v>
      </c>
      <c r="AF1316" t="s">
        <v>40</v>
      </c>
      <c r="AG1316" t="s">
        <v>40</v>
      </c>
      <c r="AH1316" t="s">
        <v>40</v>
      </c>
      <c r="AI1316" t="s">
        <v>40</v>
      </c>
      <c r="AK1316" t="s">
        <v>40</v>
      </c>
    </row>
    <row r="1317" spans="1:37" x14ac:dyDescent="0.3">
      <c r="A1317">
        <v>2019</v>
      </c>
      <c r="B1317">
        <v>11</v>
      </c>
      <c r="C1317" t="str">
        <f t="shared" si="40"/>
        <v>11/01/2019</v>
      </c>
      <c r="D1317" s="1" t="str">
        <f t="shared" si="41"/>
        <v>11/01/2019</v>
      </c>
      <c r="E1317" t="s">
        <v>55</v>
      </c>
      <c r="F1317" t="s">
        <v>54</v>
      </c>
      <c r="G1317" t="s">
        <v>45</v>
      </c>
      <c r="H1317">
        <v>14</v>
      </c>
      <c r="J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U1317">
        <v>0</v>
      </c>
      <c r="V1317">
        <v>0</v>
      </c>
      <c r="W1317" s="1">
        <v>44160</v>
      </c>
      <c r="Z1317" t="s">
        <v>40</v>
      </c>
      <c r="AB1317" t="s">
        <v>40</v>
      </c>
      <c r="AC1317" t="s">
        <v>40</v>
      </c>
      <c r="AK1317" t="s">
        <v>40</v>
      </c>
    </row>
    <row r="1318" spans="1:37" x14ac:dyDescent="0.3">
      <c r="A1318">
        <v>2019</v>
      </c>
      <c r="B1318">
        <v>11</v>
      </c>
      <c r="C1318" t="str">
        <f t="shared" si="40"/>
        <v>11/01/2019</v>
      </c>
      <c r="D1318" s="1" t="str">
        <f t="shared" si="41"/>
        <v>11/01/2019</v>
      </c>
      <c r="E1318" t="s">
        <v>55</v>
      </c>
      <c r="F1318" t="s">
        <v>54</v>
      </c>
      <c r="G1318" t="s">
        <v>46</v>
      </c>
      <c r="H1318">
        <v>221</v>
      </c>
      <c r="I1318">
        <v>185</v>
      </c>
      <c r="K1318">
        <v>42</v>
      </c>
      <c r="S1318">
        <v>63</v>
      </c>
      <c r="U1318">
        <v>0</v>
      </c>
      <c r="V1318">
        <v>0</v>
      </c>
      <c r="W1318" s="1">
        <v>44160</v>
      </c>
      <c r="AA1318" t="s">
        <v>40</v>
      </c>
      <c r="AC1318" t="s">
        <v>40</v>
      </c>
      <c r="AD1318" t="s">
        <v>40</v>
      </c>
      <c r="AE1318" t="s">
        <v>40</v>
      </c>
      <c r="AF1318" t="s">
        <v>40</v>
      </c>
      <c r="AG1318" t="s">
        <v>40</v>
      </c>
      <c r="AH1318" t="s">
        <v>40</v>
      </c>
      <c r="AI1318" t="s">
        <v>40</v>
      </c>
      <c r="AK1318" t="s">
        <v>40</v>
      </c>
    </row>
    <row r="1319" spans="1:37" x14ac:dyDescent="0.3">
      <c r="A1319">
        <v>2019</v>
      </c>
      <c r="B1319">
        <v>11</v>
      </c>
      <c r="C1319" t="str">
        <f t="shared" si="40"/>
        <v>11/01/2019</v>
      </c>
      <c r="D1319" s="1" t="str">
        <f t="shared" si="41"/>
        <v>11/01/2019</v>
      </c>
      <c r="E1319" t="s">
        <v>55</v>
      </c>
      <c r="F1319" t="s">
        <v>54</v>
      </c>
      <c r="G1319" t="s">
        <v>47</v>
      </c>
      <c r="H1319">
        <v>262</v>
      </c>
      <c r="I1319">
        <v>243</v>
      </c>
      <c r="K1319">
        <v>68</v>
      </c>
      <c r="L1319">
        <v>11</v>
      </c>
      <c r="O1319">
        <v>16</v>
      </c>
      <c r="R1319">
        <v>0</v>
      </c>
      <c r="S1319">
        <v>73</v>
      </c>
      <c r="T1319">
        <v>12</v>
      </c>
      <c r="U1319">
        <v>0</v>
      </c>
      <c r="V1319">
        <v>0</v>
      </c>
      <c r="W1319" s="1">
        <v>44160</v>
      </c>
      <c r="AA1319" t="s">
        <v>40</v>
      </c>
      <c r="AD1319" t="s">
        <v>40</v>
      </c>
      <c r="AE1319" t="s">
        <v>40</v>
      </c>
      <c r="AG1319" t="s">
        <v>40</v>
      </c>
      <c r="AH1319" t="s">
        <v>40</v>
      </c>
    </row>
    <row r="1320" spans="1:37" x14ac:dyDescent="0.3">
      <c r="A1320">
        <v>2019</v>
      </c>
      <c r="B1320">
        <v>11</v>
      </c>
      <c r="C1320" t="str">
        <f t="shared" si="40"/>
        <v>11/01/2019</v>
      </c>
      <c r="D1320" s="1" t="str">
        <f t="shared" si="41"/>
        <v>11/01/2019</v>
      </c>
      <c r="E1320" t="s">
        <v>55</v>
      </c>
      <c r="F1320" t="s">
        <v>54</v>
      </c>
      <c r="G1320" t="s">
        <v>48</v>
      </c>
      <c r="H1320">
        <v>196</v>
      </c>
      <c r="I1320">
        <v>192</v>
      </c>
      <c r="K1320">
        <v>43</v>
      </c>
      <c r="L1320">
        <v>12</v>
      </c>
      <c r="O1320">
        <v>16</v>
      </c>
      <c r="S1320">
        <v>47</v>
      </c>
      <c r="T1320">
        <v>11</v>
      </c>
      <c r="U1320">
        <v>0</v>
      </c>
      <c r="V1320">
        <v>0</v>
      </c>
      <c r="W1320" s="1">
        <v>44160</v>
      </c>
      <c r="AA1320" t="s">
        <v>40</v>
      </c>
      <c r="AD1320" t="s">
        <v>40</v>
      </c>
      <c r="AE1320" t="s">
        <v>40</v>
      </c>
      <c r="AG1320" t="s">
        <v>40</v>
      </c>
      <c r="AH1320" t="s">
        <v>40</v>
      </c>
      <c r="AI1320" t="s">
        <v>40</v>
      </c>
    </row>
    <row r="1321" spans="1:37" x14ac:dyDescent="0.3">
      <c r="A1321">
        <v>2019</v>
      </c>
      <c r="B1321">
        <v>11</v>
      </c>
      <c r="C1321" t="str">
        <f t="shared" si="40"/>
        <v>11/01/2019</v>
      </c>
      <c r="D1321" s="1" t="str">
        <f t="shared" si="41"/>
        <v>11/01/2019</v>
      </c>
      <c r="E1321" t="s">
        <v>55</v>
      </c>
      <c r="F1321" t="s">
        <v>54</v>
      </c>
      <c r="G1321" t="s">
        <v>49</v>
      </c>
      <c r="H1321">
        <v>94</v>
      </c>
      <c r="I1321">
        <v>92</v>
      </c>
      <c r="K1321">
        <v>14</v>
      </c>
      <c r="P1321">
        <v>0</v>
      </c>
      <c r="S1321">
        <v>29</v>
      </c>
      <c r="U1321">
        <v>0</v>
      </c>
      <c r="V1321">
        <v>0</v>
      </c>
      <c r="W1321" s="1">
        <v>44160</v>
      </c>
      <c r="AA1321" t="s">
        <v>40</v>
      </c>
      <c r="AC1321" t="s">
        <v>40</v>
      </c>
      <c r="AD1321" t="s">
        <v>40</v>
      </c>
      <c r="AE1321" t="s">
        <v>40</v>
      </c>
      <c r="AF1321" t="s">
        <v>40</v>
      </c>
      <c r="AH1321" t="s">
        <v>40</v>
      </c>
      <c r="AI1321" t="s">
        <v>40</v>
      </c>
      <c r="AK1321" t="s">
        <v>40</v>
      </c>
    </row>
    <row r="1322" spans="1:37" x14ac:dyDescent="0.3">
      <c r="A1322">
        <v>2019</v>
      </c>
      <c r="B1322">
        <v>12</v>
      </c>
      <c r="C1322" t="str">
        <f t="shared" si="40"/>
        <v>12/01/2019</v>
      </c>
      <c r="D1322" s="1" t="str">
        <f t="shared" si="41"/>
        <v>12/01/2019</v>
      </c>
      <c r="E1322" t="s">
        <v>37</v>
      </c>
      <c r="F1322" t="s">
        <v>38</v>
      </c>
      <c r="G1322" t="s">
        <v>39</v>
      </c>
      <c r="H1322">
        <v>227</v>
      </c>
      <c r="I1322">
        <v>217</v>
      </c>
      <c r="J1322">
        <v>0</v>
      </c>
      <c r="L1322">
        <v>0</v>
      </c>
      <c r="M1322">
        <v>0</v>
      </c>
      <c r="O1322">
        <v>0</v>
      </c>
      <c r="Q1322">
        <v>0</v>
      </c>
      <c r="R1322">
        <v>17</v>
      </c>
      <c r="U1322">
        <v>0</v>
      </c>
      <c r="V1322">
        <v>0</v>
      </c>
      <c r="W1322" s="1">
        <v>44160</v>
      </c>
      <c r="AB1322" t="s">
        <v>40</v>
      </c>
      <c r="AE1322" t="s">
        <v>40</v>
      </c>
      <c r="AG1322" t="s">
        <v>40</v>
      </c>
      <c r="AJ1322" t="s">
        <v>40</v>
      </c>
      <c r="AK1322" t="s">
        <v>40</v>
      </c>
    </row>
    <row r="1323" spans="1:37" x14ac:dyDescent="0.3">
      <c r="A1323">
        <v>2019</v>
      </c>
      <c r="B1323">
        <v>12</v>
      </c>
      <c r="C1323" t="str">
        <f t="shared" si="40"/>
        <v>12/01/2019</v>
      </c>
      <c r="D1323" s="1" t="str">
        <f t="shared" si="41"/>
        <v>12/01/2019</v>
      </c>
      <c r="E1323" t="s">
        <v>37</v>
      </c>
      <c r="F1323" t="s">
        <v>38</v>
      </c>
      <c r="G1323" t="s">
        <v>41</v>
      </c>
      <c r="H1323">
        <v>161</v>
      </c>
      <c r="I1323">
        <v>54</v>
      </c>
      <c r="K1323">
        <v>11</v>
      </c>
      <c r="M1323">
        <v>0</v>
      </c>
      <c r="O1323">
        <v>0</v>
      </c>
      <c r="Q1323">
        <v>0</v>
      </c>
      <c r="U1323">
        <v>0</v>
      </c>
      <c r="V1323">
        <v>0</v>
      </c>
      <c r="W1323" s="1">
        <v>44160</v>
      </c>
      <c r="AA1323" t="s">
        <v>40</v>
      </c>
      <c r="AC1323" t="s">
        <v>40</v>
      </c>
      <c r="AE1323" t="s">
        <v>40</v>
      </c>
      <c r="AG1323" t="s">
        <v>40</v>
      </c>
      <c r="AI1323" t="s">
        <v>40</v>
      </c>
      <c r="AJ1323" t="s">
        <v>40</v>
      </c>
      <c r="AK1323" t="s">
        <v>40</v>
      </c>
    </row>
    <row r="1324" spans="1:37" x14ac:dyDescent="0.3">
      <c r="A1324">
        <v>2019</v>
      </c>
      <c r="B1324">
        <v>12</v>
      </c>
      <c r="C1324" t="str">
        <f t="shared" si="40"/>
        <v>12/01/2019</v>
      </c>
      <c r="D1324" s="1" t="str">
        <f t="shared" si="41"/>
        <v>12/01/2019</v>
      </c>
      <c r="E1324" t="s">
        <v>37</v>
      </c>
      <c r="F1324" t="s">
        <v>38</v>
      </c>
      <c r="G1324" t="s">
        <v>42</v>
      </c>
      <c r="H1324">
        <v>247</v>
      </c>
      <c r="I1324">
        <v>134</v>
      </c>
      <c r="K1324">
        <v>47</v>
      </c>
      <c r="M1324">
        <v>0</v>
      </c>
      <c r="P1324">
        <v>0</v>
      </c>
      <c r="S1324">
        <v>14</v>
      </c>
      <c r="U1324">
        <v>0</v>
      </c>
      <c r="V1324">
        <v>0</v>
      </c>
      <c r="W1324" s="1">
        <v>44160</v>
      </c>
      <c r="AA1324" t="s">
        <v>40</v>
      </c>
      <c r="AC1324" t="s">
        <v>40</v>
      </c>
      <c r="AE1324" t="s">
        <v>40</v>
      </c>
      <c r="AF1324" t="s">
        <v>40</v>
      </c>
      <c r="AH1324" t="s">
        <v>40</v>
      </c>
      <c r="AI1324" t="s">
        <v>40</v>
      </c>
      <c r="AK1324" t="s">
        <v>40</v>
      </c>
    </row>
    <row r="1325" spans="1:37" x14ac:dyDescent="0.3">
      <c r="A1325">
        <v>2019</v>
      </c>
      <c r="B1325">
        <v>12</v>
      </c>
      <c r="C1325" t="str">
        <f t="shared" si="40"/>
        <v>12/01/2019</v>
      </c>
      <c r="D1325" s="1" t="str">
        <f t="shared" si="41"/>
        <v>12/01/2019</v>
      </c>
      <c r="E1325" t="s">
        <v>37</v>
      </c>
      <c r="F1325" t="s">
        <v>38</v>
      </c>
      <c r="G1325" t="s">
        <v>43</v>
      </c>
      <c r="H1325">
        <v>363</v>
      </c>
      <c r="I1325">
        <v>270</v>
      </c>
      <c r="K1325">
        <v>104</v>
      </c>
      <c r="M1325">
        <v>0</v>
      </c>
      <c r="N1325">
        <v>10</v>
      </c>
      <c r="S1325">
        <v>32</v>
      </c>
      <c r="T1325">
        <v>15</v>
      </c>
      <c r="U1325">
        <v>0</v>
      </c>
      <c r="V1325">
        <v>0</v>
      </c>
      <c r="W1325" s="1">
        <v>44160</v>
      </c>
      <c r="AA1325" t="s">
        <v>40</v>
      </c>
      <c r="AC1325" t="s">
        <v>40</v>
      </c>
      <c r="AF1325" t="s">
        <v>40</v>
      </c>
      <c r="AG1325" t="s">
        <v>40</v>
      </c>
      <c r="AH1325" t="s">
        <v>40</v>
      </c>
      <c r="AI1325" t="s">
        <v>40</v>
      </c>
    </row>
    <row r="1326" spans="1:37" x14ac:dyDescent="0.3">
      <c r="A1326">
        <v>2019</v>
      </c>
      <c r="B1326">
        <v>12</v>
      </c>
      <c r="C1326" t="str">
        <f t="shared" si="40"/>
        <v>12/01/2019</v>
      </c>
      <c r="D1326" s="1" t="str">
        <f t="shared" si="41"/>
        <v>12/01/2019</v>
      </c>
      <c r="E1326" t="s">
        <v>37</v>
      </c>
      <c r="F1326" t="s">
        <v>38</v>
      </c>
      <c r="G1326" t="s">
        <v>44</v>
      </c>
      <c r="H1326">
        <v>602</v>
      </c>
      <c r="I1326">
        <v>525</v>
      </c>
      <c r="J1326">
        <v>12</v>
      </c>
      <c r="K1326">
        <v>204</v>
      </c>
      <c r="L1326">
        <v>40</v>
      </c>
      <c r="Q1326">
        <v>18</v>
      </c>
      <c r="S1326">
        <v>79</v>
      </c>
      <c r="T1326">
        <v>19</v>
      </c>
      <c r="U1326">
        <v>0</v>
      </c>
      <c r="V1326">
        <v>0</v>
      </c>
      <c r="W1326" s="1">
        <v>44160</v>
      </c>
      <c r="AD1326" t="s">
        <v>40</v>
      </c>
      <c r="AE1326" t="s">
        <v>40</v>
      </c>
      <c r="AF1326" t="s">
        <v>40</v>
      </c>
      <c r="AG1326" t="s">
        <v>40</v>
      </c>
      <c r="AI1326" t="s">
        <v>40</v>
      </c>
    </row>
    <row r="1327" spans="1:37" x14ac:dyDescent="0.3">
      <c r="A1327">
        <v>2019</v>
      </c>
      <c r="B1327">
        <v>12</v>
      </c>
      <c r="C1327" t="str">
        <f t="shared" si="40"/>
        <v>12/01/2019</v>
      </c>
      <c r="D1327" s="1" t="str">
        <f t="shared" si="41"/>
        <v>12/01/2019</v>
      </c>
      <c r="E1327" t="s">
        <v>37</v>
      </c>
      <c r="F1327" t="s">
        <v>38</v>
      </c>
      <c r="G1327" t="s">
        <v>45</v>
      </c>
      <c r="H1327">
        <v>40</v>
      </c>
      <c r="I1327">
        <v>30</v>
      </c>
      <c r="M1327">
        <v>0</v>
      </c>
      <c r="O1327">
        <v>0</v>
      </c>
      <c r="U1327">
        <v>0</v>
      </c>
      <c r="V1327">
        <v>0</v>
      </c>
      <c r="W1327" s="1">
        <v>44160</v>
      </c>
      <c r="AA1327" t="s">
        <v>40</v>
      </c>
      <c r="AB1327" t="s">
        <v>40</v>
      </c>
      <c r="AC1327" t="s">
        <v>40</v>
      </c>
      <c r="AE1327" t="s">
        <v>40</v>
      </c>
      <c r="AG1327" t="s">
        <v>40</v>
      </c>
      <c r="AH1327" t="s">
        <v>40</v>
      </c>
      <c r="AI1327" t="s">
        <v>40</v>
      </c>
      <c r="AJ1327" t="s">
        <v>40</v>
      </c>
      <c r="AK1327" t="s">
        <v>40</v>
      </c>
    </row>
    <row r="1328" spans="1:37" x14ac:dyDescent="0.3">
      <c r="A1328">
        <v>2019</v>
      </c>
      <c r="B1328">
        <v>12</v>
      </c>
      <c r="C1328" t="str">
        <f t="shared" si="40"/>
        <v>12/01/2019</v>
      </c>
      <c r="D1328" s="1" t="str">
        <f t="shared" si="41"/>
        <v>12/01/2019</v>
      </c>
      <c r="E1328" t="s">
        <v>37</v>
      </c>
      <c r="F1328" t="s">
        <v>38</v>
      </c>
      <c r="G1328" t="s">
        <v>46</v>
      </c>
      <c r="H1328" s="2">
        <v>1036</v>
      </c>
      <c r="I1328">
        <v>972</v>
      </c>
      <c r="J1328">
        <v>16</v>
      </c>
      <c r="K1328">
        <v>365</v>
      </c>
      <c r="L1328">
        <v>59</v>
      </c>
      <c r="N1328">
        <v>16</v>
      </c>
      <c r="O1328">
        <v>23</v>
      </c>
      <c r="P1328">
        <v>16</v>
      </c>
      <c r="Q1328">
        <v>19</v>
      </c>
      <c r="S1328">
        <v>185</v>
      </c>
      <c r="T1328">
        <v>54</v>
      </c>
      <c r="U1328">
        <v>0</v>
      </c>
      <c r="V1328">
        <v>0</v>
      </c>
      <c r="W1328" s="1">
        <v>44160</v>
      </c>
      <c r="AD1328" t="s">
        <v>40</v>
      </c>
      <c r="AI1328" t="s">
        <v>40</v>
      </c>
    </row>
    <row r="1329" spans="1:37" x14ac:dyDescent="0.3">
      <c r="A1329">
        <v>2019</v>
      </c>
      <c r="B1329">
        <v>12</v>
      </c>
      <c r="C1329" t="str">
        <f t="shared" si="40"/>
        <v>12/01/2019</v>
      </c>
      <c r="D1329" s="1" t="str">
        <f t="shared" si="41"/>
        <v>12/01/2019</v>
      </c>
      <c r="E1329" t="s">
        <v>37</v>
      </c>
      <c r="F1329" t="s">
        <v>38</v>
      </c>
      <c r="G1329" t="s">
        <v>47</v>
      </c>
      <c r="H1329" s="2">
        <v>1467</v>
      </c>
      <c r="I1329" s="2">
        <v>1422</v>
      </c>
      <c r="J1329">
        <v>31</v>
      </c>
      <c r="K1329">
        <v>457</v>
      </c>
      <c r="L1329">
        <v>81</v>
      </c>
      <c r="M1329">
        <v>34</v>
      </c>
      <c r="N1329">
        <v>37</v>
      </c>
      <c r="O1329">
        <v>54</v>
      </c>
      <c r="P1329">
        <v>44</v>
      </c>
      <c r="Q1329">
        <v>43</v>
      </c>
      <c r="S1329">
        <v>253</v>
      </c>
      <c r="T1329">
        <v>91</v>
      </c>
      <c r="U1329">
        <v>0</v>
      </c>
      <c r="V1329">
        <v>0</v>
      </c>
      <c r="W1329" s="1">
        <v>44160</v>
      </c>
      <c r="AI1329" t="s">
        <v>40</v>
      </c>
    </row>
    <row r="1330" spans="1:37" x14ac:dyDescent="0.3">
      <c r="A1330">
        <v>2019</v>
      </c>
      <c r="B1330">
        <v>12</v>
      </c>
      <c r="C1330" t="str">
        <f t="shared" si="40"/>
        <v>12/01/2019</v>
      </c>
      <c r="D1330" s="1" t="str">
        <f t="shared" si="41"/>
        <v>12/01/2019</v>
      </c>
      <c r="E1330" t="s">
        <v>37</v>
      </c>
      <c r="F1330" t="s">
        <v>38</v>
      </c>
      <c r="G1330" t="s">
        <v>48</v>
      </c>
      <c r="H1330" s="2">
        <v>1861</v>
      </c>
      <c r="I1330" s="2">
        <v>1826</v>
      </c>
      <c r="J1330">
        <v>23</v>
      </c>
      <c r="K1330">
        <v>379</v>
      </c>
      <c r="L1330">
        <v>117</v>
      </c>
      <c r="M1330">
        <v>134</v>
      </c>
      <c r="N1330">
        <v>44</v>
      </c>
      <c r="O1330">
        <v>73</v>
      </c>
      <c r="P1330">
        <v>45</v>
      </c>
      <c r="Q1330">
        <v>53</v>
      </c>
      <c r="R1330">
        <v>12</v>
      </c>
      <c r="S1330">
        <v>392</v>
      </c>
      <c r="T1330">
        <v>137</v>
      </c>
      <c r="U1330">
        <v>0</v>
      </c>
      <c r="V1330">
        <v>0</v>
      </c>
      <c r="W1330" s="1">
        <v>44160</v>
      </c>
    </row>
    <row r="1331" spans="1:37" x14ac:dyDescent="0.3">
      <c r="A1331">
        <v>2019</v>
      </c>
      <c r="B1331">
        <v>12</v>
      </c>
      <c r="C1331" t="str">
        <f t="shared" si="40"/>
        <v>12/01/2019</v>
      </c>
      <c r="D1331" s="1" t="str">
        <f t="shared" si="41"/>
        <v>12/01/2019</v>
      </c>
      <c r="E1331" t="s">
        <v>37</v>
      </c>
      <c r="F1331" t="s">
        <v>38</v>
      </c>
      <c r="G1331" t="s">
        <v>49</v>
      </c>
      <c r="H1331" s="2">
        <v>2772</v>
      </c>
      <c r="I1331" s="2">
        <v>2718</v>
      </c>
      <c r="J1331">
        <v>42</v>
      </c>
      <c r="K1331">
        <v>246</v>
      </c>
      <c r="L1331">
        <v>97</v>
      </c>
      <c r="M1331">
        <v>356</v>
      </c>
      <c r="N1331">
        <v>53</v>
      </c>
      <c r="O1331">
        <v>105</v>
      </c>
      <c r="P1331">
        <v>52</v>
      </c>
      <c r="Q1331">
        <v>56</v>
      </c>
      <c r="R1331">
        <v>30</v>
      </c>
      <c r="S1331">
        <v>729</v>
      </c>
      <c r="T1331">
        <v>284</v>
      </c>
      <c r="U1331">
        <v>0</v>
      </c>
      <c r="V1331">
        <v>0</v>
      </c>
      <c r="W1331" s="1">
        <v>44160</v>
      </c>
    </row>
    <row r="1332" spans="1:37" x14ac:dyDescent="0.3">
      <c r="A1332">
        <v>2019</v>
      </c>
      <c r="B1332">
        <v>12</v>
      </c>
      <c r="C1332" t="str">
        <f t="shared" si="40"/>
        <v>12/01/2019</v>
      </c>
      <c r="D1332" s="1" t="str">
        <f t="shared" si="41"/>
        <v>12/01/2019</v>
      </c>
      <c r="E1332" t="s">
        <v>37</v>
      </c>
      <c r="F1332" t="s">
        <v>50</v>
      </c>
      <c r="G1332" t="s">
        <v>39</v>
      </c>
      <c r="H1332">
        <v>12</v>
      </c>
      <c r="I1332">
        <v>11</v>
      </c>
      <c r="J1332">
        <v>0</v>
      </c>
      <c r="K1332">
        <v>0</v>
      </c>
      <c r="L1332">
        <v>0</v>
      </c>
      <c r="M1332">
        <v>0</v>
      </c>
      <c r="P1332">
        <v>0</v>
      </c>
      <c r="Q1332">
        <v>0</v>
      </c>
      <c r="S1332">
        <v>0</v>
      </c>
      <c r="T1332">
        <v>0</v>
      </c>
      <c r="U1332">
        <v>0</v>
      </c>
      <c r="V1332">
        <v>0</v>
      </c>
      <c r="W1332" s="1">
        <v>44160</v>
      </c>
      <c r="AE1332" t="s">
        <v>40</v>
      </c>
      <c r="AF1332" t="s">
        <v>40</v>
      </c>
      <c r="AI1332" t="s">
        <v>40</v>
      </c>
    </row>
    <row r="1333" spans="1:37" x14ac:dyDescent="0.3">
      <c r="A1333">
        <v>2019</v>
      </c>
      <c r="B1333">
        <v>12</v>
      </c>
      <c r="C1333" t="str">
        <f t="shared" si="40"/>
        <v>12/01/2019</v>
      </c>
      <c r="D1333" s="1" t="str">
        <f t="shared" si="41"/>
        <v>12/01/2019</v>
      </c>
      <c r="E1333" t="s">
        <v>37</v>
      </c>
      <c r="F1333" t="s">
        <v>50</v>
      </c>
      <c r="G1333" t="s">
        <v>41</v>
      </c>
      <c r="H1333">
        <v>17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 s="1">
        <v>44160</v>
      </c>
      <c r="Z1333" t="s">
        <v>40</v>
      </c>
    </row>
    <row r="1334" spans="1:37" x14ac:dyDescent="0.3">
      <c r="A1334">
        <v>2019</v>
      </c>
      <c r="B1334">
        <v>12</v>
      </c>
      <c r="C1334" t="str">
        <f t="shared" si="40"/>
        <v>12/01/2019</v>
      </c>
      <c r="D1334" s="1" t="str">
        <f t="shared" si="41"/>
        <v>12/01/2019</v>
      </c>
      <c r="E1334" t="s">
        <v>37</v>
      </c>
      <c r="F1334" t="s">
        <v>50</v>
      </c>
      <c r="G1334" t="s">
        <v>42</v>
      </c>
      <c r="H1334">
        <v>38</v>
      </c>
      <c r="I1334">
        <v>23</v>
      </c>
      <c r="J1334">
        <v>0</v>
      </c>
      <c r="M1334">
        <v>0</v>
      </c>
      <c r="N1334">
        <v>0</v>
      </c>
      <c r="O1334">
        <v>0</v>
      </c>
      <c r="P1334">
        <v>0</v>
      </c>
      <c r="T1334">
        <v>0</v>
      </c>
      <c r="U1334">
        <v>0</v>
      </c>
      <c r="V1334">
        <v>0</v>
      </c>
      <c r="W1334" s="1">
        <v>44160</v>
      </c>
      <c r="AB1334" t="s">
        <v>40</v>
      </c>
      <c r="AC1334" t="s">
        <v>40</v>
      </c>
      <c r="AH1334" t="s">
        <v>40</v>
      </c>
      <c r="AI1334" t="s">
        <v>40</v>
      </c>
      <c r="AJ1334" t="s">
        <v>40</v>
      </c>
    </row>
    <row r="1335" spans="1:37" x14ac:dyDescent="0.3">
      <c r="A1335">
        <v>2019</v>
      </c>
      <c r="B1335">
        <v>12</v>
      </c>
      <c r="C1335" t="str">
        <f t="shared" si="40"/>
        <v>12/01/2019</v>
      </c>
      <c r="D1335" s="1" t="str">
        <f t="shared" si="41"/>
        <v>12/01/2019</v>
      </c>
      <c r="E1335" t="s">
        <v>37</v>
      </c>
      <c r="F1335" t="s">
        <v>50</v>
      </c>
      <c r="G1335" t="s">
        <v>43</v>
      </c>
      <c r="H1335">
        <v>41</v>
      </c>
      <c r="I1335">
        <v>29</v>
      </c>
      <c r="M1335">
        <v>0</v>
      </c>
      <c r="N1335">
        <v>0</v>
      </c>
      <c r="R1335">
        <v>0</v>
      </c>
      <c r="U1335">
        <v>0</v>
      </c>
      <c r="V1335">
        <v>0</v>
      </c>
      <c r="W1335" s="1">
        <v>44160</v>
      </c>
      <c r="AA1335" t="s">
        <v>40</v>
      </c>
      <c r="AB1335" t="s">
        <v>40</v>
      </c>
      <c r="AC1335" t="s">
        <v>40</v>
      </c>
      <c r="AF1335" t="s">
        <v>40</v>
      </c>
      <c r="AG1335" t="s">
        <v>40</v>
      </c>
      <c r="AH1335" t="s">
        <v>40</v>
      </c>
      <c r="AJ1335" t="s">
        <v>40</v>
      </c>
      <c r="AK1335" t="s">
        <v>40</v>
      </c>
    </row>
    <row r="1336" spans="1:37" x14ac:dyDescent="0.3">
      <c r="A1336">
        <v>2019</v>
      </c>
      <c r="B1336">
        <v>12</v>
      </c>
      <c r="C1336" t="str">
        <f t="shared" si="40"/>
        <v>12/01/2019</v>
      </c>
      <c r="D1336" s="1" t="str">
        <f t="shared" si="41"/>
        <v>12/01/2019</v>
      </c>
      <c r="E1336" t="s">
        <v>37</v>
      </c>
      <c r="F1336" t="s">
        <v>50</v>
      </c>
      <c r="G1336" t="s">
        <v>44</v>
      </c>
      <c r="H1336">
        <v>65</v>
      </c>
      <c r="I1336">
        <v>57</v>
      </c>
      <c r="K1336">
        <v>17</v>
      </c>
      <c r="M1336">
        <v>0</v>
      </c>
      <c r="O1336">
        <v>0</v>
      </c>
      <c r="P1336">
        <v>0</v>
      </c>
      <c r="R1336">
        <v>0</v>
      </c>
      <c r="T1336">
        <v>0</v>
      </c>
      <c r="U1336">
        <v>0</v>
      </c>
      <c r="V1336">
        <v>0</v>
      </c>
      <c r="W1336" s="1">
        <v>44160</v>
      </c>
      <c r="AA1336" t="s">
        <v>40</v>
      </c>
      <c r="AC1336" t="s">
        <v>40</v>
      </c>
      <c r="AE1336" t="s">
        <v>40</v>
      </c>
      <c r="AH1336" t="s">
        <v>40</v>
      </c>
      <c r="AJ1336" t="s">
        <v>40</v>
      </c>
    </row>
    <row r="1337" spans="1:37" x14ac:dyDescent="0.3">
      <c r="A1337">
        <v>2019</v>
      </c>
      <c r="B1337">
        <v>12</v>
      </c>
      <c r="C1337" t="str">
        <f t="shared" si="40"/>
        <v>12/01/2019</v>
      </c>
      <c r="D1337" s="1" t="str">
        <f t="shared" si="41"/>
        <v>12/01/2019</v>
      </c>
      <c r="E1337" t="s">
        <v>37</v>
      </c>
      <c r="F1337" t="s">
        <v>50</v>
      </c>
      <c r="G1337" t="s">
        <v>45</v>
      </c>
      <c r="J1337">
        <v>0</v>
      </c>
      <c r="K1337">
        <v>0</v>
      </c>
      <c r="L1337">
        <v>0</v>
      </c>
      <c r="M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 s="1">
        <v>44160</v>
      </c>
      <c r="Y1337" t="s">
        <v>40</v>
      </c>
      <c r="Z1337" t="s">
        <v>40</v>
      </c>
      <c r="AE1337" t="s">
        <v>40</v>
      </c>
    </row>
    <row r="1338" spans="1:37" x14ac:dyDescent="0.3">
      <c r="A1338">
        <v>2019</v>
      </c>
      <c r="B1338">
        <v>12</v>
      </c>
      <c r="C1338" t="str">
        <f t="shared" si="40"/>
        <v>12/01/2019</v>
      </c>
      <c r="D1338" s="1" t="str">
        <f t="shared" si="41"/>
        <v>12/01/2019</v>
      </c>
      <c r="E1338" t="s">
        <v>37</v>
      </c>
      <c r="F1338" t="s">
        <v>50</v>
      </c>
      <c r="G1338" t="s">
        <v>46</v>
      </c>
      <c r="H1338">
        <v>129</v>
      </c>
      <c r="I1338">
        <v>115</v>
      </c>
      <c r="K1338">
        <v>34</v>
      </c>
      <c r="Q1338">
        <v>0</v>
      </c>
      <c r="R1338">
        <v>0</v>
      </c>
      <c r="S1338">
        <v>16</v>
      </c>
      <c r="U1338">
        <v>0</v>
      </c>
      <c r="V1338">
        <v>0</v>
      </c>
      <c r="W1338" s="1">
        <v>44160</v>
      </c>
      <c r="AA1338" t="s">
        <v>40</v>
      </c>
      <c r="AC1338" t="s">
        <v>40</v>
      </c>
      <c r="AD1338" t="s">
        <v>40</v>
      </c>
      <c r="AE1338" t="s">
        <v>40</v>
      </c>
      <c r="AF1338" t="s">
        <v>40</v>
      </c>
      <c r="AG1338" t="s">
        <v>40</v>
      </c>
      <c r="AK1338" t="s">
        <v>40</v>
      </c>
    </row>
    <row r="1339" spans="1:37" x14ac:dyDescent="0.3">
      <c r="A1339">
        <v>2019</v>
      </c>
      <c r="B1339">
        <v>12</v>
      </c>
      <c r="C1339" t="str">
        <f t="shared" si="40"/>
        <v>12/01/2019</v>
      </c>
      <c r="D1339" s="1" t="str">
        <f t="shared" si="41"/>
        <v>12/01/2019</v>
      </c>
      <c r="E1339" t="s">
        <v>37</v>
      </c>
      <c r="F1339" t="s">
        <v>50</v>
      </c>
      <c r="G1339" t="s">
        <v>47</v>
      </c>
      <c r="H1339">
        <v>146</v>
      </c>
      <c r="I1339">
        <v>137</v>
      </c>
      <c r="K1339">
        <v>40</v>
      </c>
      <c r="L1339">
        <v>10</v>
      </c>
      <c r="M1339">
        <v>0</v>
      </c>
      <c r="O1339">
        <v>15</v>
      </c>
      <c r="Q1339">
        <v>0</v>
      </c>
      <c r="S1339">
        <v>18</v>
      </c>
      <c r="U1339">
        <v>0</v>
      </c>
      <c r="V1339">
        <v>0</v>
      </c>
      <c r="W1339" s="1">
        <v>44160</v>
      </c>
      <c r="AA1339" t="s">
        <v>40</v>
      </c>
      <c r="AE1339" t="s">
        <v>40</v>
      </c>
      <c r="AG1339" t="s">
        <v>40</v>
      </c>
      <c r="AI1339" t="s">
        <v>40</v>
      </c>
      <c r="AK1339" t="s">
        <v>40</v>
      </c>
    </row>
    <row r="1340" spans="1:37" x14ac:dyDescent="0.3">
      <c r="A1340">
        <v>2019</v>
      </c>
      <c r="B1340">
        <v>12</v>
      </c>
      <c r="C1340" t="str">
        <f t="shared" si="40"/>
        <v>12/01/2019</v>
      </c>
      <c r="D1340" s="1" t="str">
        <f t="shared" si="41"/>
        <v>12/01/2019</v>
      </c>
      <c r="E1340" t="s">
        <v>37</v>
      </c>
      <c r="F1340" t="s">
        <v>50</v>
      </c>
      <c r="G1340" t="s">
        <v>48</v>
      </c>
      <c r="H1340">
        <v>137</v>
      </c>
      <c r="I1340">
        <v>134</v>
      </c>
      <c r="K1340">
        <v>18</v>
      </c>
      <c r="M1340">
        <v>10</v>
      </c>
      <c r="O1340">
        <v>11</v>
      </c>
      <c r="S1340">
        <v>24</v>
      </c>
      <c r="T1340">
        <v>10</v>
      </c>
      <c r="U1340">
        <v>0</v>
      </c>
      <c r="V1340">
        <v>0</v>
      </c>
      <c r="W1340" s="1">
        <v>44160</v>
      </c>
      <c r="AA1340" t="s">
        <v>40</v>
      </c>
      <c r="AC1340" t="s">
        <v>40</v>
      </c>
      <c r="AE1340" t="s">
        <v>40</v>
      </c>
      <c r="AG1340" t="s">
        <v>40</v>
      </c>
      <c r="AH1340" t="s">
        <v>40</v>
      </c>
      <c r="AI1340" t="s">
        <v>40</v>
      </c>
    </row>
    <row r="1341" spans="1:37" x14ac:dyDescent="0.3">
      <c r="A1341">
        <v>2019</v>
      </c>
      <c r="B1341">
        <v>12</v>
      </c>
      <c r="C1341" t="str">
        <f t="shared" si="40"/>
        <v>12/01/2019</v>
      </c>
      <c r="D1341" s="1" t="str">
        <f t="shared" si="41"/>
        <v>12/01/2019</v>
      </c>
      <c r="E1341" t="s">
        <v>37</v>
      </c>
      <c r="F1341" t="s">
        <v>50</v>
      </c>
      <c r="G1341" t="s">
        <v>49</v>
      </c>
      <c r="H1341">
        <v>130</v>
      </c>
      <c r="I1341">
        <v>129</v>
      </c>
      <c r="K1341">
        <v>14</v>
      </c>
      <c r="M1341">
        <v>11</v>
      </c>
      <c r="S1341">
        <v>33</v>
      </c>
      <c r="U1341">
        <v>0</v>
      </c>
      <c r="V1341">
        <v>0</v>
      </c>
      <c r="W1341" s="1">
        <v>44160</v>
      </c>
      <c r="AA1341" t="s">
        <v>40</v>
      </c>
      <c r="AC1341" t="s">
        <v>40</v>
      </c>
      <c r="AE1341" t="s">
        <v>40</v>
      </c>
      <c r="AF1341" t="s">
        <v>40</v>
      </c>
      <c r="AG1341" t="s">
        <v>40</v>
      </c>
      <c r="AH1341" t="s">
        <v>40</v>
      </c>
      <c r="AI1341" t="s">
        <v>40</v>
      </c>
      <c r="AK1341" t="s">
        <v>40</v>
      </c>
    </row>
    <row r="1342" spans="1:37" x14ac:dyDescent="0.3">
      <c r="A1342">
        <v>2019</v>
      </c>
      <c r="B1342">
        <v>12</v>
      </c>
      <c r="C1342" t="str">
        <f t="shared" si="40"/>
        <v>12/01/2019</v>
      </c>
      <c r="D1342" s="1" t="str">
        <f t="shared" si="41"/>
        <v>12/01/2019</v>
      </c>
      <c r="E1342" t="s">
        <v>37</v>
      </c>
      <c r="F1342" t="s">
        <v>51</v>
      </c>
      <c r="G1342" t="s">
        <v>39</v>
      </c>
      <c r="H1342">
        <v>29</v>
      </c>
      <c r="I1342">
        <v>28</v>
      </c>
      <c r="J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S1342">
        <v>0</v>
      </c>
      <c r="T1342">
        <v>0</v>
      </c>
      <c r="U1342">
        <v>0</v>
      </c>
      <c r="V1342">
        <v>0</v>
      </c>
      <c r="W1342" s="1">
        <v>44160</v>
      </c>
      <c r="AB1342" t="s">
        <v>40</v>
      </c>
      <c r="AI1342" t="s">
        <v>40</v>
      </c>
    </row>
    <row r="1343" spans="1:37" x14ac:dyDescent="0.3">
      <c r="A1343">
        <v>2019</v>
      </c>
      <c r="B1343">
        <v>12</v>
      </c>
      <c r="C1343" t="str">
        <f t="shared" si="40"/>
        <v>12/01/2019</v>
      </c>
      <c r="D1343" s="1" t="str">
        <f t="shared" si="41"/>
        <v>12/01/2019</v>
      </c>
      <c r="E1343" t="s">
        <v>37</v>
      </c>
      <c r="F1343" t="s">
        <v>51</v>
      </c>
      <c r="G1343" t="s">
        <v>41</v>
      </c>
      <c r="H1343">
        <v>25</v>
      </c>
      <c r="J1343">
        <v>0</v>
      </c>
      <c r="M1343">
        <v>0</v>
      </c>
      <c r="O1343">
        <v>0</v>
      </c>
      <c r="P1343">
        <v>0</v>
      </c>
      <c r="Q1343">
        <v>0</v>
      </c>
      <c r="R1343">
        <v>0</v>
      </c>
      <c r="U1343">
        <v>0</v>
      </c>
      <c r="V1343">
        <v>0</v>
      </c>
      <c r="W1343" s="1">
        <v>44160</v>
      </c>
      <c r="Z1343" t="s">
        <v>40</v>
      </c>
      <c r="AB1343" t="s">
        <v>40</v>
      </c>
      <c r="AC1343" t="s">
        <v>40</v>
      </c>
      <c r="AE1343" t="s">
        <v>40</v>
      </c>
      <c r="AJ1343" t="s">
        <v>40</v>
      </c>
      <c r="AK1343" t="s">
        <v>40</v>
      </c>
    </row>
    <row r="1344" spans="1:37" x14ac:dyDescent="0.3">
      <c r="A1344">
        <v>2019</v>
      </c>
      <c r="B1344">
        <v>12</v>
      </c>
      <c r="C1344" t="str">
        <f t="shared" si="40"/>
        <v>12/01/2019</v>
      </c>
      <c r="D1344" s="1" t="str">
        <f t="shared" si="41"/>
        <v>12/01/2019</v>
      </c>
      <c r="E1344" t="s">
        <v>37</v>
      </c>
      <c r="F1344" t="s">
        <v>51</v>
      </c>
      <c r="G1344" t="s">
        <v>42</v>
      </c>
      <c r="H1344">
        <v>38</v>
      </c>
      <c r="I1344">
        <v>22</v>
      </c>
      <c r="J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U1344">
        <v>0</v>
      </c>
      <c r="V1344">
        <v>0</v>
      </c>
      <c r="W1344" s="1">
        <v>44160</v>
      </c>
      <c r="AB1344" t="s">
        <v>40</v>
      </c>
      <c r="AH1344" t="s">
        <v>40</v>
      </c>
      <c r="AI1344" t="s">
        <v>40</v>
      </c>
      <c r="AJ1344" t="s">
        <v>40</v>
      </c>
      <c r="AK1344" t="s">
        <v>40</v>
      </c>
    </row>
    <row r="1345" spans="1:37" x14ac:dyDescent="0.3">
      <c r="A1345">
        <v>2019</v>
      </c>
      <c r="B1345">
        <v>12</v>
      </c>
      <c r="C1345" t="str">
        <f t="shared" si="40"/>
        <v>12/01/2019</v>
      </c>
      <c r="D1345" s="1" t="str">
        <f t="shared" si="41"/>
        <v>12/01/2019</v>
      </c>
      <c r="E1345" t="s">
        <v>37</v>
      </c>
      <c r="F1345" t="s">
        <v>51</v>
      </c>
      <c r="G1345" t="s">
        <v>43</v>
      </c>
      <c r="H1345">
        <v>62</v>
      </c>
      <c r="I1345">
        <v>50</v>
      </c>
      <c r="J1345">
        <v>0</v>
      </c>
      <c r="K1345">
        <v>26</v>
      </c>
      <c r="M1345">
        <v>0</v>
      </c>
      <c r="N1345">
        <v>0</v>
      </c>
      <c r="O1345">
        <v>0</v>
      </c>
      <c r="Q1345">
        <v>0</v>
      </c>
      <c r="U1345">
        <v>0</v>
      </c>
      <c r="V1345">
        <v>0</v>
      </c>
      <c r="W1345" s="1">
        <v>44160</v>
      </c>
      <c r="AC1345" t="s">
        <v>40</v>
      </c>
      <c r="AG1345" t="s">
        <v>40</v>
      </c>
      <c r="AI1345" t="s">
        <v>40</v>
      </c>
      <c r="AJ1345" t="s">
        <v>40</v>
      </c>
      <c r="AK1345" t="s">
        <v>40</v>
      </c>
    </row>
    <row r="1346" spans="1:37" x14ac:dyDescent="0.3">
      <c r="A1346">
        <v>2019</v>
      </c>
      <c r="B1346">
        <v>12</v>
      </c>
      <c r="C1346" t="str">
        <f t="shared" si="40"/>
        <v>12/01/2019</v>
      </c>
      <c r="D1346" s="1" t="str">
        <f t="shared" si="41"/>
        <v>12/01/2019</v>
      </c>
      <c r="E1346" t="s">
        <v>37</v>
      </c>
      <c r="F1346" t="s">
        <v>51</v>
      </c>
      <c r="G1346" t="s">
        <v>44</v>
      </c>
      <c r="H1346">
        <v>148</v>
      </c>
      <c r="I1346">
        <v>128</v>
      </c>
      <c r="K1346">
        <v>73</v>
      </c>
      <c r="M1346">
        <v>0</v>
      </c>
      <c r="R1346">
        <v>0</v>
      </c>
      <c r="S1346">
        <v>15</v>
      </c>
      <c r="U1346">
        <v>0</v>
      </c>
      <c r="V1346">
        <v>0</v>
      </c>
      <c r="W1346" s="1">
        <v>44160</v>
      </c>
      <c r="AA1346" t="s">
        <v>40</v>
      </c>
      <c r="AC1346" t="s">
        <v>40</v>
      </c>
      <c r="AE1346" t="s">
        <v>40</v>
      </c>
      <c r="AF1346" t="s">
        <v>40</v>
      </c>
      <c r="AG1346" t="s">
        <v>40</v>
      </c>
      <c r="AH1346" t="s">
        <v>40</v>
      </c>
      <c r="AK1346" t="s">
        <v>40</v>
      </c>
    </row>
    <row r="1347" spans="1:37" x14ac:dyDescent="0.3">
      <c r="A1347">
        <v>2019</v>
      </c>
      <c r="B1347">
        <v>12</v>
      </c>
      <c r="C1347" t="str">
        <f t="shared" ref="C1347:C1410" si="42">CONCATENATE(B1347,"/01/",A1347)</f>
        <v>12/01/2019</v>
      </c>
      <c r="D1347" s="1" t="str">
        <f t="shared" ref="D1347:D1410" si="43">C1347</f>
        <v>12/01/2019</v>
      </c>
      <c r="E1347" t="s">
        <v>37</v>
      </c>
      <c r="F1347" t="s">
        <v>51</v>
      </c>
      <c r="G1347" t="s">
        <v>45</v>
      </c>
      <c r="L1347">
        <v>0</v>
      </c>
      <c r="M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 s="1">
        <v>44160</v>
      </c>
      <c r="Y1347" t="s">
        <v>40</v>
      </c>
      <c r="Z1347" t="s">
        <v>40</v>
      </c>
      <c r="AA1347" t="s">
        <v>40</v>
      </c>
      <c r="AB1347" t="s">
        <v>40</v>
      </c>
      <c r="AE1347" t="s">
        <v>40</v>
      </c>
    </row>
    <row r="1348" spans="1:37" x14ac:dyDescent="0.3">
      <c r="A1348">
        <v>2019</v>
      </c>
      <c r="B1348">
        <v>12</v>
      </c>
      <c r="C1348" t="str">
        <f t="shared" si="42"/>
        <v>12/01/2019</v>
      </c>
      <c r="D1348" s="1" t="str">
        <f t="shared" si="43"/>
        <v>12/01/2019</v>
      </c>
      <c r="E1348" t="s">
        <v>37</v>
      </c>
      <c r="F1348" t="s">
        <v>51</v>
      </c>
      <c r="G1348" t="s">
        <v>46</v>
      </c>
      <c r="H1348">
        <v>256</v>
      </c>
      <c r="I1348">
        <v>243</v>
      </c>
      <c r="K1348">
        <v>135</v>
      </c>
      <c r="L1348">
        <v>12</v>
      </c>
      <c r="M1348">
        <v>0</v>
      </c>
      <c r="P1348">
        <v>0</v>
      </c>
      <c r="R1348">
        <v>0</v>
      </c>
      <c r="S1348">
        <v>31</v>
      </c>
      <c r="T1348">
        <v>20</v>
      </c>
      <c r="U1348">
        <v>0</v>
      </c>
      <c r="V1348">
        <v>0</v>
      </c>
      <c r="W1348" s="1">
        <v>44160</v>
      </c>
      <c r="AA1348" t="s">
        <v>40</v>
      </c>
      <c r="AE1348" t="s">
        <v>40</v>
      </c>
      <c r="AF1348" t="s">
        <v>40</v>
      </c>
      <c r="AH1348" t="s">
        <v>40</v>
      </c>
    </row>
    <row r="1349" spans="1:37" x14ac:dyDescent="0.3">
      <c r="A1349">
        <v>2019</v>
      </c>
      <c r="B1349">
        <v>12</v>
      </c>
      <c r="C1349" t="str">
        <f t="shared" si="42"/>
        <v>12/01/2019</v>
      </c>
      <c r="D1349" s="1" t="str">
        <f t="shared" si="43"/>
        <v>12/01/2019</v>
      </c>
      <c r="E1349" t="s">
        <v>37</v>
      </c>
      <c r="F1349" t="s">
        <v>51</v>
      </c>
      <c r="G1349" t="s">
        <v>47</v>
      </c>
      <c r="H1349">
        <v>543</v>
      </c>
      <c r="I1349">
        <v>523</v>
      </c>
      <c r="K1349">
        <v>201</v>
      </c>
      <c r="L1349">
        <v>24</v>
      </c>
      <c r="Q1349">
        <v>24</v>
      </c>
      <c r="S1349">
        <v>107</v>
      </c>
      <c r="T1349">
        <v>36</v>
      </c>
      <c r="U1349">
        <v>0</v>
      </c>
      <c r="V1349">
        <v>0</v>
      </c>
      <c r="W1349" s="1">
        <v>44160</v>
      </c>
      <c r="AA1349" t="s">
        <v>40</v>
      </c>
      <c r="AD1349" t="s">
        <v>40</v>
      </c>
      <c r="AE1349" t="s">
        <v>40</v>
      </c>
      <c r="AF1349" t="s">
        <v>40</v>
      </c>
      <c r="AG1349" t="s">
        <v>40</v>
      </c>
      <c r="AI1349" t="s">
        <v>40</v>
      </c>
    </row>
    <row r="1350" spans="1:37" x14ac:dyDescent="0.3">
      <c r="A1350">
        <v>2019</v>
      </c>
      <c r="B1350">
        <v>12</v>
      </c>
      <c r="C1350" t="str">
        <f t="shared" si="42"/>
        <v>12/01/2019</v>
      </c>
      <c r="D1350" s="1" t="str">
        <f t="shared" si="43"/>
        <v>12/01/2019</v>
      </c>
      <c r="E1350" t="s">
        <v>37</v>
      </c>
      <c r="F1350" t="s">
        <v>51</v>
      </c>
      <c r="G1350" t="s">
        <v>48</v>
      </c>
      <c r="H1350">
        <v>784</v>
      </c>
      <c r="I1350">
        <v>751</v>
      </c>
      <c r="K1350">
        <v>172</v>
      </c>
      <c r="L1350">
        <v>43</v>
      </c>
      <c r="M1350">
        <v>31</v>
      </c>
      <c r="N1350">
        <v>18</v>
      </c>
      <c r="O1350">
        <v>26</v>
      </c>
      <c r="P1350">
        <v>19</v>
      </c>
      <c r="Q1350">
        <v>24</v>
      </c>
      <c r="S1350">
        <v>152</v>
      </c>
      <c r="T1350">
        <v>86</v>
      </c>
      <c r="U1350">
        <v>0</v>
      </c>
      <c r="V1350">
        <v>0</v>
      </c>
      <c r="W1350" s="1">
        <v>44160</v>
      </c>
      <c r="AA1350" t="s">
        <v>40</v>
      </c>
      <c r="AI1350" t="s">
        <v>40</v>
      </c>
    </row>
    <row r="1351" spans="1:37" x14ac:dyDescent="0.3">
      <c r="A1351">
        <v>2019</v>
      </c>
      <c r="B1351">
        <v>12</v>
      </c>
      <c r="C1351" t="str">
        <f t="shared" si="42"/>
        <v>12/01/2019</v>
      </c>
      <c r="D1351" s="1" t="str">
        <f t="shared" si="43"/>
        <v>12/01/2019</v>
      </c>
      <c r="E1351" t="s">
        <v>37</v>
      </c>
      <c r="F1351" t="s">
        <v>51</v>
      </c>
      <c r="G1351" t="s">
        <v>49</v>
      </c>
      <c r="H1351" s="2">
        <v>1429</v>
      </c>
      <c r="I1351" s="2">
        <v>1393</v>
      </c>
      <c r="K1351">
        <v>173</v>
      </c>
      <c r="L1351">
        <v>49</v>
      </c>
      <c r="M1351">
        <v>156</v>
      </c>
      <c r="N1351">
        <v>50</v>
      </c>
      <c r="O1351">
        <v>43</v>
      </c>
      <c r="P1351">
        <v>12</v>
      </c>
      <c r="Q1351">
        <v>29</v>
      </c>
      <c r="R1351">
        <v>13</v>
      </c>
      <c r="S1351">
        <v>353</v>
      </c>
      <c r="T1351">
        <v>168</v>
      </c>
      <c r="U1351">
        <v>0</v>
      </c>
      <c r="V1351">
        <v>0</v>
      </c>
      <c r="W1351" s="1">
        <v>44160</v>
      </c>
      <c r="AA1351" t="s">
        <v>40</v>
      </c>
    </row>
    <row r="1352" spans="1:37" x14ac:dyDescent="0.3">
      <c r="A1352">
        <v>2019</v>
      </c>
      <c r="B1352">
        <v>12</v>
      </c>
      <c r="C1352" t="str">
        <f t="shared" si="42"/>
        <v>12/01/2019</v>
      </c>
      <c r="D1352" s="1" t="str">
        <f t="shared" si="43"/>
        <v>12/01/2019</v>
      </c>
      <c r="E1352" t="s">
        <v>37</v>
      </c>
      <c r="F1352" t="s">
        <v>52</v>
      </c>
      <c r="G1352" t="s">
        <v>39</v>
      </c>
      <c r="H1352">
        <v>279</v>
      </c>
      <c r="I1352">
        <v>241</v>
      </c>
      <c r="M1352">
        <v>0</v>
      </c>
      <c r="R1352">
        <v>45</v>
      </c>
      <c r="U1352">
        <v>0</v>
      </c>
      <c r="V1352">
        <v>0</v>
      </c>
      <c r="W1352" s="1">
        <v>44160</v>
      </c>
      <c r="AA1352" t="s">
        <v>40</v>
      </c>
      <c r="AB1352" t="s">
        <v>40</v>
      </c>
      <c r="AC1352" t="s">
        <v>40</v>
      </c>
      <c r="AE1352" t="s">
        <v>40</v>
      </c>
      <c r="AF1352" t="s">
        <v>40</v>
      </c>
      <c r="AG1352" t="s">
        <v>40</v>
      </c>
      <c r="AH1352" t="s">
        <v>40</v>
      </c>
      <c r="AJ1352" t="s">
        <v>40</v>
      </c>
      <c r="AK1352" t="s">
        <v>40</v>
      </c>
    </row>
    <row r="1353" spans="1:37" x14ac:dyDescent="0.3">
      <c r="A1353">
        <v>2019</v>
      </c>
      <c r="B1353">
        <v>12</v>
      </c>
      <c r="C1353" t="str">
        <f t="shared" si="42"/>
        <v>12/01/2019</v>
      </c>
      <c r="D1353" s="1" t="str">
        <f t="shared" si="43"/>
        <v>12/01/2019</v>
      </c>
      <c r="E1353" t="s">
        <v>37</v>
      </c>
      <c r="F1353" t="s">
        <v>52</v>
      </c>
      <c r="G1353" t="s">
        <v>41</v>
      </c>
      <c r="H1353">
        <v>139</v>
      </c>
      <c r="I1353">
        <v>50</v>
      </c>
      <c r="J1353">
        <v>0</v>
      </c>
      <c r="M1353">
        <v>0</v>
      </c>
      <c r="Q1353">
        <v>0</v>
      </c>
      <c r="U1353">
        <v>0</v>
      </c>
      <c r="V1353">
        <v>0</v>
      </c>
      <c r="W1353" s="1">
        <v>44160</v>
      </c>
      <c r="AB1353" t="s">
        <v>40</v>
      </c>
      <c r="AC1353" t="s">
        <v>40</v>
      </c>
      <c r="AE1353" t="s">
        <v>40</v>
      </c>
      <c r="AF1353" t="s">
        <v>40</v>
      </c>
      <c r="AG1353" t="s">
        <v>40</v>
      </c>
      <c r="AI1353" t="s">
        <v>40</v>
      </c>
      <c r="AJ1353" t="s">
        <v>40</v>
      </c>
      <c r="AK1353" t="s">
        <v>40</v>
      </c>
    </row>
    <row r="1354" spans="1:37" x14ac:dyDescent="0.3">
      <c r="A1354">
        <v>2019</v>
      </c>
      <c r="B1354">
        <v>12</v>
      </c>
      <c r="C1354" t="str">
        <f t="shared" si="42"/>
        <v>12/01/2019</v>
      </c>
      <c r="D1354" s="1" t="str">
        <f t="shared" si="43"/>
        <v>12/01/2019</v>
      </c>
      <c r="E1354" t="s">
        <v>37</v>
      </c>
      <c r="F1354" t="s">
        <v>52</v>
      </c>
      <c r="G1354" t="s">
        <v>42</v>
      </c>
      <c r="H1354">
        <v>323</v>
      </c>
      <c r="I1354">
        <v>187</v>
      </c>
      <c r="K1354">
        <v>21</v>
      </c>
      <c r="L1354">
        <v>10</v>
      </c>
      <c r="M1354">
        <v>0</v>
      </c>
      <c r="S1354">
        <v>32</v>
      </c>
      <c r="U1354">
        <v>0</v>
      </c>
      <c r="V1354">
        <v>0</v>
      </c>
      <c r="W1354" s="1">
        <v>44160</v>
      </c>
      <c r="AA1354" t="s">
        <v>40</v>
      </c>
      <c r="AE1354" t="s">
        <v>40</v>
      </c>
      <c r="AF1354" t="s">
        <v>40</v>
      </c>
      <c r="AG1354" t="s">
        <v>40</v>
      </c>
      <c r="AH1354" t="s">
        <v>40</v>
      </c>
      <c r="AI1354" t="s">
        <v>40</v>
      </c>
      <c r="AK1354" t="s">
        <v>40</v>
      </c>
    </row>
    <row r="1355" spans="1:37" x14ac:dyDescent="0.3">
      <c r="A1355">
        <v>2019</v>
      </c>
      <c r="B1355">
        <v>12</v>
      </c>
      <c r="C1355" t="str">
        <f t="shared" si="42"/>
        <v>12/01/2019</v>
      </c>
      <c r="D1355" s="1" t="str">
        <f t="shared" si="43"/>
        <v>12/01/2019</v>
      </c>
      <c r="E1355" t="s">
        <v>37</v>
      </c>
      <c r="F1355" t="s">
        <v>52</v>
      </c>
      <c r="G1355" t="s">
        <v>43</v>
      </c>
      <c r="H1355">
        <v>575</v>
      </c>
      <c r="I1355">
        <v>449</v>
      </c>
      <c r="K1355">
        <v>89</v>
      </c>
      <c r="L1355">
        <v>23</v>
      </c>
      <c r="M1355">
        <v>0</v>
      </c>
      <c r="N1355">
        <v>13</v>
      </c>
      <c r="Q1355">
        <v>11</v>
      </c>
      <c r="R1355">
        <v>11</v>
      </c>
      <c r="S1355">
        <v>103</v>
      </c>
      <c r="T1355">
        <v>23</v>
      </c>
      <c r="U1355">
        <v>0</v>
      </c>
      <c r="V1355">
        <v>0</v>
      </c>
      <c r="W1355" s="1">
        <v>44160</v>
      </c>
      <c r="AA1355" t="s">
        <v>40</v>
      </c>
      <c r="AF1355" t="s">
        <v>40</v>
      </c>
      <c r="AG1355" t="s">
        <v>40</v>
      </c>
    </row>
    <row r="1356" spans="1:37" x14ac:dyDescent="0.3">
      <c r="A1356">
        <v>2019</v>
      </c>
      <c r="B1356">
        <v>12</v>
      </c>
      <c r="C1356" t="str">
        <f t="shared" si="42"/>
        <v>12/01/2019</v>
      </c>
      <c r="D1356" s="1" t="str">
        <f t="shared" si="43"/>
        <v>12/01/2019</v>
      </c>
      <c r="E1356" t="s">
        <v>37</v>
      </c>
      <c r="F1356" t="s">
        <v>52</v>
      </c>
      <c r="G1356" t="s">
        <v>44</v>
      </c>
      <c r="H1356" s="2">
        <v>1127</v>
      </c>
      <c r="I1356">
        <v>992</v>
      </c>
      <c r="J1356">
        <v>21</v>
      </c>
      <c r="K1356">
        <v>255</v>
      </c>
      <c r="L1356">
        <v>58</v>
      </c>
      <c r="O1356">
        <v>41</v>
      </c>
      <c r="P1356">
        <v>16</v>
      </c>
      <c r="Q1356">
        <v>23</v>
      </c>
      <c r="R1356">
        <v>18</v>
      </c>
      <c r="S1356">
        <v>254</v>
      </c>
      <c r="T1356">
        <v>53</v>
      </c>
      <c r="U1356">
        <v>0</v>
      </c>
      <c r="V1356">
        <v>0</v>
      </c>
      <c r="W1356" s="1">
        <v>44160</v>
      </c>
      <c r="AD1356" t="s">
        <v>40</v>
      </c>
      <c r="AE1356" t="s">
        <v>40</v>
      </c>
    </row>
    <row r="1357" spans="1:37" x14ac:dyDescent="0.3">
      <c r="A1357">
        <v>2019</v>
      </c>
      <c r="B1357">
        <v>12</v>
      </c>
      <c r="C1357" t="str">
        <f t="shared" si="42"/>
        <v>12/01/2019</v>
      </c>
      <c r="D1357" s="1" t="str">
        <f t="shared" si="43"/>
        <v>12/01/2019</v>
      </c>
      <c r="E1357" t="s">
        <v>37</v>
      </c>
      <c r="F1357" t="s">
        <v>52</v>
      </c>
      <c r="G1357" t="s">
        <v>45</v>
      </c>
      <c r="H1357">
        <v>44</v>
      </c>
      <c r="I1357">
        <v>29</v>
      </c>
      <c r="J1357">
        <v>0</v>
      </c>
      <c r="L1357">
        <v>0</v>
      </c>
      <c r="M1357">
        <v>0</v>
      </c>
      <c r="Q1357">
        <v>0</v>
      </c>
      <c r="R1357">
        <v>0</v>
      </c>
      <c r="S1357">
        <v>0</v>
      </c>
      <c r="U1357">
        <v>0</v>
      </c>
      <c r="V1357">
        <v>0</v>
      </c>
      <c r="W1357" s="1">
        <v>44160</v>
      </c>
      <c r="AB1357" t="s">
        <v>40</v>
      </c>
      <c r="AE1357" t="s">
        <v>40</v>
      </c>
      <c r="AF1357" t="s">
        <v>40</v>
      </c>
      <c r="AG1357" t="s">
        <v>40</v>
      </c>
      <c r="AK1357" t="s">
        <v>40</v>
      </c>
    </row>
    <row r="1358" spans="1:37" x14ac:dyDescent="0.3">
      <c r="A1358">
        <v>2019</v>
      </c>
      <c r="B1358">
        <v>12</v>
      </c>
      <c r="C1358" t="str">
        <f t="shared" si="42"/>
        <v>12/01/2019</v>
      </c>
      <c r="D1358" s="1" t="str">
        <f t="shared" si="43"/>
        <v>12/01/2019</v>
      </c>
      <c r="E1358" t="s">
        <v>37</v>
      </c>
      <c r="F1358" t="s">
        <v>52</v>
      </c>
      <c r="G1358" t="s">
        <v>46</v>
      </c>
      <c r="H1358" s="2">
        <v>2444</v>
      </c>
      <c r="I1358" s="2">
        <v>2313</v>
      </c>
      <c r="J1358">
        <v>67</v>
      </c>
      <c r="K1358">
        <v>710</v>
      </c>
      <c r="L1358">
        <v>123</v>
      </c>
      <c r="N1358">
        <v>48</v>
      </c>
      <c r="O1358">
        <v>112</v>
      </c>
      <c r="P1358">
        <v>34</v>
      </c>
      <c r="Q1358">
        <v>68</v>
      </c>
      <c r="R1358">
        <v>27</v>
      </c>
      <c r="S1358">
        <v>559</v>
      </c>
      <c r="T1358">
        <v>110</v>
      </c>
      <c r="U1358">
        <v>0</v>
      </c>
      <c r="V1358">
        <v>0</v>
      </c>
      <c r="W1358" s="1">
        <v>44160</v>
      </c>
      <c r="AD1358" t="s">
        <v>40</v>
      </c>
    </row>
    <row r="1359" spans="1:37" x14ac:dyDescent="0.3">
      <c r="A1359">
        <v>2019</v>
      </c>
      <c r="B1359">
        <v>12</v>
      </c>
      <c r="C1359" t="str">
        <f t="shared" si="42"/>
        <v>12/01/2019</v>
      </c>
      <c r="D1359" s="1" t="str">
        <f t="shared" si="43"/>
        <v>12/01/2019</v>
      </c>
      <c r="E1359" t="s">
        <v>37</v>
      </c>
      <c r="F1359" t="s">
        <v>52</v>
      </c>
      <c r="G1359" t="s">
        <v>47</v>
      </c>
      <c r="H1359" s="2">
        <v>3144</v>
      </c>
      <c r="I1359" s="2">
        <v>3054</v>
      </c>
      <c r="J1359">
        <v>65</v>
      </c>
      <c r="K1359">
        <v>878</v>
      </c>
      <c r="L1359">
        <v>202</v>
      </c>
      <c r="M1359">
        <v>56</v>
      </c>
      <c r="N1359">
        <v>60</v>
      </c>
      <c r="O1359">
        <v>135</v>
      </c>
      <c r="P1359">
        <v>50</v>
      </c>
      <c r="Q1359">
        <v>102</v>
      </c>
      <c r="R1359">
        <v>20</v>
      </c>
      <c r="S1359">
        <v>733</v>
      </c>
      <c r="T1359">
        <v>192</v>
      </c>
      <c r="U1359">
        <v>0</v>
      </c>
      <c r="V1359">
        <v>0</v>
      </c>
      <c r="W1359" s="1">
        <v>44160</v>
      </c>
    </row>
    <row r="1360" spans="1:37" x14ac:dyDescent="0.3">
      <c r="A1360">
        <v>2019</v>
      </c>
      <c r="B1360">
        <v>12</v>
      </c>
      <c r="C1360" t="str">
        <f t="shared" si="42"/>
        <v>12/01/2019</v>
      </c>
      <c r="D1360" s="1" t="str">
        <f t="shared" si="43"/>
        <v>12/01/2019</v>
      </c>
      <c r="E1360" t="s">
        <v>37</v>
      </c>
      <c r="F1360" t="s">
        <v>52</v>
      </c>
      <c r="G1360" t="s">
        <v>48</v>
      </c>
      <c r="H1360" s="2">
        <v>3320</v>
      </c>
      <c r="I1360" s="2">
        <v>3265</v>
      </c>
      <c r="J1360">
        <v>83</v>
      </c>
      <c r="K1360">
        <v>646</v>
      </c>
      <c r="L1360">
        <v>168</v>
      </c>
      <c r="M1360">
        <v>175</v>
      </c>
      <c r="N1360">
        <v>68</v>
      </c>
      <c r="O1360">
        <v>130</v>
      </c>
      <c r="P1360">
        <v>50</v>
      </c>
      <c r="Q1360">
        <v>132</v>
      </c>
      <c r="R1360">
        <v>24</v>
      </c>
      <c r="S1360">
        <v>811</v>
      </c>
      <c r="T1360">
        <v>263</v>
      </c>
      <c r="U1360">
        <v>0</v>
      </c>
      <c r="V1360">
        <v>0</v>
      </c>
      <c r="W1360" s="1">
        <v>44160</v>
      </c>
    </row>
    <row r="1361" spans="1:37" x14ac:dyDescent="0.3">
      <c r="A1361">
        <v>2019</v>
      </c>
      <c r="B1361">
        <v>12</v>
      </c>
      <c r="C1361" t="str">
        <f t="shared" si="42"/>
        <v>12/01/2019</v>
      </c>
      <c r="D1361" s="1" t="str">
        <f t="shared" si="43"/>
        <v>12/01/2019</v>
      </c>
      <c r="E1361" t="s">
        <v>37</v>
      </c>
      <c r="F1361" t="s">
        <v>52</v>
      </c>
      <c r="G1361" t="s">
        <v>49</v>
      </c>
      <c r="H1361" s="2">
        <v>3814</v>
      </c>
      <c r="I1361" s="2">
        <v>3760</v>
      </c>
      <c r="J1361">
        <v>68</v>
      </c>
      <c r="K1361">
        <v>379</v>
      </c>
      <c r="L1361">
        <v>132</v>
      </c>
      <c r="M1361">
        <v>399</v>
      </c>
      <c r="N1361">
        <v>76</v>
      </c>
      <c r="O1361">
        <v>106</v>
      </c>
      <c r="P1361">
        <v>41</v>
      </c>
      <c r="Q1361">
        <v>126</v>
      </c>
      <c r="R1361">
        <v>48</v>
      </c>
      <c r="S1361" s="2">
        <v>1013</v>
      </c>
      <c r="T1361">
        <v>357</v>
      </c>
      <c r="U1361">
        <v>0</v>
      </c>
      <c r="V1361">
        <v>0</v>
      </c>
      <c r="W1361" s="1">
        <v>44160</v>
      </c>
    </row>
    <row r="1362" spans="1:37" x14ac:dyDescent="0.3">
      <c r="A1362">
        <v>2019</v>
      </c>
      <c r="B1362">
        <v>12</v>
      </c>
      <c r="C1362" t="str">
        <f t="shared" si="42"/>
        <v>12/01/2019</v>
      </c>
      <c r="D1362" s="1" t="str">
        <f t="shared" si="43"/>
        <v>12/01/2019</v>
      </c>
      <c r="E1362" t="s">
        <v>37</v>
      </c>
      <c r="F1362" t="s">
        <v>53</v>
      </c>
      <c r="G1362" t="s">
        <v>39</v>
      </c>
      <c r="H1362">
        <v>330</v>
      </c>
      <c r="I1362">
        <v>295</v>
      </c>
      <c r="L1362">
        <v>0</v>
      </c>
      <c r="M1362">
        <v>0</v>
      </c>
      <c r="R1362">
        <v>29</v>
      </c>
      <c r="S1362">
        <v>10</v>
      </c>
      <c r="U1362">
        <v>0</v>
      </c>
      <c r="V1362">
        <v>0</v>
      </c>
      <c r="W1362" s="1">
        <v>44160</v>
      </c>
      <c r="AA1362" t="s">
        <v>40</v>
      </c>
      <c r="AB1362" t="s">
        <v>40</v>
      </c>
      <c r="AE1362" t="s">
        <v>40</v>
      </c>
      <c r="AF1362" t="s">
        <v>40</v>
      </c>
      <c r="AG1362" t="s">
        <v>40</v>
      </c>
      <c r="AH1362" t="s">
        <v>40</v>
      </c>
      <c r="AK1362" t="s">
        <v>40</v>
      </c>
    </row>
    <row r="1363" spans="1:37" x14ac:dyDescent="0.3">
      <c r="A1363">
        <v>2019</v>
      </c>
      <c r="B1363">
        <v>12</v>
      </c>
      <c r="C1363" t="str">
        <f t="shared" si="42"/>
        <v>12/01/2019</v>
      </c>
      <c r="D1363" s="1" t="str">
        <f t="shared" si="43"/>
        <v>12/01/2019</v>
      </c>
      <c r="E1363" t="s">
        <v>37</v>
      </c>
      <c r="F1363" t="s">
        <v>53</v>
      </c>
      <c r="G1363" t="s">
        <v>41</v>
      </c>
      <c r="H1363">
        <v>340</v>
      </c>
      <c r="I1363">
        <v>129</v>
      </c>
      <c r="K1363">
        <v>27</v>
      </c>
      <c r="M1363">
        <v>0</v>
      </c>
      <c r="S1363">
        <v>11</v>
      </c>
      <c r="U1363">
        <v>0</v>
      </c>
      <c r="V1363">
        <v>0</v>
      </c>
      <c r="W1363" s="1">
        <v>44160</v>
      </c>
      <c r="AA1363" t="s">
        <v>40</v>
      </c>
      <c r="AC1363" t="s">
        <v>40</v>
      </c>
      <c r="AE1363" t="s">
        <v>40</v>
      </c>
      <c r="AF1363" t="s">
        <v>40</v>
      </c>
      <c r="AG1363" t="s">
        <v>40</v>
      </c>
      <c r="AH1363" t="s">
        <v>40</v>
      </c>
      <c r="AI1363" t="s">
        <v>40</v>
      </c>
      <c r="AK1363" t="s">
        <v>40</v>
      </c>
    </row>
    <row r="1364" spans="1:37" x14ac:dyDescent="0.3">
      <c r="A1364">
        <v>2019</v>
      </c>
      <c r="B1364">
        <v>12</v>
      </c>
      <c r="C1364" t="str">
        <f t="shared" si="42"/>
        <v>12/01/2019</v>
      </c>
      <c r="D1364" s="1" t="str">
        <f t="shared" si="43"/>
        <v>12/01/2019</v>
      </c>
      <c r="E1364" t="s">
        <v>37</v>
      </c>
      <c r="F1364" t="s">
        <v>53</v>
      </c>
      <c r="G1364" t="s">
        <v>42</v>
      </c>
      <c r="H1364">
        <v>926</v>
      </c>
      <c r="I1364">
        <v>385</v>
      </c>
      <c r="K1364">
        <v>77</v>
      </c>
      <c r="L1364">
        <v>10</v>
      </c>
      <c r="M1364">
        <v>0</v>
      </c>
      <c r="R1364">
        <v>21</v>
      </c>
      <c r="S1364">
        <v>56</v>
      </c>
      <c r="T1364">
        <v>12</v>
      </c>
      <c r="U1364">
        <v>0</v>
      </c>
      <c r="V1364">
        <v>0</v>
      </c>
      <c r="W1364" s="1">
        <v>44160</v>
      </c>
      <c r="AA1364" t="s">
        <v>40</v>
      </c>
      <c r="AE1364" t="s">
        <v>40</v>
      </c>
      <c r="AF1364" t="s">
        <v>40</v>
      </c>
      <c r="AG1364" t="s">
        <v>40</v>
      </c>
      <c r="AH1364" t="s">
        <v>40</v>
      </c>
    </row>
    <row r="1365" spans="1:37" x14ac:dyDescent="0.3">
      <c r="A1365">
        <v>2019</v>
      </c>
      <c r="B1365">
        <v>12</v>
      </c>
      <c r="C1365" t="str">
        <f t="shared" si="42"/>
        <v>12/01/2019</v>
      </c>
      <c r="D1365" s="1" t="str">
        <f t="shared" si="43"/>
        <v>12/01/2019</v>
      </c>
      <c r="E1365" t="s">
        <v>37</v>
      </c>
      <c r="F1365" t="s">
        <v>53</v>
      </c>
      <c r="G1365" t="s">
        <v>43</v>
      </c>
      <c r="H1365" s="2">
        <v>1558</v>
      </c>
      <c r="I1365">
        <v>990</v>
      </c>
      <c r="J1365">
        <v>29</v>
      </c>
      <c r="K1365">
        <v>279</v>
      </c>
      <c r="L1365">
        <v>38</v>
      </c>
      <c r="M1365">
        <v>0</v>
      </c>
      <c r="N1365">
        <v>30</v>
      </c>
      <c r="O1365">
        <v>21</v>
      </c>
      <c r="P1365">
        <v>14</v>
      </c>
      <c r="Q1365">
        <v>13</v>
      </c>
      <c r="R1365">
        <v>36</v>
      </c>
      <c r="S1365">
        <v>145</v>
      </c>
      <c r="T1365">
        <v>34</v>
      </c>
      <c r="U1365">
        <v>0</v>
      </c>
      <c r="V1365">
        <v>0</v>
      </c>
      <c r="W1365" s="1">
        <v>44160</v>
      </c>
    </row>
    <row r="1366" spans="1:37" x14ac:dyDescent="0.3">
      <c r="A1366">
        <v>2019</v>
      </c>
      <c r="B1366">
        <v>12</v>
      </c>
      <c r="C1366" t="str">
        <f t="shared" si="42"/>
        <v>12/01/2019</v>
      </c>
      <c r="D1366" s="1" t="str">
        <f t="shared" si="43"/>
        <v>12/01/2019</v>
      </c>
      <c r="E1366" t="s">
        <v>37</v>
      </c>
      <c r="F1366" t="s">
        <v>53</v>
      </c>
      <c r="G1366" t="s">
        <v>44</v>
      </c>
      <c r="H1366" s="2">
        <v>3365</v>
      </c>
      <c r="I1366" s="2">
        <v>2772</v>
      </c>
      <c r="J1366">
        <v>64</v>
      </c>
      <c r="K1366">
        <v>977</v>
      </c>
      <c r="L1366">
        <v>91</v>
      </c>
      <c r="N1366">
        <v>55</v>
      </c>
      <c r="O1366">
        <v>137</v>
      </c>
      <c r="P1366">
        <v>43</v>
      </c>
      <c r="Q1366">
        <v>32</v>
      </c>
      <c r="R1366">
        <v>51</v>
      </c>
      <c r="S1366">
        <v>500</v>
      </c>
      <c r="T1366">
        <v>94</v>
      </c>
      <c r="U1366">
        <v>0</v>
      </c>
      <c r="V1366">
        <v>0</v>
      </c>
      <c r="W1366" s="1">
        <v>44160</v>
      </c>
      <c r="AD1366" t="s">
        <v>40</v>
      </c>
    </row>
    <row r="1367" spans="1:37" x14ac:dyDescent="0.3">
      <c r="A1367">
        <v>2019</v>
      </c>
      <c r="B1367">
        <v>12</v>
      </c>
      <c r="C1367" t="str">
        <f t="shared" si="42"/>
        <v>12/01/2019</v>
      </c>
      <c r="D1367" s="1" t="str">
        <f t="shared" si="43"/>
        <v>12/01/2019</v>
      </c>
      <c r="E1367" t="s">
        <v>37</v>
      </c>
      <c r="F1367" t="s">
        <v>53</v>
      </c>
      <c r="G1367" t="s">
        <v>45</v>
      </c>
      <c r="H1367">
        <v>100</v>
      </c>
      <c r="I1367">
        <v>67</v>
      </c>
      <c r="K1367">
        <v>10</v>
      </c>
      <c r="L1367">
        <v>0</v>
      </c>
      <c r="M1367">
        <v>0</v>
      </c>
      <c r="N1367">
        <v>11</v>
      </c>
      <c r="U1367">
        <v>0</v>
      </c>
      <c r="V1367">
        <v>0</v>
      </c>
      <c r="W1367" s="1">
        <v>44160</v>
      </c>
      <c r="AA1367" t="s">
        <v>40</v>
      </c>
      <c r="AF1367" t="s">
        <v>40</v>
      </c>
      <c r="AG1367" t="s">
        <v>40</v>
      </c>
      <c r="AH1367" t="s">
        <v>40</v>
      </c>
      <c r="AI1367" t="s">
        <v>40</v>
      </c>
      <c r="AJ1367" t="s">
        <v>40</v>
      </c>
      <c r="AK1367" t="s">
        <v>40</v>
      </c>
    </row>
    <row r="1368" spans="1:37" x14ac:dyDescent="0.3">
      <c r="A1368">
        <v>2019</v>
      </c>
      <c r="B1368">
        <v>12</v>
      </c>
      <c r="C1368" t="str">
        <f t="shared" si="42"/>
        <v>12/01/2019</v>
      </c>
      <c r="D1368" s="1" t="str">
        <f t="shared" si="43"/>
        <v>12/01/2019</v>
      </c>
      <c r="E1368" t="s">
        <v>37</v>
      </c>
      <c r="F1368" t="s">
        <v>53</v>
      </c>
      <c r="G1368" t="s">
        <v>46</v>
      </c>
      <c r="H1368" s="2">
        <v>9215</v>
      </c>
      <c r="I1368" s="2">
        <v>8486</v>
      </c>
      <c r="J1368">
        <v>135</v>
      </c>
      <c r="K1368" s="2">
        <v>3051</v>
      </c>
      <c r="L1368">
        <v>326</v>
      </c>
      <c r="M1368">
        <v>51</v>
      </c>
      <c r="N1368">
        <v>161</v>
      </c>
      <c r="O1368">
        <v>743</v>
      </c>
      <c r="P1368">
        <v>131</v>
      </c>
      <c r="Q1368">
        <v>126</v>
      </c>
      <c r="R1368">
        <v>82</v>
      </c>
      <c r="S1368" s="2">
        <v>1565</v>
      </c>
      <c r="T1368">
        <v>314</v>
      </c>
      <c r="U1368">
        <v>0</v>
      </c>
      <c r="V1368">
        <v>0</v>
      </c>
      <c r="W1368" s="1">
        <v>44160</v>
      </c>
    </row>
    <row r="1369" spans="1:37" x14ac:dyDescent="0.3">
      <c r="A1369">
        <v>2019</v>
      </c>
      <c r="B1369">
        <v>12</v>
      </c>
      <c r="C1369" t="str">
        <f t="shared" si="42"/>
        <v>12/01/2019</v>
      </c>
      <c r="D1369" s="1" t="str">
        <f t="shared" si="43"/>
        <v>12/01/2019</v>
      </c>
      <c r="E1369" t="s">
        <v>37</v>
      </c>
      <c r="F1369" t="s">
        <v>53</v>
      </c>
      <c r="G1369" t="s">
        <v>47</v>
      </c>
      <c r="H1369" s="2">
        <v>15714</v>
      </c>
      <c r="I1369" s="2">
        <v>15171</v>
      </c>
      <c r="J1369">
        <v>295</v>
      </c>
      <c r="K1369" s="2">
        <v>4904</v>
      </c>
      <c r="L1369">
        <v>534</v>
      </c>
      <c r="M1369">
        <v>371</v>
      </c>
      <c r="N1369">
        <v>262</v>
      </c>
      <c r="O1369" s="2">
        <v>1469</v>
      </c>
      <c r="P1369">
        <v>304</v>
      </c>
      <c r="Q1369">
        <v>276</v>
      </c>
      <c r="R1369">
        <v>138</v>
      </c>
      <c r="S1369" s="2">
        <v>2864</v>
      </c>
      <c r="T1369">
        <v>669</v>
      </c>
      <c r="U1369">
        <v>0</v>
      </c>
      <c r="V1369">
        <v>0</v>
      </c>
      <c r="W1369" s="1">
        <v>44160</v>
      </c>
    </row>
    <row r="1370" spans="1:37" x14ac:dyDescent="0.3">
      <c r="A1370">
        <v>2019</v>
      </c>
      <c r="B1370">
        <v>12</v>
      </c>
      <c r="C1370" t="str">
        <f t="shared" si="42"/>
        <v>12/01/2019</v>
      </c>
      <c r="D1370" s="1" t="str">
        <f t="shared" si="43"/>
        <v>12/01/2019</v>
      </c>
      <c r="E1370" t="s">
        <v>37</v>
      </c>
      <c r="F1370" t="s">
        <v>53</v>
      </c>
      <c r="G1370" t="s">
        <v>48</v>
      </c>
      <c r="H1370" s="2">
        <v>24132</v>
      </c>
      <c r="I1370" s="2">
        <v>23416</v>
      </c>
      <c r="J1370">
        <v>385</v>
      </c>
      <c r="K1370" s="2">
        <v>5129</v>
      </c>
      <c r="L1370">
        <v>571</v>
      </c>
      <c r="M1370" s="2">
        <v>1729</v>
      </c>
      <c r="N1370">
        <v>410</v>
      </c>
      <c r="O1370" s="2">
        <v>2172</v>
      </c>
      <c r="P1370">
        <v>481</v>
      </c>
      <c r="Q1370">
        <v>427</v>
      </c>
      <c r="R1370">
        <v>230</v>
      </c>
      <c r="S1370" s="2">
        <v>4961</v>
      </c>
      <c r="T1370" s="2">
        <v>1501</v>
      </c>
      <c r="U1370">
        <v>0</v>
      </c>
      <c r="V1370">
        <v>0</v>
      </c>
      <c r="W1370" s="1">
        <v>44160</v>
      </c>
    </row>
    <row r="1371" spans="1:37" x14ac:dyDescent="0.3">
      <c r="A1371">
        <v>2019</v>
      </c>
      <c r="B1371">
        <v>12</v>
      </c>
      <c r="C1371" t="str">
        <f t="shared" si="42"/>
        <v>12/01/2019</v>
      </c>
      <c r="D1371" s="1" t="str">
        <f t="shared" si="43"/>
        <v>12/01/2019</v>
      </c>
      <c r="E1371" t="s">
        <v>37</v>
      </c>
      <c r="F1371" t="s">
        <v>53</v>
      </c>
      <c r="G1371" t="s">
        <v>49</v>
      </c>
      <c r="H1371" s="2">
        <v>40546</v>
      </c>
      <c r="I1371" s="2">
        <v>39313</v>
      </c>
      <c r="J1371">
        <v>405</v>
      </c>
      <c r="K1371" s="2">
        <v>3795</v>
      </c>
      <c r="L1371">
        <v>578</v>
      </c>
      <c r="M1371" s="2">
        <v>4438</v>
      </c>
      <c r="N1371">
        <v>872</v>
      </c>
      <c r="O1371" s="2">
        <v>2084</v>
      </c>
      <c r="P1371">
        <v>561</v>
      </c>
      <c r="Q1371">
        <v>632</v>
      </c>
      <c r="R1371">
        <v>646</v>
      </c>
      <c r="S1371" s="2">
        <v>11225</v>
      </c>
      <c r="T1371" s="2">
        <v>3198</v>
      </c>
      <c r="U1371">
        <v>0</v>
      </c>
      <c r="V1371">
        <v>0</v>
      </c>
      <c r="W1371" s="1">
        <v>44160</v>
      </c>
    </row>
    <row r="1372" spans="1:37" x14ac:dyDescent="0.3">
      <c r="A1372">
        <v>2019</v>
      </c>
      <c r="B1372">
        <v>12</v>
      </c>
      <c r="C1372" t="str">
        <f t="shared" si="42"/>
        <v>12/01/2019</v>
      </c>
      <c r="D1372" s="1" t="str">
        <f t="shared" si="43"/>
        <v>12/01/2019</v>
      </c>
      <c r="E1372" t="s">
        <v>37</v>
      </c>
      <c r="F1372" t="s">
        <v>54</v>
      </c>
      <c r="G1372" t="s">
        <v>39</v>
      </c>
      <c r="H1372">
        <v>42</v>
      </c>
      <c r="I1372">
        <v>36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Q1372">
        <v>0</v>
      </c>
      <c r="S1372">
        <v>0</v>
      </c>
      <c r="T1372">
        <v>0</v>
      </c>
      <c r="U1372">
        <v>0</v>
      </c>
      <c r="V1372">
        <v>0</v>
      </c>
      <c r="W1372" s="1">
        <v>44160</v>
      </c>
      <c r="AG1372" t="s">
        <v>40</v>
      </c>
      <c r="AI1372" t="s">
        <v>40</v>
      </c>
    </row>
    <row r="1373" spans="1:37" x14ac:dyDescent="0.3">
      <c r="A1373">
        <v>2019</v>
      </c>
      <c r="B1373">
        <v>12</v>
      </c>
      <c r="C1373" t="str">
        <f t="shared" si="42"/>
        <v>12/01/2019</v>
      </c>
      <c r="D1373" s="1" t="str">
        <f t="shared" si="43"/>
        <v>12/01/2019</v>
      </c>
      <c r="E1373" t="s">
        <v>37</v>
      </c>
      <c r="F1373" t="s">
        <v>54</v>
      </c>
      <c r="G1373" t="s">
        <v>41</v>
      </c>
      <c r="H1373">
        <v>20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S1373">
        <v>0</v>
      </c>
      <c r="T1373">
        <v>0</v>
      </c>
      <c r="U1373">
        <v>0</v>
      </c>
      <c r="V1373">
        <v>0</v>
      </c>
      <c r="W1373" s="1">
        <v>44160</v>
      </c>
      <c r="Z1373" t="s">
        <v>40</v>
      </c>
      <c r="AA1373" t="s">
        <v>40</v>
      </c>
      <c r="AI1373" t="s">
        <v>40</v>
      </c>
    </row>
    <row r="1374" spans="1:37" x14ac:dyDescent="0.3">
      <c r="A1374">
        <v>2019</v>
      </c>
      <c r="B1374">
        <v>12</v>
      </c>
      <c r="C1374" t="str">
        <f t="shared" si="42"/>
        <v>12/01/2019</v>
      </c>
      <c r="D1374" s="1" t="str">
        <f t="shared" si="43"/>
        <v>12/01/2019</v>
      </c>
      <c r="E1374" t="s">
        <v>37</v>
      </c>
      <c r="F1374" t="s">
        <v>54</v>
      </c>
      <c r="G1374" t="s">
        <v>42</v>
      </c>
      <c r="H1374">
        <v>34</v>
      </c>
      <c r="I1374">
        <v>12</v>
      </c>
      <c r="J1374">
        <v>0</v>
      </c>
      <c r="L1374">
        <v>0</v>
      </c>
      <c r="M1374">
        <v>0</v>
      </c>
      <c r="N1374">
        <v>0</v>
      </c>
      <c r="P1374">
        <v>0</v>
      </c>
      <c r="Q1374">
        <v>0</v>
      </c>
      <c r="R1374">
        <v>0</v>
      </c>
      <c r="T1374">
        <v>0</v>
      </c>
      <c r="U1374">
        <v>0</v>
      </c>
      <c r="V1374">
        <v>0</v>
      </c>
      <c r="W1374" s="1">
        <v>44160</v>
      </c>
      <c r="AB1374" t="s">
        <v>40</v>
      </c>
      <c r="AF1374" t="s">
        <v>40</v>
      </c>
      <c r="AJ1374" t="s">
        <v>40</v>
      </c>
    </row>
    <row r="1375" spans="1:37" x14ac:dyDescent="0.3">
      <c r="A1375">
        <v>2019</v>
      </c>
      <c r="B1375">
        <v>12</v>
      </c>
      <c r="C1375" t="str">
        <f t="shared" si="42"/>
        <v>12/01/2019</v>
      </c>
      <c r="D1375" s="1" t="str">
        <f t="shared" si="43"/>
        <v>12/01/2019</v>
      </c>
      <c r="E1375" t="s">
        <v>37</v>
      </c>
      <c r="F1375" t="s">
        <v>54</v>
      </c>
      <c r="G1375" t="s">
        <v>43</v>
      </c>
      <c r="H1375">
        <v>46</v>
      </c>
      <c r="I1375">
        <v>33</v>
      </c>
      <c r="J1375">
        <v>0</v>
      </c>
      <c r="M1375">
        <v>0</v>
      </c>
      <c r="O1375">
        <v>0</v>
      </c>
      <c r="Q1375">
        <v>0</v>
      </c>
      <c r="U1375">
        <v>0</v>
      </c>
      <c r="V1375">
        <v>0</v>
      </c>
      <c r="W1375" s="1">
        <v>44160</v>
      </c>
      <c r="AB1375" t="s">
        <v>40</v>
      </c>
      <c r="AC1375" t="s">
        <v>40</v>
      </c>
      <c r="AE1375" t="s">
        <v>40</v>
      </c>
      <c r="AG1375" t="s">
        <v>40</v>
      </c>
      <c r="AI1375" t="s">
        <v>40</v>
      </c>
      <c r="AJ1375" t="s">
        <v>40</v>
      </c>
      <c r="AK1375" t="s">
        <v>40</v>
      </c>
    </row>
    <row r="1376" spans="1:37" x14ac:dyDescent="0.3">
      <c r="A1376">
        <v>2019</v>
      </c>
      <c r="B1376">
        <v>12</v>
      </c>
      <c r="C1376" t="str">
        <f t="shared" si="42"/>
        <v>12/01/2019</v>
      </c>
      <c r="D1376" s="1" t="str">
        <f t="shared" si="43"/>
        <v>12/01/2019</v>
      </c>
      <c r="E1376" t="s">
        <v>37</v>
      </c>
      <c r="F1376" t="s">
        <v>54</v>
      </c>
      <c r="G1376" t="s">
        <v>44</v>
      </c>
      <c r="H1376">
        <v>80</v>
      </c>
      <c r="I1376">
        <v>65</v>
      </c>
      <c r="K1376">
        <v>21</v>
      </c>
      <c r="M1376">
        <v>0</v>
      </c>
      <c r="Q1376">
        <v>0</v>
      </c>
      <c r="S1376">
        <v>17</v>
      </c>
      <c r="U1376">
        <v>0</v>
      </c>
      <c r="V1376">
        <v>0</v>
      </c>
      <c r="W1376" s="1">
        <v>44160</v>
      </c>
      <c r="AA1376" t="s">
        <v>40</v>
      </c>
      <c r="AC1376" t="s">
        <v>40</v>
      </c>
      <c r="AE1376" t="s">
        <v>40</v>
      </c>
      <c r="AF1376" t="s">
        <v>40</v>
      </c>
      <c r="AG1376" t="s">
        <v>40</v>
      </c>
      <c r="AI1376" t="s">
        <v>40</v>
      </c>
      <c r="AK1376" t="s">
        <v>40</v>
      </c>
    </row>
    <row r="1377" spans="1:37" x14ac:dyDescent="0.3">
      <c r="A1377">
        <v>2019</v>
      </c>
      <c r="B1377">
        <v>12</v>
      </c>
      <c r="C1377" t="str">
        <f t="shared" si="42"/>
        <v>12/01/2019</v>
      </c>
      <c r="D1377" s="1" t="str">
        <f t="shared" si="43"/>
        <v>12/01/2019</v>
      </c>
      <c r="E1377" t="s">
        <v>37</v>
      </c>
      <c r="F1377" t="s">
        <v>54</v>
      </c>
      <c r="G1377" t="s">
        <v>45</v>
      </c>
      <c r="J1377">
        <v>0</v>
      </c>
      <c r="L1377">
        <v>0</v>
      </c>
      <c r="M1377">
        <v>0</v>
      </c>
      <c r="N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 s="1">
        <v>44160</v>
      </c>
      <c r="Y1377" t="s">
        <v>40</v>
      </c>
      <c r="Z1377" t="s">
        <v>40</v>
      </c>
      <c r="AB1377" t="s">
        <v>40</v>
      </c>
      <c r="AF1377" t="s">
        <v>40</v>
      </c>
      <c r="AG1377" t="s">
        <v>40</v>
      </c>
    </row>
    <row r="1378" spans="1:37" x14ac:dyDescent="0.3">
      <c r="A1378">
        <v>2019</v>
      </c>
      <c r="B1378">
        <v>12</v>
      </c>
      <c r="C1378" t="str">
        <f t="shared" si="42"/>
        <v>12/01/2019</v>
      </c>
      <c r="D1378" s="1" t="str">
        <f t="shared" si="43"/>
        <v>12/01/2019</v>
      </c>
      <c r="E1378" t="s">
        <v>37</v>
      </c>
      <c r="F1378" t="s">
        <v>54</v>
      </c>
      <c r="G1378" t="s">
        <v>46</v>
      </c>
      <c r="H1378">
        <v>130</v>
      </c>
      <c r="I1378">
        <v>119</v>
      </c>
      <c r="K1378">
        <v>37</v>
      </c>
      <c r="M1378">
        <v>0</v>
      </c>
      <c r="S1378">
        <v>21</v>
      </c>
      <c r="U1378">
        <v>0</v>
      </c>
      <c r="V1378">
        <v>0</v>
      </c>
      <c r="W1378" s="1">
        <v>44160</v>
      </c>
      <c r="AA1378" t="s">
        <v>40</v>
      </c>
      <c r="AC1378" t="s">
        <v>40</v>
      </c>
      <c r="AE1378" t="s">
        <v>40</v>
      </c>
      <c r="AF1378" t="s">
        <v>40</v>
      </c>
      <c r="AG1378" t="s">
        <v>40</v>
      </c>
      <c r="AH1378" t="s">
        <v>40</v>
      </c>
      <c r="AI1378" t="s">
        <v>40</v>
      </c>
      <c r="AK1378" t="s">
        <v>40</v>
      </c>
    </row>
    <row r="1379" spans="1:37" x14ac:dyDescent="0.3">
      <c r="A1379">
        <v>2019</v>
      </c>
      <c r="B1379">
        <v>12</v>
      </c>
      <c r="C1379" t="str">
        <f t="shared" si="42"/>
        <v>12/01/2019</v>
      </c>
      <c r="D1379" s="1" t="str">
        <f t="shared" si="43"/>
        <v>12/01/2019</v>
      </c>
      <c r="E1379" t="s">
        <v>37</v>
      </c>
      <c r="F1379" t="s">
        <v>54</v>
      </c>
      <c r="G1379" t="s">
        <v>47</v>
      </c>
      <c r="H1379">
        <v>188</v>
      </c>
      <c r="I1379">
        <v>179</v>
      </c>
      <c r="K1379">
        <v>56</v>
      </c>
      <c r="O1379">
        <v>16</v>
      </c>
      <c r="S1379">
        <v>46</v>
      </c>
      <c r="U1379">
        <v>0</v>
      </c>
      <c r="V1379">
        <v>0</v>
      </c>
      <c r="W1379" s="1">
        <v>44160</v>
      </c>
      <c r="AA1379" t="s">
        <v>40</v>
      </c>
      <c r="AC1379" t="s">
        <v>40</v>
      </c>
      <c r="AD1379" t="s">
        <v>40</v>
      </c>
      <c r="AE1379" t="s">
        <v>40</v>
      </c>
      <c r="AG1379" t="s">
        <v>40</v>
      </c>
      <c r="AH1379" t="s">
        <v>40</v>
      </c>
      <c r="AI1379" t="s">
        <v>40</v>
      </c>
      <c r="AK1379" t="s">
        <v>40</v>
      </c>
    </row>
    <row r="1380" spans="1:37" x14ac:dyDescent="0.3">
      <c r="A1380">
        <v>2019</v>
      </c>
      <c r="B1380">
        <v>12</v>
      </c>
      <c r="C1380" t="str">
        <f t="shared" si="42"/>
        <v>12/01/2019</v>
      </c>
      <c r="D1380" s="1" t="str">
        <f t="shared" si="43"/>
        <v>12/01/2019</v>
      </c>
      <c r="E1380" t="s">
        <v>37</v>
      </c>
      <c r="F1380" t="s">
        <v>54</v>
      </c>
      <c r="G1380" t="s">
        <v>48</v>
      </c>
      <c r="H1380">
        <v>176</v>
      </c>
      <c r="I1380">
        <v>169</v>
      </c>
      <c r="K1380">
        <v>41</v>
      </c>
      <c r="O1380">
        <v>11</v>
      </c>
      <c r="S1380">
        <v>42</v>
      </c>
      <c r="T1380">
        <v>15</v>
      </c>
      <c r="U1380">
        <v>0</v>
      </c>
      <c r="V1380">
        <v>0</v>
      </c>
      <c r="W1380" s="1">
        <v>44160</v>
      </c>
      <c r="AA1380" t="s">
        <v>40</v>
      </c>
      <c r="AC1380" t="s">
        <v>40</v>
      </c>
      <c r="AD1380" t="s">
        <v>40</v>
      </c>
      <c r="AE1380" t="s">
        <v>40</v>
      </c>
      <c r="AG1380" t="s">
        <v>40</v>
      </c>
      <c r="AH1380" t="s">
        <v>40</v>
      </c>
      <c r="AI1380" t="s">
        <v>40</v>
      </c>
    </row>
    <row r="1381" spans="1:37" x14ac:dyDescent="0.3">
      <c r="A1381">
        <v>2019</v>
      </c>
      <c r="B1381">
        <v>12</v>
      </c>
      <c r="C1381" t="str">
        <f t="shared" si="42"/>
        <v>12/01/2019</v>
      </c>
      <c r="D1381" s="1" t="str">
        <f t="shared" si="43"/>
        <v>12/01/2019</v>
      </c>
      <c r="E1381" t="s">
        <v>37</v>
      </c>
      <c r="F1381" t="s">
        <v>54</v>
      </c>
      <c r="G1381" t="s">
        <v>49</v>
      </c>
      <c r="H1381">
        <v>219</v>
      </c>
      <c r="I1381">
        <v>214</v>
      </c>
      <c r="J1381">
        <v>0</v>
      </c>
      <c r="K1381">
        <v>21</v>
      </c>
      <c r="M1381">
        <v>31</v>
      </c>
      <c r="S1381">
        <v>74</v>
      </c>
      <c r="T1381">
        <v>15</v>
      </c>
      <c r="U1381">
        <v>0</v>
      </c>
      <c r="V1381">
        <v>0</v>
      </c>
      <c r="W1381" s="1">
        <v>44160</v>
      </c>
      <c r="AC1381" t="s">
        <v>40</v>
      </c>
      <c r="AE1381" t="s">
        <v>40</v>
      </c>
      <c r="AF1381" t="s">
        <v>40</v>
      </c>
      <c r="AG1381" t="s">
        <v>40</v>
      </c>
      <c r="AH1381" t="s">
        <v>40</v>
      </c>
      <c r="AI1381" t="s">
        <v>40</v>
      </c>
    </row>
    <row r="1382" spans="1:37" x14ac:dyDescent="0.3">
      <c r="A1382">
        <v>2019</v>
      </c>
      <c r="B1382">
        <v>12</v>
      </c>
      <c r="C1382" t="str">
        <f t="shared" si="42"/>
        <v>12/01/2019</v>
      </c>
      <c r="D1382" s="1" t="str">
        <f t="shared" si="43"/>
        <v>12/01/2019</v>
      </c>
      <c r="E1382" t="s">
        <v>55</v>
      </c>
      <c r="F1382" t="s">
        <v>38</v>
      </c>
      <c r="G1382" t="s">
        <v>39</v>
      </c>
      <c r="H1382">
        <v>278</v>
      </c>
      <c r="I1382">
        <v>250</v>
      </c>
      <c r="L1382">
        <v>0</v>
      </c>
      <c r="M1382">
        <v>0</v>
      </c>
      <c r="O1382">
        <v>0</v>
      </c>
      <c r="R1382">
        <v>35</v>
      </c>
      <c r="U1382">
        <v>0</v>
      </c>
      <c r="V1382">
        <v>0</v>
      </c>
      <c r="W1382" s="1">
        <v>44160</v>
      </c>
      <c r="AA1382" t="s">
        <v>40</v>
      </c>
      <c r="AB1382" t="s">
        <v>40</v>
      </c>
      <c r="AE1382" t="s">
        <v>40</v>
      </c>
      <c r="AG1382" t="s">
        <v>40</v>
      </c>
      <c r="AH1382" t="s">
        <v>40</v>
      </c>
      <c r="AJ1382" t="s">
        <v>40</v>
      </c>
      <c r="AK1382" t="s">
        <v>40</v>
      </c>
    </row>
    <row r="1383" spans="1:37" x14ac:dyDescent="0.3">
      <c r="A1383">
        <v>2019</v>
      </c>
      <c r="B1383">
        <v>12</v>
      </c>
      <c r="C1383" t="str">
        <f t="shared" si="42"/>
        <v>12/01/2019</v>
      </c>
      <c r="D1383" s="1" t="str">
        <f t="shared" si="43"/>
        <v>12/01/2019</v>
      </c>
      <c r="E1383" t="s">
        <v>55</v>
      </c>
      <c r="F1383" t="s">
        <v>38</v>
      </c>
      <c r="G1383" t="s">
        <v>41</v>
      </c>
      <c r="H1383">
        <v>432</v>
      </c>
      <c r="I1383">
        <v>75</v>
      </c>
      <c r="K1383">
        <v>22</v>
      </c>
      <c r="L1383">
        <v>0</v>
      </c>
      <c r="M1383">
        <v>0</v>
      </c>
      <c r="P1383">
        <v>0</v>
      </c>
      <c r="Q1383">
        <v>0</v>
      </c>
      <c r="R1383">
        <v>11</v>
      </c>
      <c r="T1383">
        <v>0</v>
      </c>
      <c r="U1383">
        <v>0</v>
      </c>
      <c r="V1383">
        <v>0</v>
      </c>
      <c r="W1383" s="1">
        <v>44160</v>
      </c>
      <c r="AA1383" t="s">
        <v>40</v>
      </c>
      <c r="AE1383" t="s">
        <v>40</v>
      </c>
      <c r="AF1383" t="s">
        <v>40</v>
      </c>
      <c r="AJ1383" t="s">
        <v>40</v>
      </c>
    </row>
    <row r="1384" spans="1:37" x14ac:dyDescent="0.3">
      <c r="A1384">
        <v>2019</v>
      </c>
      <c r="B1384">
        <v>12</v>
      </c>
      <c r="C1384" t="str">
        <f t="shared" si="42"/>
        <v>12/01/2019</v>
      </c>
      <c r="D1384" s="1" t="str">
        <f t="shared" si="43"/>
        <v>12/01/2019</v>
      </c>
      <c r="E1384" t="s">
        <v>55</v>
      </c>
      <c r="F1384" t="s">
        <v>38</v>
      </c>
      <c r="G1384" t="s">
        <v>42</v>
      </c>
      <c r="H1384">
        <v>650</v>
      </c>
      <c r="I1384">
        <v>211</v>
      </c>
      <c r="K1384">
        <v>34</v>
      </c>
      <c r="M1384">
        <v>0</v>
      </c>
      <c r="N1384">
        <v>10</v>
      </c>
      <c r="P1384">
        <v>0</v>
      </c>
      <c r="Q1384">
        <v>0</v>
      </c>
      <c r="R1384">
        <v>21</v>
      </c>
      <c r="S1384">
        <v>37</v>
      </c>
      <c r="U1384">
        <v>0</v>
      </c>
      <c r="V1384">
        <v>0</v>
      </c>
      <c r="W1384" s="1">
        <v>44160</v>
      </c>
      <c r="AA1384" t="s">
        <v>40</v>
      </c>
      <c r="AC1384" t="s">
        <v>40</v>
      </c>
      <c r="AF1384" t="s">
        <v>40</v>
      </c>
      <c r="AK1384" t="s">
        <v>40</v>
      </c>
    </row>
    <row r="1385" spans="1:37" x14ac:dyDescent="0.3">
      <c r="A1385">
        <v>2019</v>
      </c>
      <c r="B1385">
        <v>12</v>
      </c>
      <c r="C1385" t="str">
        <f t="shared" si="42"/>
        <v>12/01/2019</v>
      </c>
      <c r="D1385" s="1" t="str">
        <f t="shared" si="43"/>
        <v>12/01/2019</v>
      </c>
      <c r="E1385" t="s">
        <v>55</v>
      </c>
      <c r="F1385" t="s">
        <v>38</v>
      </c>
      <c r="G1385" t="s">
        <v>43</v>
      </c>
      <c r="H1385">
        <v>752</v>
      </c>
      <c r="I1385">
        <v>404</v>
      </c>
      <c r="K1385">
        <v>63</v>
      </c>
      <c r="L1385">
        <v>29</v>
      </c>
      <c r="M1385">
        <v>0</v>
      </c>
      <c r="N1385">
        <v>12</v>
      </c>
      <c r="Q1385">
        <v>10</v>
      </c>
      <c r="S1385">
        <v>89</v>
      </c>
      <c r="T1385">
        <v>23</v>
      </c>
      <c r="U1385">
        <v>0</v>
      </c>
      <c r="V1385">
        <v>0</v>
      </c>
      <c r="W1385" s="1">
        <v>44160</v>
      </c>
      <c r="AA1385" t="s">
        <v>40</v>
      </c>
      <c r="AF1385" t="s">
        <v>40</v>
      </c>
      <c r="AG1385" t="s">
        <v>40</v>
      </c>
      <c r="AI1385" t="s">
        <v>40</v>
      </c>
    </row>
    <row r="1386" spans="1:37" x14ac:dyDescent="0.3">
      <c r="A1386">
        <v>2019</v>
      </c>
      <c r="B1386">
        <v>12</v>
      </c>
      <c r="C1386" t="str">
        <f t="shared" si="42"/>
        <v>12/01/2019</v>
      </c>
      <c r="D1386" s="1" t="str">
        <f t="shared" si="43"/>
        <v>12/01/2019</v>
      </c>
      <c r="E1386" t="s">
        <v>55</v>
      </c>
      <c r="F1386" t="s">
        <v>38</v>
      </c>
      <c r="G1386" t="s">
        <v>44</v>
      </c>
      <c r="H1386" s="2">
        <v>1163</v>
      </c>
      <c r="I1386">
        <v>908</v>
      </c>
      <c r="J1386">
        <v>22</v>
      </c>
      <c r="K1386">
        <v>187</v>
      </c>
      <c r="L1386">
        <v>74</v>
      </c>
      <c r="M1386">
        <v>0</v>
      </c>
      <c r="N1386">
        <v>25</v>
      </c>
      <c r="Q1386">
        <v>15</v>
      </c>
      <c r="R1386">
        <v>19</v>
      </c>
      <c r="S1386">
        <v>244</v>
      </c>
      <c r="T1386">
        <v>45</v>
      </c>
      <c r="U1386">
        <v>0</v>
      </c>
      <c r="V1386">
        <v>0</v>
      </c>
      <c r="W1386" s="1">
        <v>44160</v>
      </c>
      <c r="AF1386" t="s">
        <v>40</v>
      </c>
      <c r="AG1386" t="s">
        <v>40</v>
      </c>
    </row>
    <row r="1387" spans="1:37" x14ac:dyDescent="0.3">
      <c r="A1387">
        <v>2019</v>
      </c>
      <c r="B1387">
        <v>12</v>
      </c>
      <c r="C1387" t="str">
        <f t="shared" si="42"/>
        <v>12/01/2019</v>
      </c>
      <c r="D1387" s="1" t="str">
        <f t="shared" si="43"/>
        <v>12/01/2019</v>
      </c>
      <c r="E1387" t="s">
        <v>55</v>
      </c>
      <c r="F1387" t="s">
        <v>38</v>
      </c>
      <c r="G1387" t="s">
        <v>45</v>
      </c>
      <c r="H1387">
        <v>62</v>
      </c>
      <c r="I1387">
        <v>40</v>
      </c>
      <c r="L1387">
        <v>0</v>
      </c>
      <c r="M1387">
        <v>0</v>
      </c>
      <c r="N1387">
        <v>0</v>
      </c>
      <c r="Q1387">
        <v>0</v>
      </c>
      <c r="U1387">
        <v>0</v>
      </c>
      <c r="V1387">
        <v>0</v>
      </c>
      <c r="W1387" s="1">
        <v>44160</v>
      </c>
      <c r="AA1387" t="s">
        <v>40</v>
      </c>
      <c r="AB1387" t="s">
        <v>40</v>
      </c>
      <c r="AF1387" t="s">
        <v>40</v>
      </c>
      <c r="AG1387" t="s">
        <v>40</v>
      </c>
      <c r="AI1387" t="s">
        <v>40</v>
      </c>
      <c r="AJ1387" t="s">
        <v>40</v>
      </c>
      <c r="AK1387" t="s">
        <v>40</v>
      </c>
    </row>
    <row r="1388" spans="1:37" x14ac:dyDescent="0.3">
      <c r="A1388">
        <v>2019</v>
      </c>
      <c r="B1388">
        <v>12</v>
      </c>
      <c r="C1388" t="str">
        <f t="shared" si="42"/>
        <v>12/01/2019</v>
      </c>
      <c r="D1388" s="1" t="str">
        <f t="shared" si="43"/>
        <v>12/01/2019</v>
      </c>
      <c r="E1388" t="s">
        <v>55</v>
      </c>
      <c r="F1388" t="s">
        <v>38</v>
      </c>
      <c r="G1388" t="s">
        <v>46</v>
      </c>
      <c r="H1388" s="2">
        <v>1744</v>
      </c>
      <c r="I1388" s="2">
        <v>1526</v>
      </c>
      <c r="J1388">
        <v>26</v>
      </c>
      <c r="K1388">
        <v>388</v>
      </c>
      <c r="L1388">
        <v>104</v>
      </c>
      <c r="N1388">
        <v>40</v>
      </c>
      <c r="O1388">
        <v>26</v>
      </c>
      <c r="P1388">
        <v>21</v>
      </c>
      <c r="Q1388">
        <v>48</v>
      </c>
      <c r="R1388">
        <v>20</v>
      </c>
      <c r="S1388">
        <v>391</v>
      </c>
      <c r="T1388">
        <v>81</v>
      </c>
      <c r="U1388">
        <v>0</v>
      </c>
      <c r="V1388">
        <v>0</v>
      </c>
      <c r="W1388" s="1">
        <v>44160</v>
      </c>
      <c r="AD1388" t="s">
        <v>40</v>
      </c>
    </row>
    <row r="1389" spans="1:37" x14ac:dyDescent="0.3">
      <c r="A1389">
        <v>2019</v>
      </c>
      <c r="B1389">
        <v>12</v>
      </c>
      <c r="C1389" t="str">
        <f t="shared" si="42"/>
        <v>12/01/2019</v>
      </c>
      <c r="D1389" s="1" t="str">
        <f t="shared" si="43"/>
        <v>12/01/2019</v>
      </c>
      <c r="E1389" t="s">
        <v>55</v>
      </c>
      <c r="F1389" t="s">
        <v>38</v>
      </c>
      <c r="G1389" t="s">
        <v>47</v>
      </c>
      <c r="H1389" s="2">
        <v>2020</v>
      </c>
      <c r="I1389" s="2">
        <v>1921</v>
      </c>
      <c r="J1389">
        <v>32</v>
      </c>
      <c r="K1389">
        <v>521</v>
      </c>
      <c r="L1389">
        <v>152</v>
      </c>
      <c r="M1389">
        <v>19</v>
      </c>
      <c r="N1389">
        <v>47</v>
      </c>
      <c r="O1389">
        <v>60</v>
      </c>
      <c r="P1389">
        <v>34</v>
      </c>
      <c r="Q1389">
        <v>46</v>
      </c>
      <c r="R1389">
        <v>13</v>
      </c>
      <c r="S1389">
        <v>502</v>
      </c>
      <c r="T1389">
        <v>111</v>
      </c>
      <c r="U1389">
        <v>0</v>
      </c>
      <c r="V1389">
        <v>0</v>
      </c>
      <c r="W1389" s="1">
        <v>44160</v>
      </c>
    </row>
    <row r="1390" spans="1:37" x14ac:dyDescent="0.3">
      <c r="A1390">
        <v>2019</v>
      </c>
      <c r="B1390">
        <v>12</v>
      </c>
      <c r="C1390" t="str">
        <f t="shared" si="42"/>
        <v>12/01/2019</v>
      </c>
      <c r="D1390" s="1" t="str">
        <f t="shared" si="43"/>
        <v>12/01/2019</v>
      </c>
      <c r="E1390" t="s">
        <v>55</v>
      </c>
      <c r="F1390" t="s">
        <v>38</v>
      </c>
      <c r="G1390" t="s">
        <v>48</v>
      </c>
      <c r="H1390" s="2">
        <v>1931</v>
      </c>
      <c r="I1390" s="2">
        <v>1871</v>
      </c>
      <c r="J1390">
        <v>34</v>
      </c>
      <c r="K1390">
        <v>438</v>
      </c>
      <c r="L1390">
        <v>104</v>
      </c>
      <c r="M1390">
        <v>74</v>
      </c>
      <c r="N1390">
        <v>51</v>
      </c>
      <c r="O1390">
        <v>65</v>
      </c>
      <c r="P1390">
        <v>49</v>
      </c>
      <c r="Q1390">
        <v>37</v>
      </c>
      <c r="R1390">
        <v>16</v>
      </c>
      <c r="S1390">
        <v>509</v>
      </c>
      <c r="T1390">
        <v>107</v>
      </c>
      <c r="U1390">
        <v>0</v>
      </c>
      <c r="V1390">
        <v>0</v>
      </c>
      <c r="W1390" s="1">
        <v>44160</v>
      </c>
    </row>
    <row r="1391" spans="1:37" x14ac:dyDescent="0.3">
      <c r="A1391">
        <v>2019</v>
      </c>
      <c r="B1391">
        <v>12</v>
      </c>
      <c r="C1391" t="str">
        <f t="shared" si="42"/>
        <v>12/01/2019</v>
      </c>
      <c r="D1391" s="1" t="str">
        <f t="shared" si="43"/>
        <v>12/01/2019</v>
      </c>
      <c r="E1391" t="s">
        <v>55</v>
      </c>
      <c r="F1391" t="s">
        <v>38</v>
      </c>
      <c r="G1391" t="s">
        <v>49</v>
      </c>
      <c r="H1391" s="2">
        <v>1768</v>
      </c>
      <c r="I1391" s="2">
        <v>1709</v>
      </c>
      <c r="J1391">
        <v>16</v>
      </c>
      <c r="K1391">
        <v>244</v>
      </c>
      <c r="L1391">
        <v>72</v>
      </c>
      <c r="M1391">
        <v>135</v>
      </c>
      <c r="N1391">
        <v>45</v>
      </c>
      <c r="O1391">
        <v>79</v>
      </c>
      <c r="P1391">
        <v>37</v>
      </c>
      <c r="Q1391">
        <v>48</v>
      </c>
      <c r="R1391">
        <v>14</v>
      </c>
      <c r="S1391">
        <v>468</v>
      </c>
      <c r="T1391">
        <v>146</v>
      </c>
      <c r="U1391">
        <v>0</v>
      </c>
      <c r="V1391">
        <v>0</v>
      </c>
      <c r="W1391" s="1">
        <v>44160</v>
      </c>
    </row>
    <row r="1392" spans="1:37" x14ac:dyDescent="0.3">
      <c r="A1392">
        <v>2019</v>
      </c>
      <c r="B1392">
        <v>12</v>
      </c>
      <c r="C1392" t="str">
        <f t="shared" si="42"/>
        <v>12/01/2019</v>
      </c>
      <c r="D1392" s="1" t="str">
        <f t="shared" si="43"/>
        <v>12/01/2019</v>
      </c>
      <c r="E1392" t="s">
        <v>55</v>
      </c>
      <c r="F1392" t="s">
        <v>50</v>
      </c>
      <c r="G1392" t="s">
        <v>39</v>
      </c>
      <c r="H1392">
        <v>17</v>
      </c>
      <c r="I1392">
        <v>11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T1392">
        <v>0</v>
      </c>
      <c r="U1392">
        <v>0</v>
      </c>
      <c r="V1392">
        <v>0</v>
      </c>
      <c r="W1392" s="1">
        <v>44160</v>
      </c>
      <c r="AI1392" t="s">
        <v>40</v>
      </c>
      <c r="AJ1392" t="s">
        <v>40</v>
      </c>
    </row>
    <row r="1393" spans="1:37" x14ac:dyDescent="0.3">
      <c r="A1393">
        <v>2019</v>
      </c>
      <c r="B1393">
        <v>12</v>
      </c>
      <c r="C1393" t="str">
        <f t="shared" si="42"/>
        <v>12/01/2019</v>
      </c>
      <c r="D1393" s="1" t="str">
        <f t="shared" si="43"/>
        <v>12/01/2019</v>
      </c>
      <c r="E1393" t="s">
        <v>55</v>
      </c>
      <c r="F1393" t="s">
        <v>50</v>
      </c>
      <c r="G1393" t="s">
        <v>41</v>
      </c>
      <c r="H1393">
        <v>26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S1393">
        <v>0</v>
      </c>
      <c r="T1393">
        <v>0</v>
      </c>
      <c r="U1393">
        <v>0</v>
      </c>
      <c r="V1393">
        <v>0</v>
      </c>
      <c r="W1393" s="1">
        <v>44160</v>
      </c>
      <c r="Z1393" t="s">
        <v>40</v>
      </c>
      <c r="AI1393" t="s">
        <v>40</v>
      </c>
    </row>
    <row r="1394" spans="1:37" x14ac:dyDescent="0.3">
      <c r="A1394">
        <v>2019</v>
      </c>
      <c r="B1394">
        <v>12</v>
      </c>
      <c r="C1394" t="str">
        <f t="shared" si="42"/>
        <v>12/01/2019</v>
      </c>
      <c r="D1394" s="1" t="str">
        <f t="shared" si="43"/>
        <v>12/01/2019</v>
      </c>
      <c r="E1394" t="s">
        <v>55</v>
      </c>
      <c r="F1394" t="s">
        <v>50</v>
      </c>
      <c r="G1394" t="s">
        <v>42</v>
      </c>
      <c r="H1394">
        <v>73</v>
      </c>
      <c r="I1394">
        <v>26</v>
      </c>
      <c r="J1394">
        <v>0</v>
      </c>
      <c r="K1394">
        <v>0</v>
      </c>
      <c r="L1394">
        <v>0</v>
      </c>
      <c r="M1394">
        <v>0</v>
      </c>
      <c r="O1394">
        <v>0</v>
      </c>
      <c r="P1394">
        <v>0</v>
      </c>
      <c r="U1394">
        <v>0</v>
      </c>
      <c r="V1394">
        <v>0</v>
      </c>
      <c r="W1394" s="1">
        <v>44160</v>
      </c>
      <c r="AE1394" t="s">
        <v>40</v>
      </c>
      <c r="AH1394" t="s">
        <v>40</v>
      </c>
      <c r="AI1394" t="s">
        <v>40</v>
      </c>
      <c r="AJ1394" t="s">
        <v>40</v>
      </c>
      <c r="AK1394" t="s">
        <v>40</v>
      </c>
    </row>
    <row r="1395" spans="1:37" x14ac:dyDescent="0.3">
      <c r="A1395">
        <v>2019</v>
      </c>
      <c r="B1395">
        <v>12</v>
      </c>
      <c r="C1395" t="str">
        <f t="shared" si="42"/>
        <v>12/01/2019</v>
      </c>
      <c r="D1395" s="1" t="str">
        <f t="shared" si="43"/>
        <v>12/01/2019</v>
      </c>
      <c r="E1395" t="s">
        <v>55</v>
      </c>
      <c r="F1395" t="s">
        <v>50</v>
      </c>
      <c r="G1395" t="s">
        <v>43</v>
      </c>
      <c r="H1395">
        <v>74</v>
      </c>
      <c r="I1395">
        <v>47</v>
      </c>
      <c r="J1395">
        <v>0</v>
      </c>
      <c r="M1395">
        <v>0</v>
      </c>
      <c r="N1395">
        <v>0</v>
      </c>
      <c r="O1395">
        <v>0</v>
      </c>
      <c r="S1395">
        <v>10</v>
      </c>
      <c r="T1395">
        <v>0</v>
      </c>
      <c r="U1395">
        <v>0</v>
      </c>
      <c r="V1395">
        <v>0</v>
      </c>
      <c r="W1395" s="1">
        <v>44160</v>
      </c>
      <c r="AB1395" t="s">
        <v>40</v>
      </c>
      <c r="AC1395" t="s">
        <v>40</v>
      </c>
      <c r="AG1395" t="s">
        <v>40</v>
      </c>
      <c r="AH1395" t="s">
        <v>40</v>
      </c>
      <c r="AI1395" t="s">
        <v>40</v>
      </c>
    </row>
    <row r="1396" spans="1:37" x14ac:dyDescent="0.3">
      <c r="A1396">
        <v>2019</v>
      </c>
      <c r="B1396">
        <v>12</v>
      </c>
      <c r="C1396" t="str">
        <f t="shared" si="42"/>
        <v>12/01/2019</v>
      </c>
      <c r="D1396" s="1" t="str">
        <f t="shared" si="43"/>
        <v>12/01/2019</v>
      </c>
      <c r="E1396" t="s">
        <v>55</v>
      </c>
      <c r="F1396" t="s">
        <v>50</v>
      </c>
      <c r="G1396" t="s">
        <v>44</v>
      </c>
      <c r="H1396">
        <v>101</v>
      </c>
      <c r="I1396">
        <v>75</v>
      </c>
      <c r="J1396">
        <v>0</v>
      </c>
      <c r="K1396">
        <v>10</v>
      </c>
      <c r="M1396">
        <v>0</v>
      </c>
      <c r="O1396">
        <v>0</v>
      </c>
      <c r="S1396">
        <v>20</v>
      </c>
      <c r="U1396">
        <v>0</v>
      </c>
      <c r="V1396">
        <v>0</v>
      </c>
      <c r="W1396" s="1">
        <v>44160</v>
      </c>
      <c r="AC1396" t="s">
        <v>40</v>
      </c>
      <c r="AE1396" t="s">
        <v>40</v>
      </c>
      <c r="AG1396" t="s">
        <v>40</v>
      </c>
      <c r="AH1396" t="s">
        <v>40</v>
      </c>
      <c r="AI1396" t="s">
        <v>40</v>
      </c>
      <c r="AK1396" t="s">
        <v>40</v>
      </c>
    </row>
    <row r="1397" spans="1:37" x14ac:dyDescent="0.3">
      <c r="A1397">
        <v>2019</v>
      </c>
      <c r="B1397">
        <v>12</v>
      </c>
      <c r="C1397" t="str">
        <f t="shared" si="42"/>
        <v>12/01/2019</v>
      </c>
      <c r="D1397" s="1" t="str">
        <f t="shared" si="43"/>
        <v>12/01/2019</v>
      </c>
      <c r="E1397" t="s">
        <v>55</v>
      </c>
      <c r="F1397" t="s">
        <v>50</v>
      </c>
      <c r="G1397" t="s">
        <v>45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T1397">
        <v>0</v>
      </c>
      <c r="U1397">
        <v>0</v>
      </c>
      <c r="V1397">
        <v>0</v>
      </c>
      <c r="W1397" s="1">
        <v>44160</v>
      </c>
      <c r="Y1397" t="s">
        <v>40</v>
      </c>
      <c r="Z1397" t="s">
        <v>40</v>
      </c>
      <c r="AJ1397" t="s">
        <v>40</v>
      </c>
    </row>
    <row r="1398" spans="1:37" x14ac:dyDescent="0.3">
      <c r="A1398">
        <v>2019</v>
      </c>
      <c r="B1398">
        <v>12</v>
      </c>
      <c r="C1398" t="str">
        <f t="shared" si="42"/>
        <v>12/01/2019</v>
      </c>
      <c r="D1398" s="1" t="str">
        <f t="shared" si="43"/>
        <v>12/01/2019</v>
      </c>
      <c r="E1398" t="s">
        <v>55</v>
      </c>
      <c r="F1398" t="s">
        <v>50</v>
      </c>
      <c r="G1398" t="s">
        <v>46</v>
      </c>
      <c r="H1398">
        <v>194</v>
      </c>
      <c r="I1398">
        <v>170</v>
      </c>
      <c r="K1398">
        <v>30</v>
      </c>
      <c r="S1398">
        <v>37</v>
      </c>
      <c r="U1398">
        <v>0</v>
      </c>
      <c r="V1398">
        <v>0</v>
      </c>
      <c r="W1398" s="1">
        <v>44160</v>
      </c>
      <c r="AA1398" t="s">
        <v>40</v>
      </c>
      <c r="AC1398" t="s">
        <v>40</v>
      </c>
      <c r="AD1398" t="s">
        <v>40</v>
      </c>
      <c r="AE1398" t="s">
        <v>40</v>
      </c>
      <c r="AF1398" t="s">
        <v>40</v>
      </c>
      <c r="AG1398" t="s">
        <v>40</v>
      </c>
      <c r="AH1398" t="s">
        <v>40</v>
      </c>
      <c r="AI1398" t="s">
        <v>40</v>
      </c>
      <c r="AK1398" t="s">
        <v>40</v>
      </c>
    </row>
    <row r="1399" spans="1:37" x14ac:dyDescent="0.3">
      <c r="A1399">
        <v>2019</v>
      </c>
      <c r="B1399">
        <v>12</v>
      </c>
      <c r="C1399" t="str">
        <f t="shared" si="42"/>
        <v>12/01/2019</v>
      </c>
      <c r="D1399" s="1" t="str">
        <f t="shared" si="43"/>
        <v>12/01/2019</v>
      </c>
      <c r="E1399" t="s">
        <v>55</v>
      </c>
      <c r="F1399" t="s">
        <v>50</v>
      </c>
      <c r="G1399" t="s">
        <v>47</v>
      </c>
      <c r="H1399">
        <v>182</v>
      </c>
      <c r="I1399">
        <v>166</v>
      </c>
      <c r="K1399">
        <v>50</v>
      </c>
      <c r="M1399">
        <v>0</v>
      </c>
      <c r="S1399">
        <v>47</v>
      </c>
      <c r="U1399">
        <v>0</v>
      </c>
      <c r="V1399">
        <v>0</v>
      </c>
      <c r="W1399" s="1">
        <v>44160</v>
      </c>
      <c r="AA1399" t="s">
        <v>40</v>
      </c>
      <c r="AC1399" t="s">
        <v>40</v>
      </c>
      <c r="AE1399" t="s">
        <v>40</v>
      </c>
      <c r="AF1399" t="s">
        <v>40</v>
      </c>
      <c r="AG1399" t="s">
        <v>40</v>
      </c>
      <c r="AH1399" t="s">
        <v>40</v>
      </c>
      <c r="AI1399" t="s">
        <v>40</v>
      </c>
      <c r="AK1399" t="s">
        <v>40</v>
      </c>
    </row>
    <row r="1400" spans="1:37" x14ac:dyDescent="0.3">
      <c r="A1400">
        <v>2019</v>
      </c>
      <c r="B1400">
        <v>12</v>
      </c>
      <c r="C1400" t="str">
        <f t="shared" si="42"/>
        <v>12/01/2019</v>
      </c>
      <c r="D1400" s="1" t="str">
        <f t="shared" si="43"/>
        <v>12/01/2019</v>
      </c>
      <c r="E1400" t="s">
        <v>55</v>
      </c>
      <c r="F1400" t="s">
        <v>50</v>
      </c>
      <c r="G1400" t="s">
        <v>48</v>
      </c>
      <c r="H1400">
        <v>143</v>
      </c>
      <c r="I1400">
        <v>133</v>
      </c>
      <c r="K1400">
        <v>29</v>
      </c>
      <c r="R1400">
        <v>0</v>
      </c>
      <c r="S1400">
        <v>40</v>
      </c>
      <c r="U1400">
        <v>0</v>
      </c>
      <c r="V1400">
        <v>0</v>
      </c>
      <c r="W1400" s="1">
        <v>44160</v>
      </c>
      <c r="AA1400" t="s">
        <v>40</v>
      </c>
      <c r="AC1400" t="s">
        <v>40</v>
      </c>
      <c r="AD1400" t="s">
        <v>40</v>
      </c>
      <c r="AE1400" t="s">
        <v>40</v>
      </c>
      <c r="AF1400" t="s">
        <v>40</v>
      </c>
      <c r="AG1400" t="s">
        <v>40</v>
      </c>
      <c r="AH1400" t="s">
        <v>40</v>
      </c>
      <c r="AK1400" t="s">
        <v>40</v>
      </c>
    </row>
    <row r="1401" spans="1:37" x14ac:dyDescent="0.3">
      <c r="A1401">
        <v>2019</v>
      </c>
      <c r="B1401">
        <v>12</v>
      </c>
      <c r="C1401" t="str">
        <f t="shared" si="42"/>
        <v>12/01/2019</v>
      </c>
      <c r="D1401" s="1" t="str">
        <f t="shared" si="43"/>
        <v>12/01/2019</v>
      </c>
      <c r="E1401" t="s">
        <v>55</v>
      </c>
      <c r="F1401" t="s">
        <v>50</v>
      </c>
      <c r="G1401" t="s">
        <v>49</v>
      </c>
      <c r="H1401">
        <v>72</v>
      </c>
      <c r="I1401">
        <v>67</v>
      </c>
      <c r="R1401">
        <v>0</v>
      </c>
      <c r="S1401">
        <v>14</v>
      </c>
      <c r="U1401">
        <v>0</v>
      </c>
      <c r="V1401">
        <v>0</v>
      </c>
      <c r="W1401" s="1">
        <v>44160</v>
      </c>
      <c r="AA1401" t="s">
        <v>40</v>
      </c>
      <c r="AB1401" t="s">
        <v>40</v>
      </c>
      <c r="AC1401" t="s">
        <v>40</v>
      </c>
      <c r="AD1401" t="s">
        <v>40</v>
      </c>
      <c r="AE1401" t="s">
        <v>40</v>
      </c>
      <c r="AF1401" t="s">
        <v>40</v>
      </c>
      <c r="AG1401" t="s">
        <v>40</v>
      </c>
      <c r="AH1401" t="s">
        <v>40</v>
      </c>
      <c r="AK1401" t="s">
        <v>40</v>
      </c>
    </row>
    <row r="1402" spans="1:37" x14ac:dyDescent="0.3">
      <c r="A1402">
        <v>2019</v>
      </c>
      <c r="B1402">
        <v>12</v>
      </c>
      <c r="C1402" t="str">
        <f t="shared" si="42"/>
        <v>12/01/2019</v>
      </c>
      <c r="D1402" s="1" t="str">
        <f t="shared" si="43"/>
        <v>12/01/2019</v>
      </c>
      <c r="E1402" t="s">
        <v>55</v>
      </c>
      <c r="F1402" t="s">
        <v>51</v>
      </c>
      <c r="G1402" t="s">
        <v>39</v>
      </c>
      <c r="H1402">
        <v>34</v>
      </c>
      <c r="I1402">
        <v>30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T1402">
        <v>0</v>
      </c>
      <c r="U1402">
        <v>0</v>
      </c>
      <c r="V1402">
        <v>0</v>
      </c>
      <c r="W1402" s="1">
        <v>44160</v>
      </c>
      <c r="AI1402" t="s">
        <v>40</v>
      </c>
      <c r="AJ1402" t="s">
        <v>40</v>
      </c>
    </row>
    <row r="1403" spans="1:37" x14ac:dyDescent="0.3">
      <c r="A1403">
        <v>2019</v>
      </c>
      <c r="B1403">
        <v>12</v>
      </c>
      <c r="C1403" t="str">
        <f t="shared" si="42"/>
        <v>12/01/2019</v>
      </c>
      <c r="D1403" s="1" t="str">
        <f t="shared" si="43"/>
        <v>12/01/2019</v>
      </c>
      <c r="E1403" t="s">
        <v>55</v>
      </c>
      <c r="F1403" t="s">
        <v>51</v>
      </c>
      <c r="G1403" t="s">
        <v>41</v>
      </c>
      <c r="H1403">
        <v>50</v>
      </c>
      <c r="I1403">
        <v>16</v>
      </c>
      <c r="J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S1403">
        <v>0</v>
      </c>
      <c r="U1403">
        <v>0</v>
      </c>
      <c r="V1403">
        <v>0</v>
      </c>
      <c r="W1403" s="1">
        <v>44160</v>
      </c>
      <c r="AB1403" t="s">
        <v>40</v>
      </c>
      <c r="AC1403" t="s">
        <v>40</v>
      </c>
      <c r="AI1403" t="s">
        <v>40</v>
      </c>
      <c r="AK1403" t="s">
        <v>40</v>
      </c>
    </row>
    <row r="1404" spans="1:37" x14ac:dyDescent="0.3">
      <c r="A1404">
        <v>2019</v>
      </c>
      <c r="B1404">
        <v>12</v>
      </c>
      <c r="C1404" t="str">
        <f t="shared" si="42"/>
        <v>12/01/2019</v>
      </c>
      <c r="D1404" s="1" t="str">
        <f t="shared" si="43"/>
        <v>12/01/2019</v>
      </c>
      <c r="E1404" t="s">
        <v>55</v>
      </c>
      <c r="F1404" t="s">
        <v>51</v>
      </c>
      <c r="G1404" t="s">
        <v>42</v>
      </c>
      <c r="H1404">
        <v>69</v>
      </c>
      <c r="I1404">
        <v>23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U1404">
        <v>0</v>
      </c>
      <c r="V1404">
        <v>0</v>
      </c>
      <c r="W1404" s="1">
        <v>44160</v>
      </c>
      <c r="AA1404" t="s">
        <v>40</v>
      </c>
      <c r="AB1404" t="s">
        <v>40</v>
      </c>
      <c r="AI1404" t="s">
        <v>40</v>
      </c>
      <c r="AJ1404" t="s">
        <v>40</v>
      </c>
      <c r="AK1404" t="s">
        <v>40</v>
      </c>
    </row>
    <row r="1405" spans="1:37" x14ac:dyDescent="0.3">
      <c r="A1405">
        <v>2019</v>
      </c>
      <c r="B1405">
        <v>12</v>
      </c>
      <c r="C1405" t="str">
        <f t="shared" si="42"/>
        <v>12/01/2019</v>
      </c>
      <c r="D1405" s="1" t="str">
        <f t="shared" si="43"/>
        <v>12/01/2019</v>
      </c>
      <c r="E1405" t="s">
        <v>55</v>
      </c>
      <c r="F1405" t="s">
        <v>51</v>
      </c>
      <c r="G1405" t="s">
        <v>43</v>
      </c>
      <c r="H1405">
        <v>107</v>
      </c>
      <c r="I1405">
        <v>68</v>
      </c>
      <c r="J1405">
        <v>0</v>
      </c>
      <c r="K1405">
        <v>14</v>
      </c>
      <c r="M1405">
        <v>0</v>
      </c>
      <c r="N1405">
        <v>0</v>
      </c>
      <c r="O1405">
        <v>0</v>
      </c>
      <c r="P1405">
        <v>0</v>
      </c>
      <c r="S1405">
        <v>20</v>
      </c>
      <c r="U1405">
        <v>0</v>
      </c>
      <c r="V1405">
        <v>0</v>
      </c>
      <c r="W1405" s="1">
        <v>44160</v>
      </c>
      <c r="AC1405" t="s">
        <v>40</v>
      </c>
      <c r="AH1405" t="s">
        <v>40</v>
      </c>
      <c r="AI1405" t="s">
        <v>40</v>
      </c>
      <c r="AK1405" t="s">
        <v>40</v>
      </c>
    </row>
    <row r="1406" spans="1:37" x14ac:dyDescent="0.3">
      <c r="A1406">
        <v>2019</v>
      </c>
      <c r="B1406">
        <v>12</v>
      </c>
      <c r="C1406" t="str">
        <f t="shared" si="42"/>
        <v>12/01/2019</v>
      </c>
      <c r="D1406" s="1" t="str">
        <f t="shared" si="43"/>
        <v>12/01/2019</v>
      </c>
      <c r="E1406" t="s">
        <v>55</v>
      </c>
      <c r="F1406" t="s">
        <v>51</v>
      </c>
      <c r="G1406" t="s">
        <v>44</v>
      </c>
      <c r="H1406">
        <v>232</v>
      </c>
      <c r="I1406">
        <v>197</v>
      </c>
      <c r="K1406">
        <v>60</v>
      </c>
      <c r="L1406">
        <v>10</v>
      </c>
      <c r="M1406">
        <v>0</v>
      </c>
      <c r="O1406">
        <v>0</v>
      </c>
      <c r="S1406">
        <v>65</v>
      </c>
      <c r="U1406">
        <v>0</v>
      </c>
      <c r="V1406">
        <v>0</v>
      </c>
      <c r="W1406" s="1">
        <v>44160</v>
      </c>
      <c r="AA1406" t="s">
        <v>40</v>
      </c>
      <c r="AE1406" t="s">
        <v>40</v>
      </c>
      <c r="AG1406" t="s">
        <v>40</v>
      </c>
      <c r="AH1406" t="s">
        <v>40</v>
      </c>
      <c r="AI1406" t="s">
        <v>40</v>
      </c>
      <c r="AK1406" t="s">
        <v>40</v>
      </c>
    </row>
    <row r="1407" spans="1:37" x14ac:dyDescent="0.3">
      <c r="A1407">
        <v>2019</v>
      </c>
      <c r="B1407">
        <v>12</v>
      </c>
      <c r="C1407" t="str">
        <f t="shared" si="42"/>
        <v>12/01/2019</v>
      </c>
      <c r="D1407" s="1" t="str">
        <f t="shared" si="43"/>
        <v>12/01/2019</v>
      </c>
      <c r="E1407" t="s">
        <v>55</v>
      </c>
      <c r="F1407" t="s">
        <v>51</v>
      </c>
      <c r="G1407" t="s">
        <v>45</v>
      </c>
      <c r="H1407">
        <v>14</v>
      </c>
      <c r="J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U1407">
        <v>0</v>
      </c>
      <c r="V1407">
        <v>0</v>
      </c>
      <c r="W1407" s="1">
        <v>44160</v>
      </c>
      <c r="Z1407" t="s">
        <v>40</v>
      </c>
      <c r="AB1407" t="s">
        <v>40</v>
      </c>
      <c r="AK1407" t="s">
        <v>40</v>
      </c>
    </row>
    <row r="1408" spans="1:37" x14ac:dyDescent="0.3">
      <c r="A1408">
        <v>2019</v>
      </c>
      <c r="B1408">
        <v>12</v>
      </c>
      <c r="C1408" t="str">
        <f t="shared" si="42"/>
        <v>12/01/2019</v>
      </c>
      <c r="D1408" s="1" t="str">
        <f t="shared" si="43"/>
        <v>12/01/2019</v>
      </c>
      <c r="E1408" t="s">
        <v>55</v>
      </c>
      <c r="F1408" t="s">
        <v>51</v>
      </c>
      <c r="G1408" t="s">
        <v>46</v>
      </c>
      <c r="H1408">
        <v>474</v>
      </c>
      <c r="I1408">
        <v>436</v>
      </c>
      <c r="K1408">
        <v>153</v>
      </c>
      <c r="L1408">
        <v>30</v>
      </c>
      <c r="S1408">
        <v>111</v>
      </c>
      <c r="T1408">
        <v>28</v>
      </c>
      <c r="U1408">
        <v>0</v>
      </c>
      <c r="V1408">
        <v>0</v>
      </c>
      <c r="W1408" s="1">
        <v>44160</v>
      </c>
      <c r="AA1408" t="s">
        <v>40</v>
      </c>
      <c r="AD1408" t="s">
        <v>40</v>
      </c>
      <c r="AE1408" t="s">
        <v>40</v>
      </c>
      <c r="AF1408" t="s">
        <v>40</v>
      </c>
      <c r="AG1408" t="s">
        <v>40</v>
      </c>
      <c r="AH1408" t="s">
        <v>40</v>
      </c>
      <c r="AI1408" t="s">
        <v>40</v>
      </c>
    </row>
    <row r="1409" spans="1:37" x14ac:dyDescent="0.3">
      <c r="A1409">
        <v>2019</v>
      </c>
      <c r="B1409">
        <v>12</v>
      </c>
      <c r="C1409" t="str">
        <f t="shared" si="42"/>
        <v>12/01/2019</v>
      </c>
      <c r="D1409" s="1" t="str">
        <f t="shared" si="43"/>
        <v>12/01/2019</v>
      </c>
      <c r="E1409" t="s">
        <v>55</v>
      </c>
      <c r="F1409" t="s">
        <v>51</v>
      </c>
      <c r="G1409" t="s">
        <v>47</v>
      </c>
      <c r="H1409">
        <v>594</v>
      </c>
      <c r="I1409">
        <v>568</v>
      </c>
      <c r="K1409">
        <v>189</v>
      </c>
      <c r="L1409">
        <v>43</v>
      </c>
      <c r="N1409">
        <v>16</v>
      </c>
      <c r="O1409">
        <v>15</v>
      </c>
      <c r="Q1409">
        <v>11</v>
      </c>
      <c r="S1409">
        <v>132</v>
      </c>
      <c r="T1409">
        <v>38</v>
      </c>
      <c r="U1409">
        <v>0</v>
      </c>
      <c r="V1409">
        <v>0</v>
      </c>
      <c r="W1409" s="1">
        <v>44160</v>
      </c>
      <c r="AA1409" t="s">
        <v>40</v>
      </c>
      <c r="AD1409" t="s">
        <v>40</v>
      </c>
      <c r="AG1409" t="s">
        <v>40</v>
      </c>
      <c r="AI1409" t="s">
        <v>40</v>
      </c>
    </row>
    <row r="1410" spans="1:37" x14ac:dyDescent="0.3">
      <c r="A1410">
        <v>2019</v>
      </c>
      <c r="B1410">
        <v>12</v>
      </c>
      <c r="C1410" t="str">
        <f t="shared" si="42"/>
        <v>12/01/2019</v>
      </c>
      <c r="D1410" s="1" t="str">
        <f t="shared" si="43"/>
        <v>12/01/2019</v>
      </c>
      <c r="E1410" t="s">
        <v>55</v>
      </c>
      <c r="F1410" t="s">
        <v>51</v>
      </c>
      <c r="G1410" t="s">
        <v>48</v>
      </c>
      <c r="H1410">
        <v>809</v>
      </c>
      <c r="I1410">
        <v>776</v>
      </c>
      <c r="J1410">
        <v>10</v>
      </c>
      <c r="K1410">
        <v>195</v>
      </c>
      <c r="L1410">
        <v>29</v>
      </c>
      <c r="M1410">
        <v>24</v>
      </c>
      <c r="N1410">
        <v>18</v>
      </c>
      <c r="O1410">
        <v>40</v>
      </c>
      <c r="P1410">
        <v>20</v>
      </c>
      <c r="Q1410">
        <v>17</v>
      </c>
      <c r="S1410">
        <v>195</v>
      </c>
      <c r="T1410">
        <v>65</v>
      </c>
      <c r="U1410">
        <v>0</v>
      </c>
      <c r="V1410">
        <v>0</v>
      </c>
      <c r="W1410" s="1">
        <v>44160</v>
      </c>
      <c r="AI1410" t="s">
        <v>40</v>
      </c>
    </row>
    <row r="1411" spans="1:37" x14ac:dyDescent="0.3">
      <c r="A1411">
        <v>2019</v>
      </c>
      <c r="B1411">
        <v>12</v>
      </c>
      <c r="C1411" t="str">
        <f t="shared" ref="C1411:C1474" si="44">CONCATENATE(B1411,"/01/",A1411)</f>
        <v>12/01/2019</v>
      </c>
      <c r="D1411" s="1" t="str">
        <f t="shared" ref="D1411:D1474" si="45">C1411</f>
        <v>12/01/2019</v>
      </c>
      <c r="E1411" t="s">
        <v>55</v>
      </c>
      <c r="F1411" t="s">
        <v>51</v>
      </c>
      <c r="G1411" t="s">
        <v>49</v>
      </c>
      <c r="H1411">
        <v>888</v>
      </c>
      <c r="I1411">
        <v>862</v>
      </c>
      <c r="K1411">
        <v>139</v>
      </c>
      <c r="L1411">
        <v>40</v>
      </c>
      <c r="M1411">
        <v>57</v>
      </c>
      <c r="N1411">
        <v>41</v>
      </c>
      <c r="O1411">
        <v>37</v>
      </c>
      <c r="P1411">
        <v>23</v>
      </c>
      <c r="Q1411">
        <v>12</v>
      </c>
      <c r="S1411">
        <v>234</v>
      </c>
      <c r="T1411">
        <v>62</v>
      </c>
      <c r="U1411">
        <v>0</v>
      </c>
      <c r="V1411">
        <v>0</v>
      </c>
      <c r="W1411" s="1">
        <v>44160</v>
      </c>
      <c r="AA1411" t="s">
        <v>40</v>
      </c>
      <c r="AI1411" t="s">
        <v>40</v>
      </c>
    </row>
    <row r="1412" spans="1:37" x14ac:dyDescent="0.3">
      <c r="A1412">
        <v>2019</v>
      </c>
      <c r="B1412">
        <v>12</v>
      </c>
      <c r="C1412" t="str">
        <f t="shared" si="44"/>
        <v>12/01/2019</v>
      </c>
      <c r="D1412" s="1" t="str">
        <f t="shared" si="45"/>
        <v>12/01/2019</v>
      </c>
      <c r="E1412" t="s">
        <v>55</v>
      </c>
      <c r="F1412" t="s">
        <v>52</v>
      </c>
      <c r="G1412" t="s">
        <v>39</v>
      </c>
      <c r="H1412">
        <v>308</v>
      </c>
      <c r="I1412">
        <v>263</v>
      </c>
      <c r="K1412">
        <v>0</v>
      </c>
      <c r="L1412">
        <v>0</v>
      </c>
      <c r="M1412">
        <v>0</v>
      </c>
      <c r="N1412">
        <v>15</v>
      </c>
      <c r="O1412">
        <v>0</v>
      </c>
      <c r="Q1412">
        <v>0</v>
      </c>
      <c r="R1412">
        <v>50</v>
      </c>
      <c r="U1412">
        <v>0</v>
      </c>
      <c r="V1412">
        <v>0</v>
      </c>
      <c r="W1412" s="1">
        <v>44160</v>
      </c>
      <c r="AA1412" t="s">
        <v>40</v>
      </c>
      <c r="AG1412" t="s">
        <v>40</v>
      </c>
      <c r="AJ1412" t="s">
        <v>40</v>
      </c>
      <c r="AK1412" t="s">
        <v>40</v>
      </c>
    </row>
    <row r="1413" spans="1:37" x14ac:dyDescent="0.3">
      <c r="A1413">
        <v>2019</v>
      </c>
      <c r="B1413">
        <v>12</v>
      </c>
      <c r="C1413" t="str">
        <f t="shared" si="44"/>
        <v>12/01/2019</v>
      </c>
      <c r="D1413" s="1" t="str">
        <f t="shared" si="45"/>
        <v>12/01/2019</v>
      </c>
      <c r="E1413" t="s">
        <v>55</v>
      </c>
      <c r="F1413" t="s">
        <v>52</v>
      </c>
      <c r="G1413" t="s">
        <v>41</v>
      </c>
      <c r="H1413">
        <v>480</v>
      </c>
      <c r="I1413">
        <v>89</v>
      </c>
      <c r="J1413">
        <v>0</v>
      </c>
      <c r="K1413">
        <v>13</v>
      </c>
      <c r="L1413">
        <v>10</v>
      </c>
      <c r="M1413">
        <v>0</v>
      </c>
      <c r="Q1413">
        <v>0</v>
      </c>
      <c r="R1413">
        <v>12</v>
      </c>
      <c r="S1413">
        <v>12</v>
      </c>
      <c r="U1413">
        <v>0</v>
      </c>
      <c r="V1413">
        <v>0</v>
      </c>
      <c r="W1413" s="1">
        <v>44160</v>
      </c>
      <c r="AE1413" t="s">
        <v>40</v>
      </c>
      <c r="AF1413" t="s">
        <v>40</v>
      </c>
      <c r="AG1413" t="s">
        <v>40</v>
      </c>
      <c r="AK1413" t="s">
        <v>40</v>
      </c>
    </row>
    <row r="1414" spans="1:37" x14ac:dyDescent="0.3">
      <c r="A1414">
        <v>2019</v>
      </c>
      <c r="B1414">
        <v>12</v>
      </c>
      <c r="C1414" t="str">
        <f t="shared" si="44"/>
        <v>12/01/2019</v>
      </c>
      <c r="D1414" s="1" t="str">
        <f t="shared" si="45"/>
        <v>12/01/2019</v>
      </c>
      <c r="E1414" t="s">
        <v>55</v>
      </c>
      <c r="F1414" t="s">
        <v>52</v>
      </c>
      <c r="G1414" t="s">
        <v>42</v>
      </c>
      <c r="H1414">
        <v>840</v>
      </c>
      <c r="I1414">
        <v>278</v>
      </c>
      <c r="K1414">
        <v>22</v>
      </c>
      <c r="L1414">
        <v>14</v>
      </c>
      <c r="M1414">
        <v>0</v>
      </c>
      <c r="O1414">
        <v>12</v>
      </c>
      <c r="R1414">
        <v>23</v>
      </c>
      <c r="S1414">
        <v>69</v>
      </c>
      <c r="U1414">
        <v>0</v>
      </c>
      <c r="V1414">
        <v>0</v>
      </c>
      <c r="W1414" s="1">
        <v>44160</v>
      </c>
      <c r="AA1414" t="s">
        <v>40</v>
      </c>
      <c r="AE1414" t="s">
        <v>40</v>
      </c>
      <c r="AG1414" t="s">
        <v>40</v>
      </c>
      <c r="AH1414" t="s">
        <v>40</v>
      </c>
      <c r="AK1414" t="s">
        <v>40</v>
      </c>
    </row>
    <row r="1415" spans="1:37" x14ac:dyDescent="0.3">
      <c r="A1415">
        <v>2019</v>
      </c>
      <c r="B1415">
        <v>12</v>
      </c>
      <c r="C1415" t="str">
        <f t="shared" si="44"/>
        <v>12/01/2019</v>
      </c>
      <c r="D1415" s="1" t="str">
        <f t="shared" si="45"/>
        <v>12/01/2019</v>
      </c>
      <c r="E1415" t="s">
        <v>55</v>
      </c>
      <c r="F1415" t="s">
        <v>52</v>
      </c>
      <c r="G1415" t="s">
        <v>43</v>
      </c>
      <c r="H1415">
        <v>943</v>
      </c>
      <c r="I1415">
        <v>542</v>
      </c>
      <c r="K1415">
        <v>71</v>
      </c>
      <c r="L1415">
        <v>34</v>
      </c>
      <c r="M1415">
        <v>0</v>
      </c>
      <c r="N1415">
        <v>18</v>
      </c>
      <c r="Q1415">
        <v>14</v>
      </c>
      <c r="R1415">
        <v>21</v>
      </c>
      <c r="S1415">
        <v>164</v>
      </c>
      <c r="T1415">
        <v>25</v>
      </c>
      <c r="U1415">
        <v>0</v>
      </c>
      <c r="V1415">
        <v>0</v>
      </c>
      <c r="W1415" s="1">
        <v>44160</v>
      </c>
      <c r="AA1415" t="s">
        <v>40</v>
      </c>
      <c r="AF1415" t="s">
        <v>40</v>
      </c>
      <c r="AG1415" t="s">
        <v>40</v>
      </c>
    </row>
    <row r="1416" spans="1:37" x14ac:dyDescent="0.3">
      <c r="A1416">
        <v>2019</v>
      </c>
      <c r="B1416">
        <v>12</v>
      </c>
      <c r="C1416" t="str">
        <f t="shared" si="44"/>
        <v>12/01/2019</v>
      </c>
      <c r="D1416" s="1" t="str">
        <f t="shared" si="45"/>
        <v>12/01/2019</v>
      </c>
      <c r="E1416" t="s">
        <v>55</v>
      </c>
      <c r="F1416" t="s">
        <v>52</v>
      </c>
      <c r="G1416" t="s">
        <v>44</v>
      </c>
      <c r="H1416" s="2">
        <v>1624</v>
      </c>
      <c r="I1416" s="2">
        <v>1259</v>
      </c>
      <c r="J1416">
        <v>29</v>
      </c>
      <c r="K1416">
        <v>215</v>
      </c>
      <c r="L1416">
        <v>93</v>
      </c>
      <c r="M1416">
        <v>0</v>
      </c>
      <c r="N1416">
        <v>25</v>
      </c>
      <c r="O1416">
        <v>32</v>
      </c>
      <c r="P1416">
        <v>17</v>
      </c>
      <c r="Q1416">
        <v>43</v>
      </c>
      <c r="R1416">
        <v>27</v>
      </c>
      <c r="S1416">
        <v>421</v>
      </c>
      <c r="T1416">
        <v>69</v>
      </c>
      <c r="U1416">
        <v>0</v>
      </c>
      <c r="V1416">
        <v>0</v>
      </c>
      <c r="W1416" s="1">
        <v>44160</v>
      </c>
    </row>
    <row r="1417" spans="1:37" x14ac:dyDescent="0.3">
      <c r="A1417">
        <v>2019</v>
      </c>
      <c r="B1417">
        <v>12</v>
      </c>
      <c r="C1417" t="str">
        <f t="shared" si="44"/>
        <v>12/01/2019</v>
      </c>
      <c r="D1417" s="1" t="str">
        <f t="shared" si="45"/>
        <v>12/01/2019</v>
      </c>
      <c r="E1417" t="s">
        <v>55</v>
      </c>
      <c r="F1417" t="s">
        <v>52</v>
      </c>
      <c r="G1417" t="s">
        <v>45</v>
      </c>
      <c r="H1417">
        <v>65</v>
      </c>
      <c r="I1417">
        <v>38</v>
      </c>
      <c r="L1417">
        <v>0</v>
      </c>
      <c r="M1417">
        <v>0</v>
      </c>
      <c r="P1417">
        <v>0</v>
      </c>
      <c r="Q1417">
        <v>0</v>
      </c>
      <c r="U1417">
        <v>0</v>
      </c>
      <c r="V1417">
        <v>0</v>
      </c>
      <c r="W1417" s="1">
        <v>44160</v>
      </c>
      <c r="AA1417" t="s">
        <v>40</v>
      </c>
      <c r="AB1417" t="s">
        <v>40</v>
      </c>
      <c r="AE1417" t="s">
        <v>40</v>
      </c>
      <c r="AF1417" t="s">
        <v>40</v>
      </c>
      <c r="AI1417" t="s">
        <v>40</v>
      </c>
      <c r="AJ1417" t="s">
        <v>40</v>
      </c>
      <c r="AK1417" t="s">
        <v>40</v>
      </c>
    </row>
    <row r="1418" spans="1:37" x14ac:dyDescent="0.3">
      <c r="A1418">
        <v>2019</v>
      </c>
      <c r="B1418">
        <v>12</v>
      </c>
      <c r="C1418" t="str">
        <f t="shared" si="44"/>
        <v>12/01/2019</v>
      </c>
      <c r="D1418" s="1" t="str">
        <f t="shared" si="45"/>
        <v>12/01/2019</v>
      </c>
      <c r="E1418" t="s">
        <v>55</v>
      </c>
      <c r="F1418" t="s">
        <v>52</v>
      </c>
      <c r="G1418" t="s">
        <v>46</v>
      </c>
      <c r="H1418" s="2">
        <v>3410</v>
      </c>
      <c r="I1418" s="2">
        <v>3028</v>
      </c>
      <c r="J1418">
        <v>48</v>
      </c>
      <c r="K1418">
        <v>728</v>
      </c>
      <c r="L1418">
        <v>155</v>
      </c>
      <c r="N1418">
        <v>48</v>
      </c>
      <c r="O1418">
        <v>115</v>
      </c>
      <c r="P1418">
        <v>38</v>
      </c>
      <c r="Q1418">
        <v>99</v>
      </c>
      <c r="R1418">
        <v>48</v>
      </c>
      <c r="S1418">
        <v>953</v>
      </c>
      <c r="T1418">
        <v>153</v>
      </c>
      <c r="U1418">
        <v>0</v>
      </c>
      <c r="V1418">
        <v>0</v>
      </c>
      <c r="W1418" s="1">
        <v>44160</v>
      </c>
      <c r="AD1418" t="s">
        <v>40</v>
      </c>
    </row>
    <row r="1419" spans="1:37" x14ac:dyDescent="0.3">
      <c r="A1419">
        <v>2019</v>
      </c>
      <c r="B1419">
        <v>12</v>
      </c>
      <c r="C1419" t="str">
        <f t="shared" si="44"/>
        <v>12/01/2019</v>
      </c>
      <c r="D1419" s="1" t="str">
        <f t="shared" si="45"/>
        <v>12/01/2019</v>
      </c>
      <c r="E1419" t="s">
        <v>55</v>
      </c>
      <c r="F1419" t="s">
        <v>52</v>
      </c>
      <c r="G1419" t="s">
        <v>47</v>
      </c>
      <c r="H1419" s="2">
        <v>3789</v>
      </c>
      <c r="I1419" s="2">
        <v>3601</v>
      </c>
      <c r="J1419">
        <v>67</v>
      </c>
      <c r="K1419">
        <v>956</v>
      </c>
      <c r="L1419">
        <v>207</v>
      </c>
      <c r="M1419">
        <v>40</v>
      </c>
      <c r="N1419">
        <v>63</v>
      </c>
      <c r="O1419">
        <v>167</v>
      </c>
      <c r="P1419">
        <v>47</v>
      </c>
      <c r="Q1419">
        <v>118</v>
      </c>
      <c r="R1419">
        <v>40</v>
      </c>
      <c r="S1419" s="2">
        <v>1029</v>
      </c>
      <c r="T1419">
        <v>225</v>
      </c>
      <c r="U1419">
        <v>0</v>
      </c>
      <c r="V1419">
        <v>0</v>
      </c>
      <c r="W1419" s="1">
        <v>44160</v>
      </c>
    </row>
    <row r="1420" spans="1:37" x14ac:dyDescent="0.3">
      <c r="A1420">
        <v>2019</v>
      </c>
      <c r="B1420">
        <v>12</v>
      </c>
      <c r="C1420" t="str">
        <f t="shared" si="44"/>
        <v>12/01/2019</v>
      </c>
      <c r="D1420" s="1" t="str">
        <f t="shared" si="45"/>
        <v>12/01/2019</v>
      </c>
      <c r="E1420" t="s">
        <v>55</v>
      </c>
      <c r="F1420" t="s">
        <v>52</v>
      </c>
      <c r="G1420" t="s">
        <v>48</v>
      </c>
      <c r="H1420" s="2">
        <v>2939</v>
      </c>
      <c r="I1420" s="2">
        <v>2856</v>
      </c>
      <c r="J1420">
        <v>55</v>
      </c>
      <c r="K1420">
        <v>675</v>
      </c>
      <c r="L1420">
        <v>144</v>
      </c>
      <c r="M1420">
        <v>98</v>
      </c>
      <c r="N1420">
        <v>53</v>
      </c>
      <c r="O1420">
        <v>143</v>
      </c>
      <c r="P1420">
        <v>36</v>
      </c>
      <c r="Q1420">
        <v>107</v>
      </c>
      <c r="R1420">
        <v>26</v>
      </c>
      <c r="S1420">
        <v>768</v>
      </c>
      <c r="T1420">
        <v>207</v>
      </c>
      <c r="U1420">
        <v>0</v>
      </c>
      <c r="V1420">
        <v>0</v>
      </c>
      <c r="W1420" s="1">
        <v>44160</v>
      </c>
    </row>
    <row r="1421" spans="1:37" x14ac:dyDescent="0.3">
      <c r="A1421">
        <v>2019</v>
      </c>
      <c r="B1421">
        <v>12</v>
      </c>
      <c r="C1421" t="str">
        <f t="shared" si="44"/>
        <v>12/01/2019</v>
      </c>
      <c r="D1421" s="1" t="str">
        <f t="shared" si="45"/>
        <v>12/01/2019</v>
      </c>
      <c r="E1421" t="s">
        <v>55</v>
      </c>
      <c r="F1421" t="s">
        <v>52</v>
      </c>
      <c r="G1421" t="s">
        <v>49</v>
      </c>
      <c r="H1421" s="2">
        <v>1908</v>
      </c>
      <c r="I1421" s="2">
        <v>1859</v>
      </c>
      <c r="J1421">
        <v>30</v>
      </c>
      <c r="K1421">
        <v>288</v>
      </c>
      <c r="L1421">
        <v>65</v>
      </c>
      <c r="M1421">
        <v>100</v>
      </c>
      <c r="N1421">
        <v>37</v>
      </c>
      <c r="O1421">
        <v>76</v>
      </c>
      <c r="P1421">
        <v>24</v>
      </c>
      <c r="Q1421">
        <v>72</v>
      </c>
      <c r="R1421">
        <v>15</v>
      </c>
      <c r="S1421">
        <v>533</v>
      </c>
      <c r="T1421">
        <v>143</v>
      </c>
      <c r="U1421">
        <v>0</v>
      </c>
      <c r="V1421">
        <v>0</v>
      </c>
      <c r="W1421" s="1">
        <v>44160</v>
      </c>
    </row>
    <row r="1422" spans="1:37" x14ac:dyDescent="0.3">
      <c r="A1422">
        <v>2019</v>
      </c>
      <c r="B1422">
        <v>12</v>
      </c>
      <c r="C1422" t="str">
        <f t="shared" si="44"/>
        <v>12/01/2019</v>
      </c>
      <c r="D1422" s="1" t="str">
        <f t="shared" si="45"/>
        <v>12/01/2019</v>
      </c>
      <c r="E1422" t="s">
        <v>55</v>
      </c>
      <c r="F1422" t="s">
        <v>53</v>
      </c>
      <c r="G1422" t="s">
        <v>39</v>
      </c>
      <c r="H1422">
        <v>489</v>
      </c>
      <c r="I1422">
        <v>422</v>
      </c>
      <c r="J1422">
        <v>0</v>
      </c>
      <c r="L1422">
        <v>0</v>
      </c>
      <c r="M1422">
        <v>0</v>
      </c>
      <c r="O1422">
        <v>0</v>
      </c>
      <c r="Q1422">
        <v>0</v>
      </c>
      <c r="R1422">
        <v>63</v>
      </c>
      <c r="U1422">
        <v>0</v>
      </c>
      <c r="V1422">
        <v>0</v>
      </c>
      <c r="W1422" s="1">
        <v>44160</v>
      </c>
      <c r="AB1422" t="s">
        <v>40</v>
      </c>
      <c r="AE1422" t="s">
        <v>40</v>
      </c>
      <c r="AG1422" t="s">
        <v>40</v>
      </c>
      <c r="AJ1422" t="s">
        <v>40</v>
      </c>
      <c r="AK1422" t="s">
        <v>40</v>
      </c>
    </row>
    <row r="1423" spans="1:37" x14ac:dyDescent="0.3">
      <c r="A1423">
        <v>2019</v>
      </c>
      <c r="B1423">
        <v>12</v>
      </c>
      <c r="C1423" t="str">
        <f t="shared" si="44"/>
        <v>12/01/2019</v>
      </c>
      <c r="D1423" s="1" t="str">
        <f t="shared" si="45"/>
        <v>12/01/2019</v>
      </c>
      <c r="E1423" t="s">
        <v>55</v>
      </c>
      <c r="F1423" t="s">
        <v>53</v>
      </c>
      <c r="G1423" t="s">
        <v>41</v>
      </c>
      <c r="H1423">
        <v>872</v>
      </c>
      <c r="I1423">
        <v>158</v>
      </c>
      <c r="K1423">
        <v>34</v>
      </c>
      <c r="M1423">
        <v>0</v>
      </c>
      <c r="Q1423">
        <v>0</v>
      </c>
      <c r="R1423">
        <v>12</v>
      </c>
      <c r="S1423">
        <v>19</v>
      </c>
      <c r="U1423">
        <v>0</v>
      </c>
      <c r="V1423">
        <v>0</v>
      </c>
      <c r="W1423" s="1">
        <v>44160</v>
      </c>
      <c r="AA1423" t="s">
        <v>40</v>
      </c>
      <c r="AC1423" t="s">
        <v>40</v>
      </c>
      <c r="AE1423" t="s">
        <v>40</v>
      </c>
      <c r="AF1423" t="s">
        <v>40</v>
      </c>
      <c r="AG1423" t="s">
        <v>40</v>
      </c>
      <c r="AK1423" t="s">
        <v>40</v>
      </c>
    </row>
    <row r="1424" spans="1:37" x14ac:dyDescent="0.3">
      <c r="A1424">
        <v>2019</v>
      </c>
      <c r="B1424">
        <v>12</v>
      </c>
      <c r="C1424" t="str">
        <f t="shared" si="44"/>
        <v>12/01/2019</v>
      </c>
      <c r="D1424" s="1" t="str">
        <f t="shared" si="45"/>
        <v>12/01/2019</v>
      </c>
      <c r="E1424" t="s">
        <v>55</v>
      </c>
      <c r="F1424" t="s">
        <v>53</v>
      </c>
      <c r="G1424" t="s">
        <v>42</v>
      </c>
      <c r="H1424" s="2">
        <v>1961</v>
      </c>
      <c r="I1424">
        <v>542</v>
      </c>
      <c r="J1424">
        <v>10</v>
      </c>
      <c r="K1424">
        <v>72</v>
      </c>
      <c r="L1424">
        <v>24</v>
      </c>
      <c r="M1424">
        <v>0</v>
      </c>
      <c r="N1424">
        <v>11</v>
      </c>
      <c r="R1424">
        <v>56</v>
      </c>
      <c r="S1424">
        <v>104</v>
      </c>
      <c r="T1424">
        <v>17</v>
      </c>
      <c r="U1424">
        <v>0</v>
      </c>
      <c r="V1424">
        <v>0</v>
      </c>
      <c r="W1424" s="1">
        <v>44160</v>
      </c>
      <c r="AF1424" t="s">
        <v>40</v>
      </c>
      <c r="AG1424" t="s">
        <v>40</v>
      </c>
      <c r="AH1424" t="s">
        <v>40</v>
      </c>
    </row>
    <row r="1425" spans="1:37" x14ac:dyDescent="0.3">
      <c r="A1425">
        <v>2019</v>
      </c>
      <c r="B1425">
        <v>12</v>
      </c>
      <c r="C1425" t="str">
        <f t="shared" si="44"/>
        <v>12/01/2019</v>
      </c>
      <c r="D1425" s="1" t="str">
        <f t="shared" si="45"/>
        <v>12/01/2019</v>
      </c>
      <c r="E1425" t="s">
        <v>55</v>
      </c>
      <c r="F1425" t="s">
        <v>53</v>
      </c>
      <c r="G1425" t="s">
        <v>43</v>
      </c>
      <c r="H1425" s="2">
        <v>2787</v>
      </c>
      <c r="I1425" s="2">
        <v>1339</v>
      </c>
      <c r="J1425">
        <v>22</v>
      </c>
      <c r="K1425">
        <v>217</v>
      </c>
      <c r="L1425">
        <v>74</v>
      </c>
      <c r="N1425">
        <v>32</v>
      </c>
      <c r="O1425">
        <v>18</v>
      </c>
      <c r="P1425">
        <v>11</v>
      </c>
      <c r="Q1425">
        <v>21</v>
      </c>
      <c r="R1425">
        <v>73</v>
      </c>
      <c r="S1425">
        <v>363</v>
      </c>
      <c r="T1425">
        <v>44</v>
      </c>
      <c r="U1425">
        <v>0</v>
      </c>
      <c r="V1425">
        <v>0</v>
      </c>
      <c r="W1425" s="1">
        <v>44160</v>
      </c>
      <c r="AD1425" t="s">
        <v>40</v>
      </c>
    </row>
    <row r="1426" spans="1:37" x14ac:dyDescent="0.3">
      <c r="A1426">
        <v>2019</v>
      </c>
      <c r="B1426">
        <v>12</v>
      </c>
      <c r="C1426" t="str">
        <f t="shared" si="44"/>
        <v>12/01/2019</v>
      </c>
      <c r="D1426" s="1" t="str">
        <f t="shared" si="45"/>
        <v>12/01/2019</v>
      </c>
      <c r="E1426" t="s">
        <v>55</v>
      </c>
      <c r="F1426" t="s">
        <v>53</v>
      </c>
      <c r="G1426" t="s">
        <v>44</v>
      </c>
      <c r="H1426" s="2">
        <v>5368</v>
      </c>
      <c r="I1426" s="2">
        <v>4014</v>
      </c>
      <c r="J1426">
        <v>61</v>
      </c>
      <c r="K1426">
        <v>928</v>
      </c>
      <c r="L1426">
        <v>206</v>
      </c>
      <c r="N1426">
        <v>63</v>
      </c>
      <c r="O1426">
        <v>105</v>
      </c>
      <c r="P1426">
        <v>46</v>
      </c>
      <c r="Q1426">
        <v>49</v>
      </c>
      <c r="R1426">
        <v>56</v>
      </c>
      <c r="S1426" s="2">
        <v>1222</v>
      </c>
      <c r="T1426">
        <v>115</v>
      </c>
      <c r="U1426">
        <v>0</v>
      </c>
      <c r="V1426">
        <v>0</v>
      </c>
      <c r="W1426" s="1">
        <v>44160</v>
      </c>
      <c r="AD1426" t="s">
        <v>40</v>
      </c>
    </row>
    <row r="1427" spans="1:37" x14ac:dyDescent="0.3">
      <c r="A1427">
        <v>2019</v>
      </c>
      <c r="B1427">
        <v>12</v>
      </c>
      <c r="C1427" t="str">
        <f t="shared" si="44"/>
        <v>12/01/2019</v>
      </c>
      <c r="D1427" s="1" t="str">
        <f t="shared" si="45"/>
        <v>12/01/2019</v>
      </c>
      <c r="E1427" t="s">
        <v>55</v>
      </c>
      <c r="F1427" t="s">
        <v>53</v>
      </c>
      <c r="G1427" t="s">
        <v>45</v>
      </c>
      <c r="H1427">
        <v>146</v>
      </c>
      <c r="I1427">
        <v>81</v>
      </c>
      <c r="K1427">
        <v>21</v>
      </c>
      <c r="L1427">
        <v>0</v>
      </c>
      <c r="M1427">
        <v>0</v>
      </c>
      <c r="Q1427">
        <v>0</v>
      </c>
      <c r="U1427">
        <v>0</v>
      </c>
      <c r="V1427">
        <v>0</v>
      </c>
      <c r="W1427" s="1">
        <v>44160</v>
      </c>
      <c r="AA1427" t="s">
        <v>40</v>
      </c>
      <c r="AE1427" t="s">
        <v>40</v>
      </c>
      <c r="AF1427" t="s">
        <v>40</v>
      </c>
      <c r="AG1427" t="s">
        <v>40</v>
      </c>
      <c r="AI1427" t="s">
        <v>40</v>
      </c>
      <c r="AJ1427" t="s">
        <v>40</v>
      </c>
      <c r="AK1427" t="s">
        <v>40</v>
      </c>
    </row>
    <row r="1428" spans="1:37" x14ac:dyDescent="0.3">
      <c r="A1428">
        <v>2019</v>
      </c>
      <c r="B1428">
        <v>12</v>
      </c>
      <c r="C1428" t="str">
        <f t="shared" si="44"/>
        <v>12/01/2019</v>
      </c>
      <c r="D1428" s="1" t="str">
        <f t="shared" si="45"/>
        <v>12/01/2019</v>
      </c>
      <c r="E1428" t="s">
        <v>55</v>
      </c>
      <c r="F1428" t="s">
        <v>53</v>
      </c>
      <c r="G1428" t="s">
        <v>46</v>
      </c>
      <c r="H1428" s="2">
        <v>14085</v>
      </c>
      <c r="I1428" s="2">
        <v>12558</v>
      </c>
      <c r="J1428">
        <v>190</v>
      </c>
      <c r="K1428" s="2">
        <v>3695</v>
      </c>
      <c r="L1428">
        <v>580</v>
      </c>
      <c r="M1428">
        <v>32</v>
      </c>
      <c r="N1428">
        <v>212</v>
      </c>
      <c r="O1428">
        <v>678</v>
      </c>
      <c r="P1428">
        <v>150</v>
      </c>
      <c r="Q1428">
        <v>180</v>
      </c>
      <c r="R1428">
        <v>115</v>
      </c>
      <c r="S1428" s="2">
        <v>3488</v>
      </c>
      <c r="T1428">
        <v>442</v>
      </c>
      <c r="U1428">
        <v>0</v>
      </c>
      <c r="V1428">
        <v>0</v>
      </c>
      <c r="W1428" s="1">
        <v>44160</v>
      </c>
    </row>
    <row r="1429" spans="1:37" x14ac:dyDescent="0.3">
      <c r="A1429">
        <v>2019</v>
      </c>
      <c r="B1429">
        <v>12</v>
      </c>
      <c r="C1429" t="str">
        <f t="shared" si="44"/>
        <v>12/01/2019</v>
      </c>
      <c r="D1429" s="1" t="str">
        <f t="shared" si="45"/>
        <v>12/01/2019</v>
      </c>
      <c r="E1429" t="s">
        <v>55</v>
      </c>
      <c r="F1429" t="s">
        <v>53</v>
      </c>
      <c r="G1429" t="s">
        <v>47</v>
      </c>
      <c r="H1429" s="2">
        <v>21451</v>
      </c>
      <c r="I1429" s="2">
        <v>20343</v>
      </c>
      <c r="J1429">
        <v>321</v>
      </c>
      <c r="K1429" s="2">
        <v>6231</v>
      </c>
      <c r="L1429">
        <v>875</v>
      </c>
      <c r="M1429">
        <v>246</v>
      </c>
      <c r="N1429">
        <v>342</v>
      </c>
      <c r="O1429" s="2">
        <v>1599</v>
      </c>
      <c r="P1429">
        <v>361</v>
      </c>
      <c r="Q1429">
        <v>336</v>
      </c>
      <c r="R1429">
        <v>168</v>
      </c>
      <c r="S1429" s="2">
        <v>5268</v>
      </c>
      <c r="T1429">
        <v>741</v>
      </c>
      <c r="U1429">
        <v>0</v>
      </c>
      <c r="V1429">
        <v>0</v>
      </c>
      <c r="W1429" s="1">
        <v>44160</v>
      </c>
    </row>
    <row r="1430" spans="1:37" x14ac:dyDescent="0.3">
      <c r="A1430">
        <v>2019</v>
      </c>
      <c r="B1430">
        <v>12</v>
      </c>
      <c r="C1430" t="str">
        <f t="shared" si="44"/>
        <v>12/01/2019</v>
      </c>
      <c r="D1430" s="1" t="str">
        <f t="shared" si="45"/>
        <v>12/01/2019</v>
      </c>
      <c r="E1430" t="s">
        <v>55</v>
      </c>
      <c r="F1430" t="s">
        <v>53</v>
      </c>
      <c r="G1430" t="s">
        <v>48</v>
      </c>
      <c r="H1430" s="2">
        <v>25909</v>
      </c>
      <c r="I1430" s="2">
        <v>24901</v>
      </c>
      <c r="J1430">
        <v>377</v>
      </c>
      <c r="K1430" s="2">
        <v>5913</v>
      </c>
      <c r="L1430">
        <v>816</v>
      </c>
      <c r="M1430" s="2">
        <v>1016</v>
      </c>
      <c r="N1430">
        <v>464</v>
      </c>
      <c r="O1430" s="2">
        <v>1910</v>
      </c>
      <c r="P1430">
        <v>566</v>
      </c>
      <c r="Q1430">
        <v>517</v>
      </c>
      <c r="R1430">
        <v>199</v>
      </c>
      <c r="S1430" s="2">
        <v>6519</v>
      </c>
      <c r="T1430" s="2">
        <v>1340</v>
      </c>
      <c r="U1430">
        <v>0</v>
      </c>
      <c r="V1430">
        <v>0</v>
      </c>
      <c r="W1430" s="1">
        <v>44160</v>
      </c>
    </row>
    <row r="1431" spans="1:37" x14ac:dyDescent="0.3">
      <c r="A1431">
        <v>2019</v>
      </c>
      <c r="B1431">
        <v>12</v>
      </c>
      <c r="C1431" t="str">
        <f t="shared" si="44"/>
        <v>12/01/2019</v>
      </c>
      <c r="D1431" s="1" t="str">
        <f t="shared" si="45"/>
        <v>12/01/2019</v>
      </c>
      <c r="E1431" t="s">
        <v>55</v>
      </c>
      <c r="F1431" t="s">
        <v>53</v>
      </c>
      <c r="G1431" t="s">
        <v>49</v>
      </c>
      <c r="H1431" s="2">
        <v>25792</v>
      </c>
      <c r="I1431" s="2">
        <v>24835</v>
      </c>
      <c r="J1431">
        <v>318</v>
      </c>
      <c r="K1431" s="2">
        <v>3680</v>
      </c>
      <c r="L1431">
        <v>549</v>
      </c>
      <c r="M1431" s="2">
        <v>1619</v>
      </c>
      <c r="N1431">
        <v>595</v>
      </c>
      <c r="O1431" s="2">
        <v>1392</v>
      </c>
      <c r="P1431">
        <v>435</v>
      </c>
      <c r="Q1431">
        <v>501</v>
      </c>
      <c r="R1431">
        <v>308</v>
      </c>
      <c r="S1431" s="2">
        <v>7883</v>
      </c>
      <c r="T1431" s="2">
        <v>1496</v>
      </c>
      <c r="U1431">
        <v>0</v>
      </c>
      <c r="V1431">
        <v>0</v>
      </c>
      <c r="W1431" s="1">
        <v>44160</v>
      </c>
    </row>
    <row r="1432" spans="1:37" x14ac:dyDescent="0.3">
      <c r="A1432">
        <v>2019</v>
      </c>
      <c r="B1432">
        <v>12</v>
      </c>
      <c r="C1432" t="str">
        <f t="shared" si="44"/>
        <v>12/01/2019</v>
      </c>
      <c r="D1432" s="1" t="str">
        <f t="shared" si="45"/>
        <v>12/01/2019</v>
      </c>
      <c r="E1432" t="s">
        <v>55</v>
      </c>
      <c r="F1432" t="s">
        <v>54</v>
      </c>
      <c r="G1432" t="s">
        <v>39</v>
      </c>
      <c r="H1432">
        <v>57</v>
      </c>
      <c r="I1432">
        <v>45</v>
      </c>
      <c r="K1432">
        <v>0</v>
      </c>
      <c r="L1432">
        <v>0</v>
      </c>
      <c r="M1432">
        <v>0</v>
      </c>
      <c r="O1432">
        <v>0</v>
      </c>
      <c r="Q1432">
        <v>0</v>
      </c>
      <c r="R1432">
        <v>10</v>
      </c>
      <c r="S1432">
        <v>0</v>
      </c>
      <c r="T1432">
        <v>0</v>
      </c>
      <c r="U1432">
        <v>0</v>
      </c>
      <c r="V1432">
        <v>0</v>
      </c>
      <c r="W1432" s="1">
        <v>44160</v>
      </c>
      <c r="AA1432" t="s">
        <v>40</v>
      </c>
      <c r="AE1432" t="s">
        <v>40</v>
      </c>
      <c r="AG1432" t="s">
        <v>40</v>
      </c>
    </row>
    <row r="1433" spans="1:37" x14ac:dyDescent="0.3">
      <c r="A1433">
        <v>2019</v>
      </c>
      <c r="B1433">
        <v>12</v>
      </c>
      <c r="C1433" t="str">
        <f t="shared" si="44"/>
        <v>12/01/2019</v>
      </c>
      <c r="D1433" s="1" t="str">
        <f t="shared" si="45"/>
        <v>12/01/2019</v>
      </c>
      <c r="E1433" t="s">
        <v>55</v>
      </c>
      <c r="F1433" t="s">
        <v>54</v>
      </c>
      <c r="G1433" t="s">
        <v>41</v>
      </c>
      <c r="H1433">
        <v>52</v>
      </c>
      <c r="I1433">
        <v>13</v>
      </c>
      <c r="J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T1433">
        <v>0</v>
      </c>
      <c r="U1433">
        <v>0</v>
      </c>
      <c r="V1433">
        <v>0</v>
      </c>
      <c r="W1433" s="1">
        <v>44160</v>
      </c>
      <c r="AB1433" t="s">
        <v>40</v>
      </c>
      <c r="AI1433" t="s">
        <v>40</v>
      </c>
      <c r="AJ1433" t="s">
        <v>40</v>
      </c>
    </row>
    <row r="1434" spans="1:37" x14ac:dyDescent="0.3">
      <c r="A1434">
        <v>2019</v>
      </c>
      <c r="B1434">
        <v>12</v>
      </c>
      <c r="C1434" t="str">
        <f t="shared" si="44"/>
        <v>12/01/2019</v>
      </c>
      <c r="D1434" s="1" t="str">
        <f t="shared" si="45"/>
        <v>12/01/2019</v>
      </c>
      <c r="E1434" t="s">
        <v>55</v>
      </c>
      <c r="F1434" t="s">
        <v>54</v>
      </c>
      <c r="G1434" t="s">
        <v>42</v>
      </c>
      <c r="H1434">
        <v>63</v>
      </c>
      <c r="I1434">
        <v>25</v>
      </c>
      <c r="J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T1434">
        <v>0</v>
      </c>
      <c r="U1434">
        <v>0</v>
      </c>
      <c r="V1434">
        <v>0</v>
      </c>
      <c r="W1434" s="1">
        <v>44160</v>
      </c>
      <c r="AB1434" t="s">
        <v>40</v>
      </c>
      <c r="AC1434" t="s">
        <v>40</v>
      </c>
      <c r="AI1434" t="s">
        <v>40</v>
      </c>
      <c r="AJ1434" t="s">
        <v>40</v>
      </c>
    </row>
    <row r="1435" spans="1:37" x14ac:dyDescent="0.3">
      <c r="A1435">
        <v>2019</v>
      </c>
      <c r="B1435">
        <v>12</v>
      </c>
      <c r="C1435" t="str">
        <f t="shared" si="44"/>
        <v>12/01/2019</v>
      </c>
      <c r="D1435" s="1" t="str">
        <f t="shared" si="45"/>
        <v>12/01/2019</v>
      </c>
      <c r="E1435" t="s">
        <v>55</v>
      </c>
      <c r="F1435" t="s">
        <v>54</v>
      </c>
      <c r="G1435" t="s">
        <v>43</v>
      </c>
      <c r="H1435">
        <v>70</v>
      </c>
      <c r="I1435">
        <v>35</v>
      </c>
      <c r="M1435">
        <v>0</v>
      </c>
      <c r="P1435">
        <v>0</v>
      </c>
      <c r="U1435">
        <v>0</v>
      </c>
      <c r="V1435">
        <v>0</v>
      </c>
      <c r="W1435" s="1">
        <v>44160</v>
      </c>
      <c r="AA1435" t="s">
        <v>40</v>
      </c>
      <c r="AB1435" t="s">
        <v>40</v>
      </c>
      <c r="AC1435" t="s">
        <v>40</v>
      </c>
      <c r="AE1435" t="s">
        <v>40</v>
      </c>
      <c r="AF1435" t="s">
        <v>40</v>
      </c>
      <c r="AH1435" t="s">
        <v>40</v>
      </c>
      <c r="AI1435" t="s">
        <v>40</v>
      </c>
      <c r="AJ1435" t="s">
        <v>40</v>
      </c>
      <c r="AK1435" t="s">
        <v>40</v>
      </c>
    </row>
    <row r="1436" spans="1:37" x14ac:dyDescent="0.3">
      <c r="A1436">
        <v>2019</v>
      </c>
      <c r="B1436">
        <v>12</v>
      </c>
      <c r="C1436" t="str">
        <f t="shared" si="44"/>
        <v>12/01/2019</v>
      </c>
      <c r="D1436" s="1" t="str">
        <f t="shared" si="45"/>
        <v>12/01/2019</v>
      </c>
      <c r="E1436" t="s">
        <v>55</v>
      </c>
      <c r="F1436" t="s">
        <v>54</v>
      </c>
      <c r="G1436" t="s">
        <v>44</v>
      </c>
      <c r="H1436">
        <v>116</v>
      </c>
      <c r="I1436">
        <v>90</v>
      </c>
      <c r="J1436">
        <v>0</v>
      </c>
      <c r="K1436">
        <v>19</v>
      </c>
      <c r="M1436">
        <v>0</v>
      </c>
      <c r="S1436">
        <v>26</v>
      </c>
      <c r="U1436">
        <v>0</v>
      </c>
      <c r="V1436">
        <v>0</v>
      </c>
      <c r="W1436" s="1">
        <v>44160</v>
      </c>
      <c r="AC1436" t="s">
        <v>40</v>
      </c>
      <c r="AE1436" t="s">
        <v>40</v>
      </c>
      <c r="AF1436" t="s">
        <v>40</v>
      </c>
      <c r="AG1436" t="s">
        <v>40</v>
      </c>
      <c r="AH1436" t="s">
        <v>40</v>
      </c>
      <c r="AI1436" t="s">
        <v>40</v>
      </c>
      <c r="AK1436" t="s">
        <v>40</v>
      </c>
    </row>
    <row r="1437" spans="1:37" x14ac:dyDescent="0.3">
      <c r="A1437">
        <v>2019</v>
      </c>
      <c r="B1437">
        <v>12</v>
      </c>
      <c r="C1437" t="str">
        <f t="shared" si="44"/>
        <v>12/01/2019</v>
      </c>
      <c r="D1437" s="1" t="str">
        <f t="shared" si="45"/>
        <v>12/01/2019</v>
      </c>
      <c r="E1437" t="s">
        <v>55</v>
      </c>
      <c r="F1437" t="s">
        <v>54</v>
      </c>
      <c r="G1437" t="s">
        <v>45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T1437">
        <v>0</v>
      </c>
      <c r="U1437">
        <v>0</v>
      </c>
      <c r="V1437">
        <v>0</v>
      </c>
      <c r="W1437" s="1">
        <v>44160</v>
      </c>
      <c r="Y1437" t="s">
        <v>40</v>
      </c>
      <c r="Z1437" t="s">
        <v>40</v>
      </c>
      <c r="AJ1437" t="s">
        <v>40</v>
      </c>
    </row>
    <row r="1438" spans="1:37" x14ac:dyDescent="0.3">
      <c r="A1438">
        <v>2019</v>
      </c>
      <c r="B1438">
        <v>12</v>
      </c>
      <c r="C1438" t="str">
        <f t="shared" si="44"/>
        <v>12/01/2019</v>
      </c>
      <c r="D1438" s="1" t="str">
        <f t="shared" si="45"/>
        <v>12/01/2019</v>
      </c>
      <c r="E1438" t="s">
        <v>55</v>
      </c>
      <c r="F1438" t="s">
        <v>54</v>
      </c>
      <c r="G1438" t="s">
        <v>46</v>
      </c>
      <c r="H1438">
        <v>251</v>
      </c>
      <c r="I1438">
        <v>218</v>
      </c>
      <c r="K1438">
        <v>55</v>
      </c>
      <c r="L1438">
        <v>12</v>
      </c>
      <c r="M1438">
        <v>0</v>
      </c>
      <c r="S1438">
        <v>74</v>
      </c>
      <c r="T1438">
        <v>11</v>
      </c>
      <c r="U1438">
        <v>0</v>
      </c>
      <c r="V1438">
        <v>0</v>
      </c>
      <c r="W1438" s="1">
        <v>44160</v>
      </c>
      <c r="AA1438" t="s">
        <v>40</v>
      </c>
      <c r="AE1438" t="s">
        <v>40</v>
      </c>
      <c r="AF1438" t="s">
        <v>40</v>
      </c>
      <c r="AG1438" t="s">
        <v>40</v>
      </c>
      <c r="AH1438" t="s">
        <v>40</v>
      </c>
      <c r="AI1438" t="s">
        <v>40</v>
      </c>
    </row>
    <row r="1439" spans="1:37" x14ac:dyDescent="0.3">
      <c r="A1439">
        <v>2019</v>
      </c>
      <c r="B1439">
        <v>12</v>
      </c>
      <c r="C1439" t="str">
        <f t="shared" si="44"/>
        <v>12/01/2019</v>
      </c>
      <c r="D1439" s="1" t="str">
        <f t="shared" si="45"/>
        <v>12/01/2019</v>
      </c>
      <c r="E1439" t="s">
        <v>55</v>
      </c>
      <c r="F1439" t="s">
        <v>54</v>
      </c>
      <c r="G1439" t="s">
        <v>47</v>
      </c>
      <c r="H1439">
        <v>270</v>
      </c>
      <c r="I1439">
        <v>256</v>
      </c>
      <c r="K1439">
        <v>53</v>
      </c>
      <c r="L1439">
        <v>14</v>
      </c>
      <c r="O1439">
        <v>24</v>
      </c>
      <c r="S1439">
        <v>76</v>
      </c>
      <c r="U1439">
        <v>0</v>
      </c>
      <c r="V1439">
        <v>0</v>
      </c>
      <c r="W1439" s="1">
        <v>44160</v>
      </c>
      <c r="AA1439" t="s">
        <v>40</v>
      </c>
      <c r="AD1439" t="s">
        <v>40</v>
      </c>
      <c r="AE1439" t="s">
        <v>40</v>
      </c>
      <c r="AG1439" t="s">
        <v>40</v>
      </c>
      <c r="AH1439" t="s">
        <v>40</v>
      </c>
      <c r="AI1439" t="s">
        <v>40</v>
      </c>
      <c r="AK1439" t="s">
        <v>40</v>
      </c>
    </row>
    <row r="1440" spans="1:37" x14ac:dyDescent="0.3">
      <c r="A1440">
        <v>2019</v>
      </c>
      <c r="B1440">
        <v>12</v>
      </c>
      <c r="C1440" t="str">
        <f t="shared" si="44"/>
        <v>12/01/2019</v>
      </c>
      <c r="D1440" s="1" t="str">
        <f t="shared" si="45"/>
        <v>12/01/2019</v>
      </c>
      <c r="E1440" t="s">
        <v>55</v>
      </c>
      <c r="F1440" t="s">
        <v>54</v>
      </c>
      <c r="G1440" t="s">
        <v>48</v>
      </c>
      <c r="H1440">
        <v>201</v>
      </c>
      <c r="I1440">
        <v>194</v>
      </c>
      <c r="K1440">
        <v>39</v>
      </c>
      <c r="L1440">
        <v>11</v>
      </c>
      <c r="O1440">
        <v>13</v>
      </c>
      <c r="S1440">
        <v>59</v>
      </c>
      <c r="T1440">
        <v>12</v>
      </c>
      <c r="U1440">
        <v>0</v>
      </c>
      <c r="V1440">
        <v>0</v>
      </c>
      <c r="W1440" s="1">
        <v>44160</v>
      </c>
      <c r="AA1440" t="s">
        <v>40</v>
      </c>
      <c r="AD1440" t="s">
        <v>40</v>
      </c>
      <c r="AE1440" t="s">
        <v>40</v>
      </c>
      <c r="AG1440" t="s">
        <v>40</v>
      </c>
      <c r="AH1440" t="s">
        <v>40</v>
      </c>
      <c r="AI1440" t="s">
        <v>40</v>
      </c>
    </row>
    <row r="1441" spans="1:39" x14ac:dyDescent="0.3">
      <c r="A1441">
        <v>2019</v>
      </c>
      <c r="B1441">
        <v>12</v>
      </c>
      <c r="C1441" t="str">
        <f t="shared" si="44"/>
        <v>12/01/2019</v>
      </c>
      <c r="D1441" s="1" t="str">
        <f t="shared" si="45"/>
        <v>12/01/2019</v>
      </c>
      <c r="E1441" t="s">
        <v>55</v>
      </c>
      <c r="F1441" t="s">
        <v>54</v>
      </c>
      <c r="G1441" t="s">
        <v>49</v>
      </c>
      <c r="H1441">
        <v>150</v>
      </c>
      <c r="I1441">
        <v>143</v>
      </c>
      <c r="K1441">
        <v>30</v>
      </c>
      <c r="M1441">
        <v>12</v>
      </c>
      <c r="S1441">
        <v>40</v>
      </c>
      <c r="U1441">
        <v>0</v>
      </c>
      <c r="V1441">
        <v>0</v>
      </c>
      <c r="W1441" s="1">
        <v>44160</v>
      </c>
      <c r="AA1441" t="s">
        <v>40</v>
      </c>
      <c r="AC1441" t="s">
        <v>40</v>
      </c>
      <c r="AE1441" t="s">
        <v>40</v>
      </c>
      <c r="AF1441" t="s">
        <v>40</v>
      </c>
      <c r="AG1441" t="s">
        <v>40</v>
      </c>
      <c r="AH1441" t="s">
        <v>40</v>
      </c>
      <c r="AI1441" t="s">
        <v>40</v>
      </c>
      <c r="AK1441" t="s">
        <v>40</v>
      </c>
    </row>
    <row r="1442" spans="1:39" x14ac:dyDescent="0.3">
      <c r="A1442">
        <v>2020</v>
      </c>
      <c r="B1442">
        <v>1</v>
      </c>
      <c r="C1442" t="str">
        <f t="shared" si="44"/>
        <v>1/01/2020</v>
      </c>
      <c r="D1442" s="1" t="str">
        <f t="shared" si="45"/>
        <v>1/01/2020</v>
      </c>
      <c r="E1442" t="s">
        <v>37</v>
      </c>
      <c r="F1442" t="s">
        <v>38</v>
      </c>
      <c r="G1442" t="s">
        <v>39</v>
      </c>
      <c r="H1442">
        <v>196</v>
      </c>
      <c r="I1442">
        <v>179</v>
      </c>
      <c r="L1442">
        <v>0</v>
      </c>
      <c r="M1442">
        <v>0</v>
      </c>
      <c r="O1442">
        <v>0</v>
      </c>
      <c r="R1442">
        <v>14</v>
      </c>
      <c r="U1442">
        <v>0</v>
      </c>
      <c r="V1442">
        <v>0</v>
      </c>
      <c r="W1442" s="1">
        <v>44160</v>
      </c>
      <c r="X1442" t="s">
        <v>56</v>
      </c>
      <c r="AA1442" t="s">
        <v>40</v>
      </c>
      <c r="AB1442" t="s">
        <v>40</v>
      </c>
      <c r="AE1442" t="s">
        <v>40</v>
      </c>
      <c r="AG1442" t="s">
        <v>40</v>
      </c>
      <c r="AH1442" t="s">
        <v>40</v>
      </c>
      <c r="AJ1442" t="s">
        <v>40</v>
      </c>
      <c r="AK1442" t="s">
        <v>40</v>
      </c>
    </row>
    <row r="1443" spans="1:39" x14ac:dyDescent="0.3">
      <c r="A1443">
        <v>2020</v>
      </c>
      <c r="B1443">
        <v>1</v>
      </c>
      <c r="C1443" t="str">
        <f t="shared" si="44"/>
        <v>1/01/2020</v>
      </c>
      <c r="D1443" s="1" t="str">
        <f t="shared" si="45"/>
        <v>1/01/2020</v>
      </c>
      <c r="E1443" t="s">
        <v>37</v>
      </c>
      <c r="F1443" t="s">
        <v>38</v>
      </c>
      <c r="G1443" t="s">
        <v>41</v>
      </c>
      <c r="H1443">
        <v>143</v>
      </c>
      <c r="I1443">
        <v>57</v>
      </c>
      <c r="K1443">
        <v>12</v>
      </c>
      <c r="M1443">
        <v>0</v>
      </c>
      <c r="P1443">
        <v>0</v>
      </c>
      <c r="Q1443">
        <v>0</v>
      </c>
      <c r="U1443">
        <v>0</v>
      </c>
      <c r="V1443">
        <v>0</v>
      </c>
      <c r="W1443" s="1">
        <v>44160</v>
      </c>
      <c r="X1443" t="s">
        <v>56</v>
      </c>
      <c r="AA1443" t="s">
        <v>40</v>
      </c>
      <c r="AC1443" t="s">
        <v>40</v>
      </c>
      <c r="AE1443" t="s">
        <v>40</v>
      </c>
      <c r="AF1443" t="s">
        <v>40</v>
      </c>
      <c r="AI1443" t="s">
        <v>40</v>
      </c>
      <c r="AJ1443" t="s">
        <v>40</v>
      </c>
      <c r="AK1443" t="s">
        <v>40</v>
      </c>
    </row>
    <row r="1444" spans="1:39" x14ac:dyDescent="0.3">
      <c r="A1444">
        <v>2020</v>
      </c>
      <c r="B1444">
        <v>1</v>
      </c>
      <c r="C1444" t="str">
        <f t="shared" si="44"/>
        <v>1/01/2020</v>
      </c>
      <c r="D1444" s="1" t="str">
        <f t="shared" si="45"/>
        <v>1/01/2020</v>
      </c>
      <c r="E1444" t="s">
        <v>37</v>
      </c>
      <c r="F1444" t="s">
        <v>38</v>
      </c>
      <c r="G1444" t="s">
        <v>42</v>
      </c>
      <c r="H1444">
        <v>209</v>
      </c>
      <c r="I1444">
        <v>117</v>
      </c>
      <c r="K1444">
        <v>29</v>
      </c>
      <c r="M1444">
        <v>0</v>
      </c>
      <c r="N1444">
        <v>11</v>
      </c>
      <c r="S1444">
        <v>10</v>
      </c>
      <c r="U1444">
        <v>0</v>
      </c>
      <c r="V1444">
        <v>0</v>
      </c>
      <c r="W1444" s="1">
        <v>44160</v>
      </c>
      <c r="X1444" t="s">
        <v>56</v>
      </c>
      <c r="AA1444" t="s">
        <v>40</v>
      </c>
      <c r="AC1444" t="s">
        <v>40</v>
      </c>
      <c r="AF1444" t="s">
        <v>40</v>
      </c>
      <c r="AG1444" t="s">
        <v>40</v>
      </c>
      <c r="AH1444" t="s">
        <v>40</v>
      </c>
      <c r="AI1444" t="s">
        <v>40</v>
      </c>
      <c r="AK1444" t="s">
        <v>40</v>
      </c>
    </row>
    <row r="1445" spans="1:39" x14ac:dyDescent="0.3">
      <c r="A1445">
        <v>2020</v>
      </c>
      <c r="B1445">
        <v>1</v>
      </c>
      <c r="C1445" t="str">
        <f t="shared" si="44"/>
        <v>1/01/2020</v>
      </c>
      <c r="D1445" s="1" t="str">
        <f t="shared" si="45"/>
        <v>1/01/2020</v>
      </c>
      <c r="E1445" t="s">
        <v>37</v>
      </c>
      <c r="F1445" t="s">
        <v>38</v>
      </c>
      <c r="G1445" t="s">
        <v>43</v>
      </c>
      <c r="H1445">
        <v>331</v>
      </c>
      <c r="I1445">
        <v>258</v>
      </c>
      <c r="K1445">
        <v>90</v>
      </c>
      <c r="L1445">
        <v>18</v>
      </c>
      <c r="M1445">
        <v>0</v>
      </c>
      <c r="N1445">
        <v>18</v>
      </c>
      <c r="S1445">
        <v>28</v>
      </c>
      <c r="U1445">
        <v>0</v>
      </c>
      <c r="V1445">
        <v>0</v>
      </c>
      <c r="W1445" s="1">
        <v>44160</v>
      </c>
      <c r="X1445" t="s">
        <v>56</v>
      </c>
      <c r="AA1445" t="s">
        <v>40</v>
      </c>
      <c r="AF1445" t="s">
        <v>40</v>
      </c>
      <c r="AG1445" t="s">
        <v>40</v>
      </c>
      <c r="AH1445" t="s">
        <v>40</v>
      </c>
      <c r="AI1445" t="s">
        <v>40</v>
      </c>
      <c r="AK1445" t="s">
        <v>40</v>
      </c>
    </row>
    <row r="1446" spans="1:39" x14ac:dyDescent="0.3">
      <c r="A1446">
        <v>2020</v>
      </c>
      <c r="B1446">
        <v>1</v>
      </c>
      <c r="C1446" t="str">
        <f t="shared" si="44"/>
        <v>1/01/2020</v>
      </c>
      <c r="D1446" s="1" t="str">
        <f t="shared" si="45"/>
        <v>1/01/2020</v>
      </c>
      <c r="E1446" t="s">
        <v>37</v>
      </c>
      <c r="F1446" t="s">
        <v>38</v>
      </c>
      <c r="G1446" t="s">
        <v>44</v>
      </c>
      <c r="H1446">
        <v>631</v>
      </c>
      <c r="I1446">
        <v>556</v>
      </c>
      <c r="K1446">
        <v>228</v>
      </c>
      <c r="L1446">
        <v>33</v>
      </c>
      <c r="M1446">
        <v>0</v>
      </c>
      <c r="N1446">
        <v>31</v>
      </c>
      <c r="O1446">
        <v>12</v>
      </c>
      <c r="Q1446">
        <v>12</v>
      </c>
      <c r="S1446">
        <v>71</v>
      </c>
      <c r="T1446">
        <v>24</v>
      </c>
      <c r="U1446">
        <v>0</v>
      </c>
      <c r="V1446">
        <v>0</v>
      </c>
      <c r="W1446" s="1">
        <v>44160</v>
      </c>
      <c r="X1446" t="s">
        <v>56</v>
      </c>
      <c r="AA1446" t="s">
        <v>40</v>
      </c>
      <c r="AG1446" t="s">
        <v>40</v>
      </c>
      <c r="AI1446" t="s">
        <v>40</v>
      </c>
    </row>
    <row r="1447" spans="1:39" x14ac:dyDescent="0.3">
      <c r="A1447">
        <v>2020</v>
      </c>
      <c r="B1447">
        <v>1</v>
      </c>
      <c r="C1447" t="str">
        <f t="shared" si="44"/>
        <v>1/01/2020</v>
      </c>
      <c r="D1447" s="1" t="str">
        <f t="shared" si="45"/>
        <v>1/01/2020</v>
      </c>
      <c r="E1447" t="s">
        <v>37</v>
      </c>
      <c r="F1447" t="s">
        <v>38</v>
      </c>
      <c r="G1447" t="s">
        <v>45</v>
      </c>
      <c r="H1447">
        <v>64</v>
      </c>
      <c r="I1447">
        <v>39</v>
      </c>
      <c r="J1447">
        <v>0</v>
      </c>
      <c r="L1447">
        <v>0</v>
      </c>
      <c r="M1447">
        <v>0</v>
      </c>
      <c r="Q1447">
        <v>0</v>
      </c>
      <c r="U1447">
        <v>0</v>
      </c>
      <c r="V1447">
        <v>0</v>
      </c>
      <c r="W1447" s="1">
        <v>44160</v>
      </c>
      <c r="X1447" t="s">
        <v>56</v>
      </c>
      <c r="AB1447" t="s">
        <v>40</v>
      </c>
      <c r="AE1447" t="s">
        <v>40</v>
      </c>
      <c r="AF1447" t="s">
        <v>40</v>
      </c>
      <c r="AG1447" t="s">
        <v>40</v>
      </c>
      <c r="AI1447" t="s">
        <v>40</v>
      </c>
      <c r="AJ1447" t="s">
        <v>40</v>
      </c>
      <c r="AK1447" t="s">
        <v>40</v>
      </c>
    </row>
    <row r="1448" spans="1:39" x14ac:dyDescent="0.3">
      <c r="A1448">
        <v>2020</v>
      </c>
      <c r="B1448">
        <v>1</v>
      </c>
      <c r="C1448" t="str">
        <f t="shared" si="44"/>
        <v>1/01/2020</v>
      </c>
      <c r="D1448" s="1" t="str">
        <f t="shared" si="45"/>
        <v>1/01/2020</v>
      </c>
      <c r="E1448" t="s">
        <v>37</v>
      </c>
      <c r="F1448" t="s">
        <v>38</v>
      </c>
      <c r="G1448" t="s">
        <v>46</v>
      </c>
      <c r="H1448" s="2">
        <v>1066</v>
      </c>
      <c r="I1448" s="2">
        <v>1007</v>
      </c>
      <c r="J1448">
        <v>20</v>
      </c>
      <c r="K1448">
        <v>384</v>
      </c>
      <c r="L1448">
        <v>60</v>
      </c>
      <c r="N1448">
        <v>35</v>
      </c>
      <c r="O1448">
        <v>24</v>
      </c>
      <c r="P1448">
        <v>19</v>
      </c>
      <c r="Q1448">
        <v>27</v>
      </c>
      <c r="S1448">
        <v>160</v>
      </c>
      <c r="T1448">
        <v>41</v>
      </c>
      <c r="U1448">
        <v>0</v>
      </c>
      <c r="V1448">
        <v>0</v>
      </c>
      <c r="W1448" s="1">
        <v>44160</v>
      </c>
      <c r="X1448" t="s">
        <v>56</v>
      </c>
      <c r="AD1448" t="s">
        <v>40</v>
      </c>
      <c r="AI1448" t="s">
        <v>40</v>
      </c>
    </row>
    <row r="1449" spans="1:39" x14ac:dyDescent="0.3">
      <c r="A1449">
        <v>2020</v>
      </c>
      <c r="B1449">
        <v>1</v>
      </c>
      <c r="C1449" t="str">
        <f t="shared" si="44"/>
        <v>1/01/2020</v>
      </c>
      <c r="D1449" s="1" t="str">
        <f t="shared" si="45"/>
        <v>1/01/2020</v>
      </c>
      <c r="E1449" t="s">
        <v>37</v>
      </c>
      <c r="F1449" t="s">
        <v>38</v>
      </c>
      <c r="G1449" t="s">
        <v>47</v>
      </c>
      <c r="H1449" s="2">
        <v>1493</v>
      </c>
      <c r="I1449" s="2">
        <v>1453</v>
      </c>
      <c r="J1449">
        <v>26</v>
      </c>
      <c r="K1449">
        <v>423</v>
      </c>
      <c r="L1449">
        <v>103</v>
      </c>
      <c r="M1449">
        <v>30</v>
      </c>
      <c r="N1449">
        <v>45</v>
      </c>
      <c r="O1449">
        <v>40</v>
      </c>
      <c r="P1449">
        <v>39</v>
      </c>
      <c r="Q1449">
        <v>42</v>
      </c>
      <c r="S1449">
        <v>294</v>
      </c>
      <c r="T1449">
        <v>87</v>
      </c>
      <c r="V1449">
        <v>0</v>
      </c>
      <c r="W1449" s="1">
        <v>44160</v>
      </c>
      <c r="X1449" t="s">
        <v>56</v>
      </c>
      <c r="AI1449" t="s">
        <v>40</v>
      </c>
      <c r="AL1449" t="s">
        <v>40</v>
      </c>
    </row>
    <row r="1450" spans="1:39" x14ac:dyDescent="0.3">
      <c r="A1450">
        <v>2020</v>
      </c>
      <c r="B1450">
        <v>1</v>
      </c>
      <c r="C1450" t="str">
        <f t="shared" si="44"/>
        <v>1/01/2020</v>
      </c>
      <c r="D1450" s="1" t="str">
        <f t="shared" si="45"/>
        <v>1/01/2020</v>
      </c>
      <c r="E1450" t="s">
        <v>37</v>
      </c>
      <c r="F1450" t="s">
        <v>38</v>
      </c>
      <c r="G1450" t="s">
        <v>48</v>
      </c>
      <c r="H1450" s="2">
        <v>2043</v>
      </c>
      <c r="I1450" s="2">
        <v>1982</v>
      </c>
      <c r="J1450">
        <v>30</v>
      </c>
      <c r="K1450">
        <v>421</v>
      </c>
      <c r="L1450">
        <v>130</v>
      </c>
      <c r="M1450">
        <v>135</v>
      </c>
      <c r="N1450">
        <v>54</v>
      </c>
      <c r="O1450">
        <v>73</v>
      </c>
      <c r="P1450">
        <v>47</v>
      </c>
      <c r="Q1450">
        <v>32</v>
      </c>
      <c r="R1450">
        <v>14</v>
      </c>
      <c r="S1450">
        <v>481</v>
      </c>
      <c r="T1450">
        <v>126</v>
      </c>
      <c r="W1450" s="1">
        <v>44160</v>
      </c>
      <c r="X1450" t="s">
        <v>56</v>
      </c>
      <c r="AL1450" t="s">
        <v>40</v>
      </c>
      <c r="AM1450" t="s">
        <v>40</v>
      </c>
    </row>
    <row r="1451" spans="1:39" x14ac:dyDescent="0.3">
      <c r="A1451">
        <v>2020</v>
      </c>
      <c r="B1451">
        <v>1</v>
      </c>
      <c r="C1451" t="str">
        <f t="shared" si="44"/>
        <v>1/01/2020</v>
      </c>
      <c r="D1451" s="1" t="str">
        <f t="shared" si="45"/>
        <v>1/01/2020</v>
      </c>
      <c r="E1451" t="s">
        <v>37</v>
      </c>
      <c r="F1451" t="s">
        <v>38</v>
      </c>
      <c r="G1451" t="s">
        <v>49</v>
      </c>
      <c r="H1451" s="2">
        <v>2831</v>
      </c>
      <c r="I1451" s="2">
        <v>2765</v>
      </c>
      <c r="J1451">
        <v>36</v>
      </c>
      <c r="K1451">
        <v>249</v>
      </c>
      <c r="L1451">
        <v>99</v>
      </c>
      <c r="M1451">
        <v>342</v>
      </c>
      <c r="N1451">
        <v>81</v>
      </c>
      <c r="O1451">
        <v>117</v>
      </c>
      <c r="P1451">
        <v>51</v>
      </c>
      <c r="Q1451">
        <v>55</v>
      </c>
      <c r="R1451">
        <v>25</v>
      </c>
      <c r="S1451">
        <v>735</v>
      </c>
      <c r="T1451">
        <v>267</v>
      </c>
      <c r="U1451">
        <v>0</v>
      </c>
      <c r="V1451">
        <v>0</v>
      </c>
      <c r="W1451" s="1">
        <v>44160</v>
      </c>
      <c r="X1451" t="s">
        <v>56</v>
      </c>
    </row>
    <row r="1452" spans="1:39" x14ac:dyDescent="0.3">
      <c r="A1452">
        <v>2020</v>
      </c>
      <c r="B1452">
        <v>1</v>
      </c>
      <c r="C1452" t="str">
        <f t="shared" si="44"/>
        <v>1/01/2020</v>
      </c>
      <c r="D1452" s="1" t="str">
        <f t="shared" si="45"/>
        <v>1/01/2020</v>
      </c>
      <c r="E1452" t="s">
        <v>37</v>
      </c>
      <c r="F1452" t="s">
        <v>50</v>
      </c>
      <c r="G1452" t="s">
        <v>39</v>
      </c>
      <c r="J1452">
        <v>0</v>
      </c>
      <c r="K1452">
        <v>0</v>
      </c>
      <c r="L1452">
        <v>0</v>
      </c>
      <c r="M1452">
        <v>0</v>
      </c>
      <c r="O1452">
        <v>0</v>
      </c>
      <c r="P1452">
        <v>0</v>
      </c>
      <c r="Q1452">
        <v>0</v>
      </c>
      <c r="S1452">
        <v>0</v>
      </c>
      <c r="T1452">
        <v>0</v>
      </c>
      <c r="U1452">
        <v>0</v>
      </c>
      <c r="V1452">
        <v>0</v>
      </c>
      <c r="W1452" s="1">
        <v>44160</v>
      </c>
      <c r="X1452" t="s">
        <v>56</v>
      </c>
      <c r="Y1452" t="s">
        <v>40</v>
      </c>
      <c r="Z1452" t="s">
        <v>40</v>
      </c>
      <c r="AE1452" t="s">
        <v>40</v>
      </c>
      <c r="AI1452" t="s">
        <v>40</v>
      </c>
    </row>
    <row r="1453" spans="1:39" x14ac:dyDescent="0.3">
      <c r="A1453">
        <v>2020</v>
      </c>
      <c r="B1453">
        <v>1</v>
      </c>
      <c r="C1453" t="str">
        <f t="shared" si="44"/>
        <v>1/01/2020</v>
      </c>
      <c r="D1453" s="1" t="str">
        <f t="shared" si="45"/>
        <v>1/01/2020</v>
      </c>
      <c r="E1453" t="s">
        <v>37</v>
      </c>
      <c r="F1453" t="s">
        <v>50</v>
      </c>
      <c r="G1453" t="s">
        <v>41</v>
      </c>
      <c r="H1453">
        <v>17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 s="1">
        <v>44160</v>
      </c>
      <c r="X1453" t="s">
        <v>56</v>
      </c>
      <c r="Z1453" t="s">
        <v>40</v>
      </c>
    </row>
    <row r="1454" spans="1:39" x14ac:dyDescent="0.3">
      <c r="A1454">
        <v>2020</v>
      </c>
      <c r="B1454">
        <v>1</v>
      </c>
      <c r="C1454" t="str">
        <f t="shared" si="44"/>
        <v>1/01/2020</v>
      </c>
      <c r="D1454" s="1" t="str">
        <f t="shared" si="45"/>
        <v>1/01/2020</v>
      </c>
      <c r="E1454" t="s">
        <v>37</v>
      </c>
      <c r="F1454" t="s">
        <v>50</v>
      </c>
      <c r="G1454" t="s">
        <v>42</v>
      </c>
      <c r="H1454">
        <v>34</v>
      </c>
      <c r="I1454">
        <v>17</v>
      </c>
      <c r="J1454">
        <v>0</v>
      </c>
      <c r="K1454">
        <v>0</v>
      </c>
      <c r="M1454">
        <v>0</v>
      </c>
      <c r="O1454">
        <v>0</v>
      </c>
      <c r="P1454">
        <v>0</v>
      </c>
      <c r="T1454">
        <v>0</v>
      </c>
      <c r="U1454">
        <v>0</v>
      </c>
      <c r="V1454">
        <v>0</v>
      </c>
      <c r="W1454" s="1">
        <v>44160</v>
      </c>
      <c r="X1454" t="s">
        <v>56</v>
      </c>
      <c r="AC1454" t="s">
        <v>40</v>
      </c>
      <c r="AE1454" t="s">
        <v>40</v>
      </c>
      <c r="AH1454" t="s">
        <v>40</v>
      </c>
      <c r="AI1454" t="s">
        <v>40</v>
      </c>
      <c r="AJ1454" t="s">
        <v>40</v>
      </c>
    </row>
    <row r="1455" spans="1:39" x14ac:dyDescent="0.3">
      <c r="A1455">
        <v>2020</v>
      </c>
      <c r="B1455">
        <v>1</v>
      </c>
      <c r="C1455" t="str">
        <f t="shared" si="44"/>
        <v>1/01/2020</v>
      </c>
      <c r="D1455" s="1" t="str">
        <f t="shared" si="45"/>
        <v>1/01/2020</v>
      </c>
      <c r="E1455" t="s">
        <v>37</v>
      </c>
      <c r="F1455" t="s">
        <v>50</v>
      </c>
      <c r="G1455" t="s">
        <v>43</v>
      </c>
      <c r="H1455">
        <v>51</v>
      </c>
      <c r="I1455">
        <v>38</v>
      </c>
      <c r="M1455">
        <v>0</v>
      </c>
      <c r="O1455">
        <v>0</v>
      </c>
      <c r="Q1455">
        <v>0</v>
      </c>
      <c r="U1455">
        <v>0</v>
      </c>
      <c r="V1455">
        <v>0</v>
      </c>
      <c r="W1455" s="1">
        <v>44160</v>
      </c>
      <c r="X1455" t="s">
        <v>56</v>
      </c>
      <c r="AA1455" t="s">
        <v>40</v>
      </c>
      <c r="AB1455" t="s">
        <v>40</v>
      </c>
      <c r="AC1455" t="s">
        <v>40</v>
      </c>
      <c r="AE1455" t="s">
        <v>40</v>
      </c>
      <c r="AG1455" t="s">
        <v>40</v>
      </c>
      <c r="AI1455" t="s">
        <v>40</v>
      </c>
      <c r="AJ1455" t="s">
        <v>40</v>
      </c>
      <c r="AK1455" t="s">
        <v>40</v>
      </c>
    </row>
    <row r="1456" spans="1:39" x14ac:dyDescent="0.3">
      <c r="A1456">
        <v>2020</v>
      </c>
      <c r="B1456">
        <v>1</v>
      </c>
      <c r="C1456" t="str">
        <f t="shared" si="44"/>
        <v>1/01/2020</v>
      </c>
      <c r="D1456" s="1" t="str">
        <f t="shared" si="45"/>
        <v>1/01/2020</v>
      </c>
      <c r="E1456" t="s">
        <v>37</v>
      </c>
      <c r="F1456" t="s">
        <v>50</v>
      </c>
      <c r="G1456" t="s">
        <v>44</v>
      </c>
      <c r="H1456">
        <v>72</v>
      </c>
      <c r="I1456">
        <v>65</v>
      </c>
      <c r="K1456">
        <v>14</v>
      </c>
      <c r="M1456">
        <v>0</v>
      </c>
      <c r="P1456">
        <v>0</v>
      </c>
      <c r="S1456">
        <v>14</v>
      </c>
      <c r="U1456">
        <v>0</v>
      </c>
      <c r="V1456">
        <v>0</v>
      </c>
      <c r="W1456" s="1">
        <v>44160</v>
      </c>
      <c r="X1456" t="s">
        <v>56</v>
      </c>
      <c r="AA1456" t="s">
        <v>40</v>
      </c>
      <c r="AC1456" t="s">
        <v>40</v>
      </c>
      <c r="AE1456" t="s">
        <v>40</v>
      </c>
      <c r="AF1456" t="s">
        <v>40</v>
      </c>
      <c r="AH1456" t="s">
        <v>40</v>
      </c>
      <c r="AI1456" t="s">
        <v>40</v>
      </c>
      <c r="AK1456" t="s">
        <v>40</v>
      </c>
    </row>
    <row r="1457" spans="1:39" x14ac:dyDescent="0.3">
      <c r="A1457">
        <v>2020</v>
      </c>
      <c r="B1457">
        <v>1</v>
      </c>
      <c r="C1457" t="str">
        <f t="shared" si="44"/>
        <v>1/01/2020</v>
      </c>
      <c r="D1457" s="1" t="str">
        <f t="shared" si="45"/>
        <v>1/01/2020</v>
      </c>
      <c r="E1457" t="s">
        <v>37</v>
      </c>
      <c r="F1457" t="s">
        <v>50</v>
      </c>
      <c r="G1457" t="s">
        <v>45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 s="1">
        <v>44160</v>
      </c>
      <c r="X1457" t="s">
        <v>56</v>
      </c>
      <c r="Y1457" t="s">
        <v>40</v>
      </c>
    </row>
    <row r="1458" spans="1:39" x14ac:dyDescent="0.3">
      <c r="A1458">
        <v>2020</v>
      </c>
      <c r="B1458">
        <v>1</v>
      </c>
      <c r="C1458" t="str">
        <f t="shared" si="44"/>
        <v>1/01/2020</v>
      </c>
      <c r="D1458" s="1" t="str">
        <f t="shared" si="45"/>
        <v>1/01/2020</v>
      </c>
      <c r="E1458" t="s">
        <v>37</v>
      </c>
      <c r="F1458" t="s">
        <v>50</v>
      </c>
      <c r="G1458" t="s">
        <v>46</v>
      </c>
      <c r="H1458">
        <v>143</v>
      </c>
      <c r="I1458">
        <v>136</v>
      </c>
      <c r="K1458">
        <v>31</v>
      </c>
      <c r="M1458">
        <v>0</v>
      </c>
      <c r="O1458">
        <v>10</v>
      </c>
      <c r="S1458">
        <v>18</v>
      </c>
      <c r="U1458">
        <v>0</v>
      </c>
      <c r="V1458">
        <v>0</v>
      </c>
      <c r="W1458" s="1">
        <v>44160</v>
      </c>
      <c r="X1458" t="s">
        <v>56</v>
      </c>
      <c r="AA1458" t="s">
        <v>40</v>
      </c>
      <c r="AC1458" t="s">
        <v>40</v>
      </c>
      <c r="AE1458" t="s">
        <v>40</v>
      </c>
      <c r="AG1458" t="s">
        <v>40</v>
      </c>
      <c r="AH1458" t="s">
        <v>40</v>
      </c>
      <c r="AI1458" t="s">
        <v>40</v>
      </c>
      <c r="AK1458" t="s">
        <v>40</v>
      </c>
    </row>
    <row r="1459" spans="1:39" x14ac:dyDescent="0.3">
      <c r="A1459">
        <v>2020</v>
      </c>
      <c r="B1459">
        <v>1</v>
      </c>
      <c r="C1459" t="str">
        <f t="shared" si="44"/>
        <v>1/01/2020</v>
      </c>
      <c r="D1459" s="1" t="str">
        <f t="shared" si="45"/>
        <v>1/01/2020</v>
      </c>
      <c r="E1459" t="s">
        <v>37</v>
      </c>
      <c r="F1459" t="s">
        <v>50</v>
      </c>
      <c r="G1459" t="s">
        <v>47</v>
      </c>
      <c r="H1459">
        <v>149</v>
      </c>
      <c r="I1459">
        <v>142</v>
      </c>
      <c r="K1459">
        <v>33</v>
      </c>
      <c r="L1459">
        <v>10</v>
      </c>
      <c r="S1459">
        <v>27</v>
      </c>
      <c r="U1459">
        <v>0</v>
      </c>
      <c r="V1459">
        <v>0</v>
      </c>
      <c r="W1459" s="1">
        <v>44160</v>
      </c>
      <c r="X1459" t="s">
        <v>56</v>
      </c>
      <c r="AA1459" t="s">
        <v>40</v>
      </c>
      <c r="AD1459" t="s">
        <v>40</v>
      </c>
      <c r="AE1459" t="s">
        <v>40</v>
      </c>
      <c r="AF1459" t="s">
        <v>40</v>
      </c>
      <c r="AG1459" t="s">
        <v>40</v>
      </c>
      <c r="AH1459" t="s">
        <v>40</v>
      </c>
      <c r="AI1459" t="s">
        <v>40</v>
      </c>
      <c r="AK1459" t="s">
        <v>40</v>
      </c>
    </row>
    <row r="1460" spans="1:39" x14ac:dyDescent="0.3">
      <c r="A1460">
        <v>2020</v>
      </c>
      <c r="B1460">
        <v>1</v>
      </c>
      <c r="C1460" t="str">
        <f t="shared" si="44"/>
        <v>1/01/2020</v>
      </c>
      <c r="D1460" s="1" t="str">
        <f t="shared" si="45"/>
        <v>1/01/2020</v>
      </c>
      <c r="E1460" t="s">
        <v>37</v>
      </c>
      <c r="F1460" t="s">
        <v>50</v>
      </c>
      <c r="G1460" t="s">
        <v>48</v>
      </c>
      <c r="H1460">
        <v>172</v>
      </c>
      <c r="I1460">
        <v>167</v>
      </c>
      <c r="K1460">
        <v>35</v>
      </c>
      <c r="M1460">
        <v>12</v>
      </c>
      <c r="O1460">
        <v>13</v>
      </c>
      <c r="S1460">
        <v>33</v>
      </c>
      <c r="T1460">
        <v>11</v>
      </c>
      <c r="U1460">
        <v>0</v>
      </c>
      <c r="V1460">
        <v>0</v>
      </c>
      <c r="W1460" s="1">
        <v>44160</v>
      </c>
      <c r="X1460" t="s">
        <v>56</v>
      </c>
      <c r="AA1460" t="s">
        <v>40</v>
      </c>
      <c r="AC1460" t="s">
        <v>40</v>
      </c>
      <c r="AE1460" t="s">
        <v>40</v>
      </c>
      <c r="AG1460" t="s">
        <v>40</v>
      </c>
      <c r="AH1460" t="s">
        <v>40</v>
      </c>
      <c r="AI1460" t="s">
        <v>40</v>
      </c>
    </row>
    <row r="1461" spans="1:39" x14ac:dyDescent="0.3">
      <c r="A1461">
        <v>2020</v>
      </c>
      <c r="B1461">
        <v>1</v>
      </c>
      <c r="C1461" t="str">
        <f t="shared" si="44"/>
        <v>1/01/2020</v>
      </c>
      <c r="D1461" s="1" t="str">
        <f t="shared" si="45"/>
        <v>1/01/2020</v>
      </c>
      <c r="E1461" t="s">
        <v>37</v>
      </c>
      <c r="F1461" t="s">
        <v>50</v>
      </c>
      <c r="G1461" t="s">
        <v>49</v>
      </c>
      <c r="H1461">
        <v>148</v>
      </c>
      <c r="I1461">
        <v>143</v>
      </c>
      <c r="K1461">
        <v>22</v>
      </c>
      <c r="S1461">
        <v>33</v>
      </c>
      <c r="T1461">
        <v>10</v>
      </c>
      <c r="U1461">
        <v>0</v>
      </c>
      <c r="V1461">
        <v>0</v>
      </c>
      <c r="W1461" s="1">
        <v>44160</v>
      </c>
      <c r="X1461" t="s">
        <v>56</v>
      </c>
      <c r="AA1461" t="s">
        <v>40</v>
      </c>
      <c r="AC1461" t="s">
        <v>40</v>
      </c>
      <c r="AD1461" t="s">
        <v>40</v>
      </c>
      <c r="AE1461" t="s">
        <v>40</v>
      </c>
      <c r="AF1461" t="s">
        <v>40</v>
      </c>
      <c r="AG1461" t="s">
        <v>40</v>
      </c>
      <c r="AH1461" t="s">
        <v>40</v>
      </c>
      <c r="AI1461" t="s">
        <v>40</v>
      </c>
    </row>
    <row r="1462" spans="1:39" x14ac:dyDescent="0.3">
      <c r="A1462">
        <v>2020</v>
      </c>
      <c r="B1462">
        <v>1</v>
      </c>
      <c r="C1462" t="str">
        <f t="shared" si="44"/>
        <v>1/01/2020</v>
      </c>
      <c r="D1462" s="1" t="str">
        <f t="shared" si="45"/>
        <v>1/01/2020</v>
      </c>
      <c r="E1462" t="s">
        <v>37</v>
      </c>
      <c r="F1462" t="s">
        <v>51</v>
      </c>
      <c r="G1462" t="s">
        <v>39</v>
      </c>
      <c r="H1462">
        <v>26</v>
      </c>
      <c r="I1462">
        <v>26</v>
      </c>
      <c r="J1462">
        <v>0</v>
      </c>
      <c r="K1462">
        <v>0</v>
      </c>
      <c r="L1462">
        <v>0</v>
      </c>
      <c r="M1462">
        <v>0</v>
      </c>
      <c r="N1462">
        <v>0</v>
      </c>
      <c r="P1462">
        <v>0</v>
      </c>
      <c r="Q1462">
        <v>0</v>
      </c>
      <c r="S1462">
        <v>0</v>
      </c>
      <c r="T1462">
        <v>0</v>
      </c>
      <c r="U1462">
        <v>0</v>
      </c>
      <c r="V1462">
        <v>0</v>
      </c>
      <c r="W1462" s="1">
        <v>44160</v>
      </c>
      <c r="X1462" t="s">
        <v>56</v>
      </c>
      <c r="AF1462" t="s">
        <v>40</v>
      </c>
      <c r="AI1462" t="s">
        <v>40</v>
      </c>
    </row>
    <row r="1463" spans="1:39" x14ac:dyDescent="0.3">
      <c r="A1463">
        <v>2020</v>
      </c>
      <c r="B1463">
        <v>1</v>
      </c>
      <c r="C1463" t="str">
        <f t="shared" si="44"/>
        <v>1/01/2020</v>
      </c>
      <c r="D1463" s="1" t="str">
        <f t="shared" si="45"/>
        <v>1/01/2020</v>
      </c>
      <c r="E1463" t="s">
        <v>37</v>
      </c>
      <c r="F1463" t="s">
        <v>51</v>
      </c>
      <c r="G1463" t="s">
        <v>41</v>
      </c>
      <c r="H1463">
        <v>26</v>
      </c>
      <c r="I1463">
        <v>13</v>
      </c>
      <c r="J1463">
        <v>0</v>
      </c>
      <c r="L1463">
        <v>0</v>
      </c>
      <c r="M1463">
        <v>0</v>
      </c>
      <c r="O1463">
        <v>0</v>
      </c>
      <c r="P1463">
        <v>0</v>
      </c>
      <c r="Q1463">
        <v>0</v>
      </c>
      <c r="U1463">
        <v>0</v>
      </c>
      <c r="V1463">
        <v>0</v>
      </c>
      <c r="W1463" s="1">
        <v>44160</v>
      </c>
      <c r="X1463" t="s">
        <v>56</v>
      </c>
      <c r="AB1463" t="s">
        <v>40</v>
      </c>
      <c r="AE1463" t="s">
        <v>40</v>
      </c>
      <c r="AI1463" t="s">
        <v>40</v>
      </c>
      <c r="AJ1463" t="s">
        <v>40</v>
      </c>
      <c r="AK1463" t="s">
        <v>40</v>
      </c>
    </row>
    <row r="1464" spans="1:39" x14ac:dyDescent="0.3">
      <c r="A1464">
        <v>2020</v>
      </c>
      <c r="B1464">
        <v>1</v>
      </c>
      <c r="C1464" t="str">
        <f t="shared" si="44"/>
        <v>1/01/2020</v>
      </c>
      <c r="D1464" s="1" t="str">
        <f t="shared" si="45"/>
        <v>1/01/2020</v>
      </c>
      <c r="E1464" t="s">
        <v>37</v>
      </c>
      <c r="F1464" t="s">
        <v>51</v>
      </c>
      <c r="G1464" t="s">
        <v>42</v>
      </c>
      <c r="H1464">
        <v>36</v>
      </c>
      <c r="I1464">
        <v>27</v>
      </c>
      <c r="M1464">
        <v>0</v>
      </c>
      <c r="N1464">
        <v>0</v>
      </c>
      <c r="O1464">
        <v>0</v>
      </c>
      <c r="P1464">
        <v>0</v>
      </c>
      <c r="Q1464">
        <v>0</v>
      </c>
      <c r="U1464">
        <v>0</v>
      </c>
      <c r="V1464">
        <v>0</v>
      </c>
      <c r="W1464" s="1">
        <v>44160</v>
      </c>
      <c r="X1464" t="s">
        <v>56</v>
      </c>
      <c r="AA1464" t="s">
        <v>40</v>
      </c>
      <c r="AB1464" t="s">
        <v>40</v>
      </c>
      <c r="AC1464" t="s">
        <v>40</v>
      </c>
      <c r="AI1464" t="s">
        <v>40</v>
      </c>
      <c r="AJ1464" t="s">
        <v>40</v>
      </c>
      <c r="AK1464" t="s">
        <v>40</v>
      </c>
    </row>
    <row r="1465" spans="1:39" x14ac:dyDescent="0.3">
      <c r="A1465">
        <v>2020</v>
      </c>
      <c r="B1465">
        <v>1</v>
      </c>
      <c r="C1465" t="str">
        <f t="shared" si="44"/>
        <v>1/01/2020</v>
      </c>
      <c r="D1465" s="1" t="str">
        <f t="shared" si="45"/>
        <v>1/01/2020</v>
      </c>
      <c r="E1465" t="s">
        <v>37</v>
      </c>
      <c r="F1465" t="s">
        <v>51</v>
      </c>
      <c r="G1465" t="s">
        <v>43</v>
      </c>
      <c r="H1465">
        <v>53</v>
      </c>
      <c r="I1465">
        <v>36</v>
      </c>
      <c r="J1465">
        <v>0</v>
      </c>
      <c r="K1465">
        <v>17</v>
      </c>
      <c r="M1465">
        <v>0</v>
      </c>
      <c r="O1465">
        <v>0</v>
      </c>
      <c r="Q1465">
        <v>0</v>
      </c>
      <c r="R1465">
        <v>0</v>
      </c>
      <c r="U1465">
        <v>0</v>
      </c>
      <c r="V1465">
        <v>0</v>
      </c>
      <c r="W1465" s="1">
        <v>44160</v>
      </c>
      <c r="X1465" t="s">
        <v>56</v>
      </c>
      <c r="AC1465" t="s">
        <v>40</v>
      </c>
      <c r="AE1465" t="s">
        <v>40</v>
      </c>
      <c r="AG1465" t="s">
        <v>40</v>
      </c>
      <c r="AJ1465" t="s">
        <v>40</v>
      </c>
      <c r="AK1465" t="s">
        <v>40</v>
      </c>
    </row>
    <row r="1466" spans="1:39" x14ac:dyDescent="0.3">
      <c r="A1466">
        <v>2020</v>
      </c>
      <c r="B1466">
        <v>1</v>
      </c>
      <c r="C1466" t="str">
        <f t="shared" si="44"/>
        <v>1/01/2020</v>
      </c>
      <c r="D1466" s="1" t="str">
        <f t="shared" si="45"/>
        <v>1/01/2020</v>
      </c>
      <c r="E1466" t="s">
        <v>37</v>
      </c>
      <c r="F1466" t="s">
        <v>51</v>
      </c>
      <c r="G1466" t="s">
        <v>44</v>
      </c>
      <c r="H1466">
        <v>133</v>
      </c>
      <c r="I1466">
        <v>123</v>
      </c>
      <c r="K1466">
        <v>66</v>
      </c>
      <c r="M1466">
        <v>0</v>
      </c>
      <c r="Q1466">
        <v>0</v>
      </c>
      <c r="R1466">
        <v>0</v>
      </c>
      <c r="T1466">
        <v>12</v>
      </c>
      <c r="U1466">
        <v>0</v>
      </c>
      <c r="V1466">
        <v>0</v>
      </c>
      <c r="W1466" s="1">
        <v>44160</v>
      </c>
      <c r="X1466" t="s">
        <v>56</v>
      </c>
      <c r="AA1466" t="s">
        <v>40</v>
      </c>
      <c r="AC1466" t="s">
        <v>40</v>
      </c>
      <c r="AE1466" t="s">
        <v>40</v>
      </c>
      <c r="AF1466" t="s">
        <v>40</v>
      </c>
      <c r="AG1466" t="s">
        <v>40</v>
      </c>
      <c r="AJ1466" t="s">
        <v>40</v>
      </c>
    </row>
    <row r="1467" spans="1:39" x14ac:dyDescent="0.3">
      <c r="A1467">
        <v>2020</v>
      </c>
      <c r="B1467">
        <v>1</v>
      </c>
      <c r="C1467" t="str">
        <f t="shared" si="44"/>
        <v>1/01/2020</v>
      </c>
      <c r="D1467" s="1" t="str">
        <f t="shared" si="45"/>
        <v>1/01/2020</v>
      </c>
      <c r="E1467" t="s">
        <v>37</v>
      </c>
      <c r="F1467" t="s">
        <v>51</v>
      </c>
      <c r="G1467" t="s">
        <v>45</v>
      </c>
      <c r="J1467">
        <v>0</v>
      </c>
      <c r="K1467">
        <v>0</v>
      </c>
      <c r="L1467">
        <v>0</v>
      </c>
      <c r="M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 s="1">
        <v>44160</v>
      </c>
      <c r="X1467" t="s">
        <v>56</v>
      </c>
      <c r="Y1467" t="s">
        <v>40</v>
      </c>
      <c r="Z1467" t="s">
        <v>40</v>
      </c>
      <c r="AE1467" t="s">
        <v>40</v>
      </c>
    </row>
    <row r="1468" spans="1:39" x14ac:dyDescent="0.3">
      <c r="A1468">
        <v>2020</v>
      </c>
      <c r="B1468">
        <v>1</v>
      </c>
      <c r="C1468" t="str">
        <f t="shared" si="44"/>
        <v>1/01/2020</v>
      </c>
      <c r="D1468" s="1" t="str">
        <f t="shared" si="45"/>
        <v>1/01/2020</v>
      </c>
      <c r="E1468" t="s">
        <v>37</v>
      </c>
      <c r="F1468" t="s">
        <v>51</v>
      </c>
      <c r="G1468" t="s">
        <v>46</v>
      </c>
      <c r="H1468">
        <v>261</v>
      </c>
      <c r="I1468">
        <v>246</v>
      </c>
      <c r="K1468">
        <v>115</v>
      </c>
      <c r="L1468">
        <v>11</v>
      </c>
      <c r="M1468">
        <v>0</v>
      </c>
      <c r="S1468">
        <v>30</v>
      </c>
      <c r="T1468">
        <v>18</v>
      </c>
      <c r="U1468">
        <v>0</v>
      </c>
      <c r="V1468">
        <v>0</v>
      </c>
      <c r="W1468" s="1">
        <v>44160</v>
      </c>
      <c r="X1468" t="s">
        <v>56</v>
      </c>
      <c r="AA1468" t="s">
        <v>40</v>
      </c>
      <c r="AE1468" t="s">
        <v>40</v>
      </c>
      <c r="AF1468" t="s">
        <v>40</v>
      </c>
      <c r="AG1468" t="s">
        <v>40</v>
      </c>
      <c r="AH1468" t="s">
        <v>40</v>
      </c>
      <c r="AI1468" t="s">
        <v>40</v>
      </c>
    </row>
    <row r="1469" spans="1:39" x14ac:dyDescent="0.3">
      <c r="A1469">
        <v>2020</v>
      </c>
      <c r="B1469">
        <v>1</v>
      </c>
      <c r="C1469" t="str">
        <f t="shared" si="44"/>
        <v>1/01/2020</v>
      </c>
      <c r="D1469" s="1" t="str">
        <f t="shared" si="45"/>
        <v>1/01/2020</v>
      </c>
      <c r="E1469" t="s">
        <v>37</v>
      </c>
      <c r="F1469" t="s">
        <v>51</v>
      </c>
      <c r="G1469" t="s">
        <v>47</v>
      </c>
      <c r="H1469">
        <v>564</v>
      </c>
      <c r="I1469">
        <v>550</v>
      </c>
      <c r="K1469">
        <v>205</v>
      </c>
      <c r="L1469">
        <v>38</v>
      </c>
      <c r="N1469">
        <v>12</v>
      </c>
      <c r="P1469">
        <v>11</v>
      </c>
      <c r="R1469">
        <v>0</v>
      </c>
      <c r="S1469">
        <v>97</v>
      </c>
      <c r="T1469">
        <v>38</v>
      </c>
      <c r="W1469" s="1">
        <v>44160</v>
      </c>
      <c r="X1469" t="s">
        <v>56</v>
      </c>
      <c r="AA1469" t="s">
        <v>40</v>
      </c>
      <c r="AD1469" t="s">
        <v>40</v>
      </c>
      <c r="AF1469" t="s">
        <v>40</v>
      </c>
      <c r="AH1469" t="s">
        <v>40</v>
      </c>
      <c r="AL1469" t="s">
        <v>40</v>
      </c>
      <c r="AM1469" t="s">
        <v>40</v>
      </c>
    </row>
    <row r="1470" spans="1:39" x14ac:dyDescent="0.3">
      <c r="A1470">
        <v>2020</v>
      </c>
      <c r="B1470">
        <v>1</v>
      </c>
      <c r="C1470" t="str">
        <f t="shared" si="44"/>
        <v>1/01/2020</v>
      </c>
      <c r="D1470" s="1" t="str">
        <f t="shared" si="45"/>
        <v>1/01/2020</v>
      </c>
      <c r="E1470" t="s">
        <v>37</v>
      </c>
      <c r="F1470" t="s">
        <v>51</v>
      </c>
      <c r="G1470" t="s">
        <v>48</v>
      </c>
      <c r="H1470">
        <v>749</v>
      </c>
      <c r="I1470">
        <v>727</v>
      </c>
      <c r="J1470">
        <v>10</v>
      </c>
      <c r="K1470">
        <v>179</v>
      </c>
      <c r="L1470">
        <v>30</v>
      </c>
      <c r="M1470">
        <v>30</v>
      </c>
      <c r="N1470">
        <v>28</v>
      </c>
      <c r="O1470">
        <v>21</v>
      </c>
      <c r="Q1470">
        <v>22</v>
      </c>
      <c r="S1470">
        <v>170</v>
      </c>
      <c r="T1470">
        <v>60</v>
      </c>
      <c r="U1470">
        <v>0</v>
      </c>
      <c r="V1470">
        <v>0</v>
      </c>
      <c r="W1470" s="1">
        <v>44160</v>
      </c>
      <c r="X1470" t="s">
        <v>56</v>
      </c>
      <c r="AG1470" t="s">
        <v>40</v>
      </c>
      <c r="AI1470" t="s">
        <v>40</v>
      </c>
    </row>
    <row r="1471" spans="1:39" x14ac:dyDescent="0.3">
      <c r="A1471">
        <v>2020</v>
      </c>
      <c r="B1471">
        <v>1</v>
      </c>
      <c r="C1471" t="str">
        <f t="shared" si="44"/>
        <v>1/01/2020</v>
      </c>
      <c r="D1471" s="1" t="str">
        <f t="shared" si="45"/>
        <v>1/01/2020</v>
      </c>
      <c r="E1471" t="s">
        <v>37</v>
      </c>
      <c r="F1471" t="s">
        <v>51</v>
      </c>
      <c r="G1471" t="s">
        <v>49</v>
      </c>
      <c r="H1471" s="2">
        <v>1528</v>
      </c>
      <c r="I1471" s="2">
        <v>1489</v>
      </c>
      <c r="J1471">
        <v>12</v>
      </c>
      <c r="K1471">
        <v>155</v>
      </c>
      <c r="L1471">
        <v>43</v>
      </c>
      <c r="M1471">
        <v>159</v>
      </c>
      <c r="N1471">
        <v>65</v>
      </c>
      <c r="O1471">
        <v>44</v>
      </c>
      <c r="P1471">
        <v>24</v>
      </c>
      <c r="Q1471">
        <v>33</v>
      </c>
      <c r="R1471">
        <v>16</v>
      </c>
      <c r="S1471">
        <v>362</v>
      </c>
      <c r="T1471">
        <v>164</v>
      </c>
      <c r="U1471">
        <v>0</v>
      </c>
      <c r="V1471">
        <v>0</v>
      </c>
      <c r="W1471" s="1">
        <v>44160</v>
      </c>
      <c r="X1471" t="s">
        <v>56</v>
      </c>
    </row>
    <row r="1472" spans="1:39" x14ac:dyDescent="0.3">
      <c r="A1472">
        <v>2020</v>
      </c>
      <c r="B1472">
        <v>1</v>
      </c>
      <c r="C1472" t="str">
        <f t="shared" si="44"/>
        <v>1/01/2020</v>
      </c>
      <c r="D1472" s="1" t="str">
        <f t="shared" si="45"/>
        <v>1/01/2020</v>
      </c>
      <c r="E1472" t="s">
        <v>37</v>
      </c>
      <c r="F1472" t="s">
        <v>52</v>
      </c>
      <c r="G1472" t="s">
        <v>39</v>
      </c>
      <c r="H1472">
        <v>265</v>
      </c>
      <c r="I1472">
        <v>239</v>
      </c>
      <c r="L1472">
        <v>0</v>
      </c>
      <c r="M1472">
        <v>0</v>
      </c>
      <c r="O1472">
        <v>0</v>
      </c>
      <c r="Q1472">
        <v>0</v>
      </c>
      <c r="R1472">
        <v>44</v>
      </c>
      <c r="U1472">
        <v>0</v>
      </c>
      <c r="V1472">
        <v>0</v>
      </c>
      <c r="W1472" s="1">
        <v>44160</v>
      </c>
      <c r="X1472" t="s">
        <v>56</v>
      </c>
      <c r="AA1472" t="s">
        <v>40</v>
      </c>
      <c r="AB1472" t="s">
        <v>40</v>
      </c>
      <c r="AE1472" t="s">
        <v>40</v>
      </c>
      <c r="AG1472" t="s">
        <v>40</v>
      </c>
      <c r="AJ1472" t="s">
        <v>40</v>
      </c>
      <c r="AK1472" t="s">
        <v>40</v>
      </c>
    </row>
    <row r="1473" spans="1:39" x14ac:dyDescent="0.3">
      <c r="A1473">
        <v>2020</v>
      </c>
      <c r="B1473">
        <v>1</v>
      </c>
      <c r="C1473" t="str">
        <f t="shared" si="44"/>
        <v>1/01/2020</v>
      </c>
      <c r="D1473" s="1" t="str">
        <f t="shared" si="45"/>
        <v>1/01/2020</v>
      </c>
      <c r="E1473" t="s">
        <v>37</v>
      </c>
      <c r="F1473" t="s">
        <v>52</v>
      </c>
      <c r="G1473" t="s">
        <v>41</v>
      </c>
      <c r="H1473">
        <v>143</v>
      </c>
      <c r="I1473">
        <v>59</v>
      </c>
      <c r="M1473">
        <v>0</v>
      </c>
      <c r="U1473">
        <v>0</v>
      </c>
      <c r="V1473">
        <v>0</v>
      </c>
      <c r="W1473" s="1">
        <v>44160</v>
      </c>
      <c r="X1473" t="s">
        <v>56</v>
      </c>
      <c r="AA1473" t="s">
        <v>40</v>
      </c>
      <c r="AB1473" t="s">
        <v>40</v>
      </c>
      <c r="AC1473" t="s">
        <v>40</v>
      </c>
      <c r="AE1473" t="s">
        <v>40</v>
      </c>
      <c r="AF1473" t="s">
        <v>40</v>
      </c>
      <c r="AG1473" t="s">
        <v>40</v>
      </c>
      <c r="AH1473" t="s">
        <v>40</v>
      </c>
      <c r="AI1473" t="s">
        <v>40</v>
      </c>
      <c r="AJ1473" t="s">
        <v>40</v>
      </c>
      <c r="AK1473" t="s">
        <v>40</v>
      </c>
    </row>
    <row r="1474" spans="1:39" x14ac:dyDescent="0.3">
      <c r="A1474">
        <v>2020</v>
      </c>
      <c r="B1474">
        <v>1</v>
      </c>
      <c r="C1474" t="str">
        <f t="shared" si="44"/>
        <v>1/01/2020</v>
      </c>
      <c r="D1474" s="1" t="str">
        <f t="shared" si="45"/>
        <v>1/01/2020</v>
      </c>
      <c r="E1474" t="s">
        <v>37</v>
      </c>
      <c r="F1474" t="s">
        <v>52</v>
      </c>
      <c r="G1474" t="s">
        <v>42</v>
      </c>
      <c r="H1474">
        <v>323</v>
      </c>
      <c r="I1474">
        <v>200</v>
      </c>
      <c r="K1474">
        <v>36</v>
      </c>
      <c r="M1474">
        <v>0</v>
      </c>
      <c r="R1474">
        <v>16</v>
      </c>
      <c r="S1474">
        <v>40</v>
      </c>
      <c r="T1474">
        <v>10</v>
      </c>
      <c r="U1474">
        <v>0</v>
      </c>
      <c r="V1474">
        <v>0</v>
      </c>
      <c r="W1474" s="1">
        <v>44160</v>
      </c>
      <c r="X1474" t="s">
        <v>56</v>
      </c>
      <c r="AA1474" t="s">
        <v>40</v>
      </c>
      <c r="AC1474" t="s">
        <v>40</v>
      </c>
      <c r="AE1474" t="s">
        <v>40</v>
      </c>
      <c r="AF1474" t="s">
        <v>40</v>
      </c>
      <c r="AG1474" t="s">
        <v>40</v>
      </c>
      <c r="AH1474" t="s">
        <v>40</v>
      </c>
    </row>
    <row r="1475" spans="1:39" x14ac:dyDescent="0.3">
      <c r="A1475">
        <v>2020</v>
      </c>
      <c r="B1475">
        <v>1</v>
      </c>
      <c r="C1475" t="str">
        <f t="shared" ref="C1475:C1538" si="46">CONCATENATE(B1475,"/01/",A1475)</f>
        <v>1/01/2020</v>
      </c>
      <c r="D1475" s="1" t="str">
        <f t="shared" ref="D1475:D1538" si="47">C1475</f>
        <v>1/01/2020</v>
      </c>
      <c r="E1475" t="s">
        <v>37</v>
      </c>
      <c r="F1475" t="s">
        <v>52</v>
      </c>
      <c r="G1475" t="s">
        <v>43</v>
      </c>
      <c r="H1475">
        <v>576</v>
      </c>
      <c r="I1475">
        <v>455</v>
      </c>
      <c r="K1475">
        <v>94</v>
      </c>
      <c r="L1475">
        <v>30</v>
      </c>
      <c r="M1475">
        <v>0</v>
      </c>
      <c r="N1475">
        <v>20</v>
      </c>
      <c r="O1475">
        <v>10</v>
      </c>
      <c r="R1475">
        <v>15</v>
      </c>
      <c r="S1475">
        <v>100</v>
      </c>
      <c r="T1475">
        <v>24</v>
      </c>
      <c r="U1475">
        <v>0</v>
      </c>
      <c r="V1475">
        <v>0</v>
      </c>
      <c r="W1475" s="1">
        <v>44160</v>
      </c>
      <c r="X1475" t="s">
        <v>56</v>
      </c>
      <c r="AA1475" t="s">
        <v>40</v>
      </c>
      <c r="AG1475" t="s">
        <v>40</v>
      </c>
      <c r="AH1475" t="s">
        <v>40</v>
      </c>
    </row>
    <row r="1476" spans="1:39" x14ac:dyDescent="0.3">
      <c r="A1476">
        <v>2020</v>
      </c>
      <c r="B1476">
        <v>1</v>
      </c>
      <c r="C1476" t="str">
        <f t="shared" si="46"/>
        <v>1/01/2020</v>
      </c>
      <c r="D1476" s="1" t="str">
        <f t="shared" si="47"/>
        <v>1/01/2020</v>
      </c>
      <c r="E1476" t="s">
        <v>37</v>
      </c>
      <c r="F1476" t="s">
        <v>52</v>
      </c>
      <c r="G1476" t="s">
        <v>44</v>
      </c>
      <c r="H1476" s="2">
        <v>1179</v>
      </c>
      <c r="I1476" s="2">
        <v>1050</v>
      </c>
      <c r="J1476">
        <v>18</v>
      </c>
      <c r="K1476">
        <v>299</v>
      </c>
      <c r="L1476">
        <v>55</v>
      </c>
      <c r="N1476">
        <v>40</v>
      </c>
      <c r="O1476">
        <v>16</v>
      </c>
      <c r="P1476">
        <v>17</v>
      </c>
      <c r="Q1476">
        <v>24</v>
      </c>
      <c r="R1476">
        <v>14</v>
      </c>
      <c r="S1476">
        <v>239</v>
      </c>
      <c r="T1476">
        <v>66</v>
      </c>
      <c r="U1476">
        <v>0</v>
      </c>
      <c r="V1476">
        <v>0</v>
      </c>
      <c r="W1476" s="1">
        <v>44160</v>
      </c>
      <c r="X1476" t="s">
        <v>56</v>
      </c>
      <c r="AD1476" t="s">
        <v>40</v>
      </c>
    </row>
    <row r="1477" spans="1:39" x14ac:dyDescent="0.3">
      <c r="A1477">
        <v>2020</v>
      </c>
      <c r="B1477">
        <v>1</v>
      </c>
      <c r="C1477" t="str">
        <f t="shared" si="46"/>
        <v>1/01/2020</v>
      </c>
      <c r="D1477" s="1" t="str">
        <f t="shared" si="47"/>
        <v>1/01/2020</v>
      </c>
      <c r="E1477" t="s">
        <v>37</v>
      </c>
      <c r="F1477" t="s">
        <v>52</v>
      </c>
      <c r="G1477" t="s">
        <v>45</v>
      </c>
      <c r="H1477">
        <v>33</v>
      </c>
      <c r="I1477">
        <v>24</v>
      </c>
      <c r="J1477">
        <v>0</v>
      </c>
      <c r="M1477">
        <v>0</v>
      </c>
      <c r="Q1477">
        <v>0</v>
      </c>
      <c r="T1477">
        <v>0</v>
      </c>
      <c r="U1477">
        <v>0</v>
      </c>
      <c r="V1477">
        <v>0</v>
      </c>
      <c r="W1477" s="1">
        <v>44160</v>
      </c>
      <c r="X1477" t="s">
        <v>56</v>
      </c>
      <c r="AB1477" t="s">
        <v>40</v>
      </c>
      <c r="AC1477" t="s">
        <v>40</v>
      </c>
      <c r="AE1477" t="s">
        <v>40</v>
      </c>
      <c r="AF1477" t="s">
        <v>40</v>
      </c>
      <c r="AG1477" t="s">
        <v>40</v>
      </c>
      <c r="AI1477" t="s">
        <v>40</v>
      </c>
      <c r="AJ1477" t="s">
        <v>40</v>
      </c>
    </row>
    <row r="1478" spans="1:39" x14ac:dyDescent="0.3">
      <c r="A1478">
        <v>2020</v>
      </c>
      <c r="B1478">
        <v>1</v>
      </c>
      <c r="C1478" t="str">
        <f t="shared" si="46"/>
        <v>1/01/2020</v>
      </c>
      <c r="D1478" s="1" t="str">
        <f t="shared" si="47"/>
        <v>1/01/2020</v>
      </c>
      <c r="E1478" t="s">
        <v>37</v>
      </c>
      <c r="F1478" t="s">
        <v>52</v>
      </c>
      <c r="G1478" t="s">
        <v>46</v>
      </c>
      <c r="H1478" s="2">
        <v>2494</v>
      </c>
      <c r="I1478" s="2">
        <v>2334</v>
      </c>
      <c r="J1478">
        <v>67</v>
      </c>
      <c r="K1478">
        <v>731</v>
      </c>
      <c r="L1478">
        <v>133</v>
      </c>
      <c r="N1478">
        <v>62</v>
      </c>
      <c r="O1478">
        <v>108</v>
      </c>
      <c r="P1478">
        <v>36</v>
      </c>
      <c r="Q1478">
        <v>69</v>
      </c>
      <c r="R1478">
        <v>24</v>
      </c>
      <c r="S1478">
        <v>550</v>
      </c>
      <c r="T1478">
        <v>114</v>
      </c>
      <c r="U1478">
        <v>0</v>
      </c>
      <c r="V1478">
        <v>0</v>
      </c>
      <c r="W1478" s="1">
        <v>44160</v>
      </c>
      <c r="X1478" t="s">
        <v>56</v>
      </c>
      <c r="AD1478" t="s">
        <v>40</v>
      </c>
    </row>
    <row r="1479" spans="1:39" x14ac:dyDescent="0.3">
      <c r="A1479">
        <v>2020</v>
      </c>
      <c r="B1479">
        <v>1</v>
      </c>
      <c r="C1479" t="str">
        <f t="shared" si="46"/>
        <v>1/01/2020</v>
      </c>
      <c r="D1479" s="1" t="str">
        <f t="shared" si="47"/>
        <v>1/01/2020</v>
      </c>
      <c r="E1479" t="s">
        <v>37</v>
      </c>
      <c r="F1479" t="s">
        <v>52</v>
      </c>
      <c r="G1479" t="s">
        <v>47</v>
      </c>
      <c r="H1479" s="2">
        <v>3194</v>
      </c>
      <c r="I1479" s="2">
        <v>3112</v>
      </c>
      <c r="J1479">
        <v>71</v>
      </c>
      <c r="K1479">
        <v>879</v>
      </c>
      <c r="L1479">
        <v>178</v>
      </c>
      <c r="M1479">
        <v>45</v>
      </c>
      <c r="N1479">
        <v>70</v>
      </c>
      <c r="O1479">
        <v>143</v>
      </c>
      <c r="P1479">
        <v>54</v>
      </c>
      <c r="Q1479">
        <v>114</v>
      </c>
      <c r="R1479">
        <v>23</v>
      </c>
      <c r="S1479">
        <v>744</v>
      </c>
      <c r="T1479">
        <v>212</v>
      </c>
      <c r="U1479">
        <v>0</v>
      </c>
      <c r="V1479">
        <v>0</v>
      </c>
      <c r="W1479" s="1">
        <v>44160</v>
      </c>
      <c r="X1479" t="s">
        <v>56</v>
      </c>
    </row>
    <row r="1480" spans="1:39" x14ac:dyDescent="0.3">
      <c r="A1480">
        <v>2020</v>
      </c>
      <c r="B1480">
        <v>1</v>
      </c>
      <c r="C1480" t="str">
        <f t="shared" si="46"/>
        <v>1/01/2020</v>
      </c>
      <c r="D1480" s="1" t="str">
        <f t="shared" si="47"/>
        <v>1/01/2020</v>
      </c>
      <c r="E1480" t="s">
        <v>37</v>
      </c>
      <c r="F1480" t="s">
        <v>52</v>
      </c>
      <c r="G1480" t="s">
        <v>48</v>
      </c>
      <c r="H1480" s="2">
        <v>3264</v>
      </c>
      <c r="I1480" s="2">
        <v>3206</v>
      </c>
      <c r="J1480">
        <v>63</v>
      </c>
      <c r="K1480">
        <v>653</v>
      </c>
      <c r="L1480">
        <v>172</v>
      </c>
      <c r="M1480">
        <v>163</v>
      </c>
      <c r="N1480">
        <v>57</v>
      </c>
      <c r="O1480">
        <v>135</v>
      </c>
      <c r="P1480">
        <v>38</v>
      </c>
      <c r="Q1480">
        <v>130</v>
      </c>
      <c r="R1480">
        <v>24</v>
      </c>
      <c r="S1480">
        <v>788</v>
      </c>
      <c r="T1480">
        <v>269</v>
      </c>
      <c r="W1480" s="1">
        <v>44160</v>
      </c>
      <c r="X1480" t="s">
        <v>56</v>
      </c>
      <c r="AL1480" t="s">
        <v>40</v>
      </c>
      <c r="AM1480" t="s">
        <v>40</v>
      </c>
    </row>
    <row r="1481" spans="1:39" x14ac:dyDescent="0.3">
      <c r="A1481">
        <v>2020</v>
      </c>
      <c r="B1481">
        <v>1</v>
      </c>
      <c r="C1481" t="str">
        <f t="shared" si="46"/>
        <v>1/01/2020</v>
      </c>
      <c r="D1481" s="1" t="str">
        <f t="shared" si="47"/>
        <v>1/01/2020</v>
      </c>
      <c r="E1481" t="s">
        <v>37</v>
      </c>
      <c r="F1481" t="s">
        <v>52</v>
      </c>
      <c r="G1481" t="s">
        <v>49</v>
      </c>
      <c r="H1481" s="2">
        <v>3786</v>
      </c>
      <c r="I1481" s="2">
        <v>3728</v>
      </c>
      <c r="J1481">
        <v>52</v>
      </c>
      <c r="K1481">
        <v>404</v>
      </c>
      <c r="L1481">
        <v>109</v>
      </c>
      <c r="M1481">
        <v>377</v>
      </c>
      <c r="N1481">
        <v>76</v>
      </c>
      <c r="O1481">
        <v>136</v>
      </c>
      <c r="P1481">
        <v>38</v>
      </c>
      <c r="Q1481">
        <v>109</v>
      </c>
      <c r="R1481">
        <v>53</v>
      </c>
      <c r="S1481" s="2">
        <v>1033</v>
      </c>
      <c r="T1481">
        <v>358</v>
      </c>
      <c r="U1481">
        <v>0</v>
      </c>
      <c r="V1481">
        <v>0</v>
      </c>
      <c r="W1481" s="1">
        <v>44160</v>
      </c>
      <c r="X1481" t="s">
        <v>56</v>
      </c>
    </row>
    <row r="1482" spans="1:39" x14ac:dyDescent="0.3">
      <c r="A1482">
        <v>2020</v>
      </c>
      <c r="B1482">
        <v>1</v>
      </c>
      <c r="C1482" t="str">
        <f t="shared" si="46"/>
        <v>1/01/2020</v>
      </c>
      <c r="D1482" s="1" t="str">
        <f t="shared" si="47"/>
        <v>1/01/2020</v>
      </c>
      <c r="E1482" t="s">
        <v>37</v>
      </c>
      <c r="F1482" t="s">
        <v>53</v>
      </c>
      <c r="G1482" t="s">
        <v>39</v>
      </c>
      <c r="H1482">
        <v>416</v>
      </c>
      <c r="I1482">
        <v>376</v>
      </c>
      <c r="L1482">
        <v>0</v>
      </c>
      <c r="M1482">
        <v>0</v>
      </c>
      <c r="Q1482">
        <v>0</v>
      </c>
      <c r="R1482">
        <v>35</v>
      </c>
      <c r="S1482">
        <v>12</v>
      </c>
      <c r="U1482">
        <v>0</v>
      </c>
      <c r="V1482">
        <v>0</v>
      </c>
      <c r="W1482" s="1">
        <v>44160</v>
      </c>
      <c r="X1482" t="s">
        <v>56</v>
      </c>
      <c r="AA1482" t="s">
        <v>40</v>
      </c>
      <c r="AB1482" t="s">
        <v>40</v>
      </c>
      <c r="AE1482" t="s">
        <v>40</v>
      </c>
      <c r="AF1482" t="s">
        <v>40</v>
      </c>
      <c r="AG1482" t="s">
        <v>40</v>
      </c>
      <c r="AK1482" t="s">
        <v>40</v>
      </c>
    </row>
    <row r="1483" spans="1:39" x14ac:dyDescent="0.3">
      <c r="A1483">
        <v>2020</v>
      </c>
      <c r="B1483">
        <v>1</v>
      </c>
      <c r="C1483" t="str">
        <f t="shared" si="46"/>
        <v>1/01/2020</v>
      </c>
      <c r="D1483" s="1" t="str">
        <f t="shared" si="47"/>
        <v>1/01/2020</v>
      </c>
      <c r="E1483" t="s">
        <v>37</v>
      </c>
      <c r="F1483" t="s">
        <v>53</v>
      </c>
      <c r="G1483" t="s">
        <v>41</v>
      </c>
      <c r="H1483">
        <v>360</v>
      </c>
      <c r="I1483">
        <v>133</v>
      </c>
      <c r="K1483">
        <v>26</v>
      </c>
      <c r="M1483">
        <v>0</v>
      </c>
      <c r="S1483">
        <v>16</v>
      </c>
      <c r="U1483">
        <v>0</v>
      </c>
      <c r="V1483">
        <v>0</v>
      </c>
      <c r="W1483" s="1">
        <v>44160</v>
      </c>
      <c r="X1483" t="s">
        <v>56</v>
      </c>
      <c r="AA1483" t="s">
        <v>40</v>
      </c>
      <c r="AC1483" t="s">
        <v>40</v>
      </c>
      <c r="AE1483" t="s">
        <v>40</v>
      </c>
      <c r="AF1483" t="s">
        <v>40</v>
      </c>
      <c r="AG1483" t="s">
        <v>40</v>
      </c>
      <c r="AH1483" t="s">
        <v>40</v>
      </c>
      <c r="AI1483" t="s">
        <v>40</v>
      </c>
      <c r="AK1483" t="s">
        <v>40</v>
      </c>
    </row>
    <row r="1484" spans="1:39" x14ac:dyDescent="0.3">
      <c r="A1484">
        <v>2020</v>
      </c>
      <c r="B1484">
        <v>1</v>
      </c>
      <c r="C1484" t="str">
        <f t="shared" si="46"/>
        <v>1/01/2020</v>
      </c>
      <c r="D1484" s="1" t="str">
        <f t="shared" si="47"/>
        <v>1/01/2020</v>
      </c>
      <c r="E1484" t="s">
        <v>37</v>
      </c>
      <c r="F1484" t="s">
        <v>53</v>
      </c>
      <c r="G1484" t="s">
        <v>42</v>
      </c>
      <c r="H1484">
        <v>937</v>
      </c>
      <c r="I1484">
        <v>431</v>
      </c>
      <c r="K1484">
        <v>104</v>
      </c>
      <c r="L1484">
        <v>13</v>
      </c>
      <c r="M1484">
        <v>0</v>
      </c>
      <c r="N1484">
        <v>33</v>
      </c>
      <c r="R1484">
        <v>33</v>
      </c>
      <c r="S1484">
        <v>48</v>
      </c>
      <c r="T1484">
        <v>10</v>
      </c>
      <c r="U1484">
        <v>0</v>
      </c>
      <c r="V1484">
        <v>0</v>
      </c>
      <c r="W1484" s="1">
        <v>44160</v>
      </c>
      <c r="X1484" t="s">
        <v>56</v>
      </c>
      <c r="AA1484" t="s">
        <v>40</v>
      </c>
      <c r="AF1484" t="s">
        <v>40</v>
      </c>
      <c r="AG1484" t="s">
        <v>40</v>
      </c>
      <c r="AH1484" t="s">
        <v>40</v>
      </c>
    </row>
    <row r="1485" spans="1:39" x14ac:dyDescent="0.3">
      <c r="A1485">
        <v>2020</v>
      </c>
      <c r="B1485">
        <v>1</v>
      </c>
      <c r="C1485" t="str">
        <f t="shared" si="46"/>
        <v>1/01/2020</v>
      </c>
      <c r="D1485" s="1" t="str">
        <f t="shared" si="47"/>
        <v>1/01/2020</v>
      </c>
      <c r="E1485" t="s">
        <v>37</v>
      </c>
      <c r="F1485" t="s">
        <v>53</v>
      </c>
      <c r="G1485" t="s">
        <v>43</v>
      </c>
      <c r="H1485" s="2">
        <v>1637</v>
      </c>
      <c r="I1485" s="2">
        <v>1034</v>
      </c>
      <c r="J1485">
        <v>27</v>
      </c>
      <c r="K1485">
        <v>272</v>
      </c>
      <c r="L1485">
        <v>46</v>
      </c>
      <c r="M1485">
        <v>0</v>
      </c>
      <c r="N1485">
        <v>59</v>
      </c>
      <c r="O1485">
        <v>24</v>
      </c>
      <c r="P1485">
        <v>14</v>
      </c>
      <c r="Q1485">
        <v>13</v>
      </c>
      <c r="R1485">
        <v>33</v>
      </c>
      <c r="S1485">
        <v>163</v>
      </c>
      <c r="T1485">
        <v>35</v>
      </c>
      <c r="U1485">
        <v>0</v>
      </c>
      <c r="V1485">
        <v>0</v>
      </c>
      <c r="W1485" s="1">
        <v>44160</v>
      </c>
      <c r="X1485" t="s">
        <v>56</v>
      </c>
    </row>
    <row r="1486" spans="1:39" x14ac:dyDescent="0.3">
      <c r="A1486">
        <v>2020</v>
      </c>
      <c r="B1486">
        <v>1</v>
      </c>
      <c r="C1486" t="str">
        <f t="shared" si="46"/>
        <v>1/01/2020</v>
      </c>
      <c r="D1486" s="1" t="str">
        <f t="shared" si="47"/>
        <v>1/01/2020</v>
      </c>
      <c r="E1486" t="s">
        <v>37</v>
      </c>
      <c r="F1486" t="s">
        <v>53</v>
      </c>
      <c r="G1486" t="s">
        <v>44</v>
      </c>
      <c r="H1486" s="2">
        <v>3460</v>
      </c>
      <c r="I1486" s="2">
        <v>2894</v>
      </c>
      <c r="J1486">
        <v>55</v>
      </c>
      <c r="K1486">
        <v>987</v>
      </c>
      <c r="L1486">
        <v>115</v>
      </c>
      <c r="N1486">
        <v>89</v>
      </c>
      <c r="O1486">
        <v>127</v>
      </c>
      <c r="P1486">
        <v>43</v>
      </c>
      <c r="Q1486">
        <v>30</v>
      </c>
      <c r="R1486">
        <v>58</v>
      </c>
      <c r="S1486">
        <v>458</v>
      </c>
      <c r="T1486">
        <v>104</v>
      </c>
      <c r="W1486" s="1">
        <v>44160</v>
      </c>
      <c r="X1486" t="s">
        <v>56</v>
      </c>
      <c r="AD1486" t="s">
        <v>40</v>
      </c>
      <c r="AL1486" t="s">
        <v>40</v>
      </c>
      <c r="AM1486" t="s">
        <v>40</v>
      </c>
    </row>
    <row r="1487" spans="1:39" x14ac:dyDescent="0.3">
      <c r="A1487">
        <v>2020</v>
      </c>
      <c r="B1487">
        <v>1</v>
      </c>
      <c r="C1487" t="str">
        <f t="shared" si="46"/>
        <v>1/01/2020</v>
      </c>
      <c r="D1487" s="1" t="str">
        <f t="shared" si="47"/>
        <v>1/01/2020</v>
      </c>
      <c r="E1487" t="s">
        <v>37</v>
      </c>
      <c r="F1487" t="s">
        <v>53</v>
      </c>
      <c r="G1487" t="s">
        <v>45</v>
      </c>
      <c r="H1487">
        <v>93</v>
      </c>
      <c r="I1487">
        <v>58</v>
      </c>
      <c r="J1487">
        <v>0</v>
      </c>
      <c r="K1487">
        <v>15</v>
      </c>
      <c r="M1487">
        <v>0</v>
      </c>
      <c r="O1487">
        <v>0</v>
      </c>
      <c r="Q1487">
        <v>0</v>
      </c>
      <c r="U1487">
        <v>0</v>
      </c>
      <c r="V1487">
        <v>0</v>
      </c>
      <c r="W1487" s="1">
        <v>44160</v>
      </c>
      <c r="X1487" t="s">
        <v>56</v>
      </c>
      <c r="AC1487" t="s">
        <v>40</v>
      </c>
      <c r="AE1487" t="s">
        <v>40</v>
      </c>
      <c r="AG1487" t="s">
        <v>40</v>
      </c>
      <c r="AI1487" t="s">
        <v>40</v>
      </c>
      <c r="AJ1487" t="s">
        <v>40</v>
      </c>
      <c r="AK1487" t="s">
        <v>40</v>
      </c>
    </row>
    <row r="1488" spans="1:39" x14ac:dyDescent="0.3">
      <c r="A1488">
        <v>2020</v>
      </c>
      <c r="B1488">
        <v>1</v>
      </c>
      <c r="C1488" t="str">
        <f t="shared" si="46"/>
        <v>1/01/2020</v>
      </c>
      <c r="D1488" s="1" t="str">
        <f t="shared" si="47"/>
        <v>1/01/2020</v>
      </c>
      <c r="E1488" t="s">
        <v>37</v>
      </c>
      <c r="F1488" t="s">
        <v>53</v>
      </c>
      <c r="G1488" t="s">
        <v>46</v>
      </c>
      <c r="H1488" s="2">
        <v>9383</v>
      </c>
      <c r="I1488" s="2">
        <v>8720</v>
      </c>
      <c r="J1488">
        <v>164</v>
      </c>
      <c r="K1488" s="2">
        <v>3166</v>
      </c>
      <c r="L1488">
        <v>310</v>
      </c>
      <c r="M1488">
        <v>59</v>
      </c>
      <c r="N1488">
        <v>244</v>
      </c>
      <c r="O1488">
        <v>734</v>
      </c>
      <c r="P1488">
        <v>141</v>
      </c>
      <c r="Q1488">
        <v>119</v>
      </c>
      <c r="R1488">
        <v>95</v>
      </c>
      <c r="S1488" s="2">
        <v>1506</v>
      </c>
      <c r="T1488">
        <v>320</v>
      </c>
      <c r="U1488">
        <v>0</v>
      </c>
      <c r="V1488">
        <v>0</v>
      </c>
      <c r="W1488" s="1">
        <v>44160</v>
      </c>
      <c r="X1488" t="s">
        <v>56</v>
      </c>
    </row>
    <row r="1489" spans="1:39" x14ac:dyDescent="0.3">
      <c r="A1489">
        <v>2020</v>
      </c>
      <c r="B1489">
        <v>1</v>
      </c>
      <c r="C1489" t="str">
        <f t="shared" si="46"/>
        <v>1/01/2020</v>
      </c>
      <c r="D1489" s="1" t="str">
        <f t="shared" si="47"/>
        <v>1/01/2020</v>
      </c>
      <c r="E1489" t="s">
        <v>37</v>
      </c>
      <c r="F1489" t="s">
        <v>53</v>
      </c>
      <c r="G1489" t="s">
        <v>47</v>
      </c>
      <c r="H1489" s="2">
        <v>16881</v>
      </c>
      <c r="I1489" s="2">
        <v>16342</v>
      </c>
      <c r="J1489">
        <v>296</v>
      </c>
      <c r="K1489" s="2">
        <v>5187</v>
      </c>
      <c r="L1489">
        <v>551</v>
      </c>
      <c r="M1489">
        <v>358</v>
      </c>
      <c r="N1489">
        <v>409</v>
      </c>
      <c r="O1489" s="2">
        <v>1709</v>
      </c>
      <c r="P1489">
        <v>381</v>
      </c>
      <c r="Q1489">
        <v>308</v>
      </c>
      <c r="R1489">
        <v>127</v>
      </c>
      <c r="S1489" s="2">
        <v>3000</v>
      </c>
      <c r="T1489">
        <v>734</v>
      </c>
      <c r="U1489">
        <v>0</v>
      </c>
      <c r="V1489">
        <v>0</v>
      </c>
      <c r="W1489" s="1">
        <v>44160</v>
      </c>
      <c r="X1489" t="s">
        <v>56</v>
      </c>
    </row>
    <row r="1490" spans="1:39" x14ac:dyDescent="0.3">
      <c r="A1490">
        <v>2020</v>
      </c>
      <c r="B1490">
        <v>1</v>
      </c>
      <c r="C1490" t="str">
        <f t="shared" si="46"/>
        <v>1/01/2020</v>
      </c>
      <c r="D1490" s="1" t="str">
        <f t="shared" si="47"/>
        <v>1/01/2020</v>
      </c>
      <c r="E1490" t="s">
        <v>37</v>
      </c>
      <c r="F1490" t="s">
        <v>53</v>
      </c>
      <c r="G1490" t="s">
        <v>48</v>
      </c>
      <c r="H1490" s="2">
        <v>24512</v>
      </c>
      <c r="I1490" s="2">
        <v>23831</v>
      </c>
      <c r="J1490">
        <v>365</v>
      </c>
      <c r="K1490" s="2">
        <v>5218</v>
      </c>
      <c r="L1490">
        <v>607</v>
      </c>
      <c r="M1490" s="2">
        <v>1530</v>
      </c>
      <c r="N1490">
        <v>606</v>
      </c>
      <c r="O1490" s="2">
        <v>2408</v>
      </c>
      <c r="P1490">
        <v>533</v>
      </c>
      <c r="Q1490">
        <v>488</v>
      </c>
      <c r="R1490">
        <v>217</v>
      </c>
      <c r="S1490" s="2">
        <v>4887</v>
      </c>
      <c r="T1490" s="2">
        <v>1503</v>
      </c>
      <c r="U1490">
        <v>0</v>
      </c>
      <c r="V1490">
        <v>0</v>
      </c>
      <c r="W1490" s="1">
        <v>44160</v>
      </c>
      <c r="X1490" t="s">
        <v>56</v>
      </c>
    </row>
    <row r="1491" spans="1:39" x14ac:dyDescent="0.3">
      <c r="A1491">
        <v>2020</v>
      </c>
      <c r="B1491">
        <v>1</v>
      </c>
      <c r="C1491" t="str">
        <f t="shared" si="46"/>
        <v>1/01/2020</v>
      </c>
      <c r="D1491" s="1" t="str">
        <f t="shared" si="47"/>
        <v>1/01/2020</v>
      </c>
      <c r="E1491" t="s">
        <v>37</v>
      </c>
      <c r="F1491" t="s">
        <v>53</v>
      </c>
      <c r="G1491" t="s">
        <v>49</v>
      </c>
      <c r="H1491" s="2">
        <v>41564</v>
      </c>
      <c r="I1491" s="2">
        <v>40372</v>
      </c>
      <c r="J1491">
        <v>450</v>
      </c>
      <c r="K1491" s="2">
        <v>3874</v>
      </c>
      <c r="L1491">
        <v>623</v>
      </c>
      <c r="M1491" s="2">
        <v>4310</v>
      </c>
      <c r="N1491" s="2">
        <v>1113</v>
      </c>
      <c r="O1491" s="2">
        <v>2252</v>
      </c>
      <c r="P1491">
        <v>606</v>
      </c>
      <c r="Q1491">
        <v>653</v>
      </c>
      <c r="R1491">
        <v>616</v>
      </c>
      <c r="S1491" s="2">
        <v>11453</v>
      </c>
      <c r="T1491" s="2">
        <v>3285</v>
      </c>
      <c r="W1491" s="1">
        <v>44160</v>
      </c>
      <c r="X1491" t="s">
        <v>56</v>
      </c>
      <c r="AL1491" t="s">
        <v>40</v>
      </c>
      <c r="AM1491" t="s">
        <v>40</v>
      </c>
    </row>
    <row r="1492" spans="1:39" x14ac:dyDescent="0.3">
      <c r="A1492">
        <v>2020</v>
      </c>
      <c r="B1492">
        <v>1</v>
      </c>
      <c r="C1492" t="str">
        <f t="shared" si="46"/>
        <v>1/01/2020</v>
      </c>
      <c r="D1492" s="1" t="str">
        <f t="shared" si="47"/>
        <v>1/01/2020</v>
      </c>
      <c r="E1492" t="s">
        <v>37</v>
      </c>
      <c r="F1492" t="s">
        <v>54</v>
      </c>
      <c r="G1492" t="s">
        <v>39</v>
      </c>
      <c r="H1492">
        <v>58</v>
      </c>
      <c r="I1492">
        <v>53</v>
      </c>
      <c r="J1492">
        <v>0</v>
      </c>
      <c r="L1492">
        <v>0</v>
      </c>
      <c r="M1492">
        <v>0</v>
      </c>
      <c r="O1492">
        <v>0</v>
      </c>
      <c r="P1492">
        <v>0</v>
      </c>
      <c r="Q1492">
        <v>0</v>
      </c>
      <c r="T1492">
        <v>0</v>
      </c>
      <c r="U1492">
        <v>0</v>
      </c>
      <c r="V1492">
        <v>0</v>
      </c>
      <c r="W1492" s="1">
        <v>44160</v>
      </c>
      <c r="X1492" t="s">
        <v>56</v>
      </c>
      <c r="AB1492" t="s">
        <v>40</v>
      </c>
      <c r="AE1492" t="s">
        <v>40</v>
      </c>
      <c r="AI1492" t="s">
        <v>40</v>
      </c>
      <c r="AJ1492" t="s">
        <v>40</v>
      </c>
    </row>
    <row r="1493" spans="1:39" x14ac:dyDescent="0.3">
      <c r="A1493">
        <v>2020</v>
      </c>
      <c r="B1493">
        <v>1</v>
      </c>
      <c r="C1493" t="str">
        <f t="shared" si="46"/>
        <v>1/01/2020</v>
      </c>
      <c r="D1493" s="1" t="str">
        <f t="shared" si="47"/>
        <v>1/01/2020</v>
      </c>
      <c r="E1493" t="s">
        <v>37</v>
      </c>
      <c r="F1493" t="s">
        <v>54</v>
      </c>
      <c r="G1493" t="s">
        <v>41</v>
      </c>
      <c r="H1493">
        <v>18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T1493">
        <v>0</v>
      </c>
      <c r="U1493">
        <v>0</v>
      </c>
      <c r="V1493">
        <v>0</v>
      </c>
      <c r="W1493" s="1">
        <v>44160</v>
      </c>
      <c r="X1493" t="s">
        <v>56</v>
      </c>
      <c r="Z1493" t="s">
        <v>40</v>
      </c>
      <c r="AI1493" t="s">
        <v>40</v>
      </c>
      <c r="AJ1493" t="s">
        <v>40</v>
      </c>
    </row>
    <row r="1494" spans="1:39" x14ac:dyDescent="0.3">
      <c r="A1494">
        <v>2020</v>
      </c>
      <c r="B1494">
        <v>1</v>
      </c>
      <c r="C1494" t="str">
        <f t="shared" si="46"/>
        <v>1/01/2020</v>
      </c>
      <c r="D1494" s="1" t="str">
        <f t="shared" si="47"/>
        <v>1/01/2020</v>
      </c>
      <c r="E1494" t="s">
        <v>37</v>
      </c>
      <c r="F1494" t="s">
        <v>54</v>
      </c>
      <c r="G1494" t="s">
        <v>42</v>
      </c>
      <c r="H1494">
        <v>41</v>
      </c>
      <c r="I1494">
        <v>17</v>
      </c>
      <c r="J1494">
        <v>0</v>
      </c>
      <c r="L1494">
        <v>0</v>
      </c>
      <c r="M1494">
        <v>0</v>
      </c>
      <c r="P1494">
        <v>0</v>
      </c>
      <c r="Q1494">
        <v>0</v>
      </c>
      <c r="T1494">
        <v>0</v>
      </c>
      <c r="U1494">
        <v>0</v>
      </c>
      <c r="V1494">
        <v>0</v>
      </c>
      <c r="W1494" s="1">
        <v>44160</v>
      </c>
      <c r="X1494" t="s">
        <v>56</v>
      </c>
      <c r="AB1494" t="s">
        <v>40</v>
      </c>
      <c r="AE1494" t="s">
        <v>40</v>
      </c>
      <c r="AF1494" t="s">
        <v>40</v>
      </c>
      <c r="AI1494" t="s">
        <v>40</v>
      </c>
      <c r="AJ1494" t="s">
        <v>40</v>
      </c>
    </row>
    <row r="1495" spans="1:39" x14ac:dyDescent="0.3">
      <c r="A1495">
        <v>2020</v>
      </c>
      <c r="B1495">
        <v>1</v>
      </c>
      <c r="C1495" t="str">
        <f t="shared" si="46"/>
        <v>1/01/2020</v>
      </c>
      <c r="D1495" s="1" t="str">
        <f t="shared" si="47"/>
        <v>1/01/2020</v>
      </c>
      <c r="E1495" t="s">
        <v>37</v>
      </c>
      <c r="F1495" t="s">
        <v>54</v>
      </c>
      <c r="G1495" t="s">
        <v>43</v>
      </c>
      <c r="H1495">
        <v>55</v>
      </c>
      <c r="I1495">
        <v>38</v>
      </c>
      <c r="J1495">
        <v>0</v>
      </c>
      <c r="K1495">
        <v>12</v>
      </c>
      <c r="M1495">
        <v>0</v>
      </c>
      <c r="P1495">
        <v>0</v>
      </c>
      <c r="R1495">
        <v>0</v>
      </c>
      <c r="T1495">
        <v>0</v>
      </c>
      <c r="U1495">
        <v>0</v>
      </c>
      <c r="V1495">
        <v>0</v>
      </c>
      <c r="W1495" s="1">
        <v>44160</v>
      </c>
      <c r="X1495" t="s">
        <v>56</v>
      </c>
      <c r="AC1495" t="s">
        <v>40</v>
      </c>
      <c r="AE1495" t="s">
        <v>40</v>
      </c>
      <c r="AF1495" t="s">
        <v>40</v>
      </c>
      <c r="AH1495" t="s">
        <v>40</v>
      </c>
      <c r="AJ1495" t="s">
        <v>40</v>
      </c>
    </row>
    <row r="1496" spans="1:39" x14ac:dyDescent="0.3">
      <c r="A1496">
        <v>2020</v>
      </c>
      <c r="B1496">
        <v>1</v>
      </c>
      <c r="C1496" t="str">
        <f t="shared" si="46"/>
        <v>1/01/2020</v>
      </c>
      <c r="D1496" s="1" t="str">
        <f t="shared" si="47"/>
        <v>1/01/2020</v>
      </c>
      <c r="E1496" t="s">
        <v>37</v>
      </c>
      <c r="F1496" t="s">
        <v>54</v>
      </c>
      <c r="G1496" t="s">
        <v>44</v>
      </c>
      <c r="H1496">
        <v>81</v>
      </c>
      <c r="I1496">
        <v>65</v>
      </c>
      <c r="K1496">
        <v>16</v>
      </c>
      <c r="M1496">
        <v>0</v>
      </c>
      <c r="P1496">
        <v>0</v>
      </c>
      <c r="Q1496">
        <v>0</v>
      </c>
      <c r="S1496">
        <v>13</v>
      </c>
      <c r="U1496">
        <v>0</v>
      </c>
      <c r="V1496">
        <v>0</v>
      </c>
      <c r="W1496" s="1">
        <v>44160</v>
      </c>
      <c r="X1496" t="s">
        <v>56</v>
      </c>
      <c r="AA1496" t="s">
        <v>40</v>
      </c>
      <c r="AC1496" t="s">
        <v>40</v>
      </c>
      <c r="AE1496" t="s">
        <v>40</v>
      </c>
      <c r="AF1496" t="s">
        <v>40</v>
      </c>
      <c r="AI1496" t="s">
        <v>40</v>
      </c>
      <c r="AK1496" t="s">
        <v>40</v>
      </c>
    </row>
    <row r="1497" spans="1:39" x14ac:dyDescent="0.3">
      <c r="A1497">
        <v>2020</v>
      </c>
      <c r="B1497">
        <v>1</v>
      </c>
      <c r="C1497" t="str">
        <f t="shared" si="46"/>
        <v>1/01/2020</v>
      </c>
      <c r="D1497" s="1" t="str">
        <f t="shared" si="47"/>
        <v>1/01/2020</v>
      </c>
      <c r="E1497" t="s">
        <v>37</v>
      </c>
      <c r="F1497" t="s">
        <v>54</v>
      </c>
      <c r="G1497" t="s">
        <v>45</v>
      </c>
      <c r="J1497">
        <v>0</v>
      </c>
      <c r="L1497">
        <v>0</v>
      </c>
      <c r="M1497">
        <v>0</v>
      </c>
      <c r="O1497">
        <v>0</v>
      </c>
      <c r="P1497">
        <v>0</v>
      </c>
      <c r="Q1497">
        <v>0</v>
      </c>
      <c r="R1497">
        <v>0</v>
      </c>
      <c r="T1497">
        <v>0</v>
      </c>
      <c r="U1497">
        <v>0</v>
      </c>
      <c r="V1497">
        <v>0</v>
      </c>
      <c r="W1497" s="1">
        <v>44160</v>
      </c>
      <c r="X1497" t="s">
        <v>56</v>
      </c>
      <c r="Y1497" t="s">
        <v>40</v>
      </c>
      <c r="Z1497" t="s">
        <v>40</v>
      </c>
      <c r="AB1497" t="s">
        <v>40</v>
      </c>
      <c r="AE1497" t="s">
        <v>40</v>
      </c>
      <c r="AJ1497" t="s">
        <v>40</v>
      </c>
    </row>
    <row r="1498" spans="1:39" x14ac:dyDescent="0.3">
      <c r="A1498">
        <v>2020</v>
      </c>
      <c r="B1498">
        <v>1</v>
      </c>
      <c r="C1498" t="str">
        <f t="shared" si="46"/>
        <v>1/01/2020</v>
      </c>
      <c r="D1498" s="1" t="str">
        <f t="shared" si="47"/>
        <v>1/01/2020</v>
      </c>
      <c r="E1498" t="s">
        <v>37</v>
      </c>
      <c r="F1498" t="s">
        <v>54</v>
      </c>
      <c r="G1498" t="s">
        <v>46</v>
      </c>
      <c r="H1498">
        <v>161</v>
      </c>
      <c r="I1498">
        <v>148</v>
      </c>
      <c r="K1498">
        <v>45</v>
      </c>
      <c r="M1498">
        <v>0</v>
      </c>
      <c r="S1498">
        <v>32</v>
      </c>
      <c r="U1498">
        <v>0</v>
      </c>
      <c r="V1498">
        <v>0</v>
      </c>
      <c r="W1498" s="1">
        <v>44160</v>
      </c>
      <c r="X1498" t="s">
        <v>56</v>
      </c>
      <c r="AA1498" t="s">
        <v>40</v>
      </c>
      <c r="AC1498" t="s">
        <v>40</v>
      </c>
      <c r="AE1498" t="s">
        <v>40</v>
      </c>
      <c r="AF1498" t="s">
        <v>40</v>
      </c>
      <c r="AG1498" t="s">
        <v>40</v>
      </c>
      <c r="AH1498" t="s">
        <v>40</v>
      </c>
      <c r="AI1498" t="s">
        <v>40</v>
      </c>
      <c r="AK1498" t="s">
        <v>40</v>
      </c>
    </row>
    <row r="1499" spans="1:39" x14ac:dyDescent="0.3">
      <c r="A1499">
        <v>2020</v>
      </c>
      <c r="B1499">
        <v>1</v>
      </c>
      <c r="C1499" t="str">
        <f t="shared" si="46"/>
        <v>1/01/2020</v>
      </c>
      <c r="D1499" s="1" t="str">
        <f t="shared" si="47"/>
        <v>1/01/2020</v>
      </c>
      <c r="E1499" t="s">
        <v>37</v>
      </c>
      <c r="F1499" t="s">
        <v>54</v>
      </c>
      <c r="G1499" t="s">
        <v>47</v>
      </c>
      <c r="H1499">
        <v>195</v>
      </c>
      <c r="I1499">
        <v>189</v>
      </c>
      <c r="K1499">
        <v>62</v>
      </c>
      <c r="L1499">
        <v>13</v>
      </c>
      <c r="O1499">
        <v>12</v>
      </c>
      <c r="S1499">
        <v>36</v>
      </c>
      <c r="U1499">
        <v>0</v>
      </c>
      <c r="V1499">
        <v>0</v>
      </c>
      <c r="W1499" s="1">
        <v>44160</v>
      </c>
      <c r="X1499" t="s">
        <v>56</v>
      </c>
      <c r="AA1499" t="s">
        <v>40</v>
      </c>
      <c r="AD1499" t="s">
        <v>40</v>
      </c>
      <c r="AE1499" t="s">
        <v>40</v>
      </c>
      <c r="AG1499" t="s">
        <v>40</v>
      </c>
      <c r="AH1499" t="s">
        <v>40</v>
      </c>
      <c r="AI1499" t="s">
        <v>40</v>
      </c>
      <c r="AK1499" t="s">
        <v>40</v>
      </c>
    </row>
    <row r="1500" spans="1:39" x14ac:dyDescent="0.3">
      <c r="A1500">
        <v>2020</v>
      </c>
      <c r="B1500">
        <v>1</v>
      </c>
      <c r="C1500" t="str">
        <f t="shared" si="46"/>
        <v>1/01/2020</v>
      </c>
      <c r="D1500" s="1" t="str">
        <f t="shared" si="47"/>
        <v>1/01/2020</v>
      </c>
      <c r="E1500" t="s">
        <v>37</v>
      </c>
      <c r="F1500" t="s">
        <v>54</v>
      </c>
      <c r="G1500" t="s">
        <v>48</v>
      </c>
      <c r="H1500">
        <v>177</v>
      </c>
      <c r="I1500">
        <v>172</v>
      </c>
      <c r="K1500">
        <v>33</v>
      </c>
      <c r="O1500">
        <v>10</v>
      </c>
      <c r="R1500">
        <v>0</v>
      </c>
      <c r="S1500">
        <v>43</v>
      </c>
      <c r="T1500">
        <v>11</v>
      </c>
      <c r="U1500">
        <v>0</v>
      </c>
      <c r="V1500">
        <v>0</v>
      </c>
      <c r="W1500" s="1">
        <v>44160</v>
      </c>
      <c r="X1500" t="s">
        <v>56</v>
      </c>
      <c r="AA1500" t="s">
        <v>40</v>
      </c>
      <c r="AC1500" t="s">
        <v>40</v>
      </c>
      <c r="AD1500" t="s">
        <v>40</v>
      </c>
      <c r="AE1500" t="s">
        <v>40</v>
      </c>
      <c r="AG1500" t="s">
        <v>40</v>
      </c>
      <c r="AH1500" t="s">
        <v>40</v>
      </c>
    </row>
    <row r="1501" spans="1:39" x14ac:dyDescent="0.3">
      <c r="A1501">
        <v>2020</v>
      </c>
      <c r="B1501">
        <v>1</v>
      </c>
      <c r="C1501" t="str">
        <f t="shared" si="46"/>
        <v>1/01/2020</v>
      </c>
      <c r="D1501" s="1" t="str">
        <f t="shared" si="47"/>
        <v>1/01/2020</v>
      </c>
      <c r="E1501" t="s">
        <v>37</v>
      </c>
      <c r="F1501" t="s">
        <v>54</v>
      </c>
      <c r="G1501" t="s">
        <v>49</v>
      </c>
      <c r="H1501">
        <v>197</v>
      </c>
      <c r="I1501">
        <v>193</v>
      </c>
      <c r="K1501">
        <v>16</v>
      </c>
      <c r="L1501">
        <v>12</v>
      </c>
      <c r="M1501">
        <v>11</v>
      </c>
      <c r="O1501">
        <v>13</v>
      </c>
      <c r="S1501">
        <v>48</v>
      </c>
      <c r="T1501">
        <v>16</v>
      </c>
      <c r="U1501">
        <v>0</v>
      </c>
      <c r="V1501">
        <v>0</v>
      </c>
      <c r="W1501" s="1">
        <v>44160</v>
      </c>
      <c r="X1501" t="s">
        <v>56</v>
      </c>
      <c r="AA1501" t="s">
        <v>40</v>
      </c>
      <c r="AE1501" t="s">
        <v>40</v>
      </c>
      <c r="AG1501" t="s">
        <v>40</v>
      </c>
      <c r="AH1501" t="s">
        <v>40</v>
      </c>
      <c r="AI1501" t="s">
        <v>40</v>
      </c>
    </row>
    <row r="1502" spans="1:39" x14ac:dyDescent="0.3">
      <c r="A1502">
        <v>2020</v>
      </c>
      <c r="B1502">
        <v>1</v>
      </c>
      <c r="C1502" t="str">
        <f t="shared" si="46"/>
        <v>1/01/2020</v>
      </c>
      <c r="D1502" s="1" t="str">
        <f t="shared" si="47"/>
        <v>1/01/2020</v>
      </c>
      <c r="E1502" t="s">
        <v>55</v>
      </c>
      <c r="F1502" t="s">
        <v>38</v>
      </c>
      <c r="G1502" t="s">
        <v>39</v>
      </c>
      <c r="H1502">
        <v>248</v>
      </c>
      <c r="I1502">
        <v>223</v>
      </c>
      <c r="L1502">
        <v>0</v>
      </c>
      <c r="M1502">
        <v>0</v>
      </c>
      <c r="Q1502">
        <v>0</v>
      </c>
      <c r="R1502">
        <v>33</v>
      </c>
      <c r="U1502">
        <v>0</v>
      </c>
      <c r="V1502">
        <v>0</v>
      </c>
      <c r="W1502" s="1">
        <v>44160</v>
      </c>
      <c r="X1502" t="s">
        <v>56</v>
      </c>
      <c r="AA1502" t="s">
        <v>40</v>
      </c>
      <c r="AB1502" t="s">
        <v>40</v>
      </c>
      <c r="AE1502" t="s">
        <v>40</v>
      </c>
      <c r="AF1502" t="s">
        <v>40</v>
      </c>
      <c r="AG1502" t="s">
        <v>40</v>
      </c>
      <c r="AJ1502" t="s">
        <v>40</v>
      </c>
      <c r="AK1502" t="s">
        <v>40</v>
      </c>
    </row>
    <row r="1503" spans="1:39" x14ac:dyDescent="0.3">
      <c r="A1503">
        <v>2020</v>
      </c>
      <c r="B1503">
        <v>1</v>
      </c>
      <c r="C1503" t="str">
        <f t="shared" si="46"/>
        <v>1/01/2020</v>
      </c>
      <c r="D1503" s="1" t="str">
        <f t="shared" si="47"/>
        <v>1/01/2020</v>
      </c>
      <c r="E1503" t="s">
        <v>55</v>
      </c>
      <c r="F1503" t="s">
        <v>38</v>
      </c>
      <c r="G1503" t="s">
        <v>41</v>
      </c>
      <c r="H1503">
        <v>443</v>
      </c>
      <c r="I1503">
        <v>83</v>
      </c>
      <c r="K1503">
        <v>18</v>
      </c>
      <c r="M1503">
        <v>0</v>
      </c>
      <c r="P1503">
        <v>0</v>
      </c>
      <c r="Q1503">
        <v>0</v>
      </c>
      <c r="S1503">
        <v>14</v>
      </c>
      <c r="U1503">
        <v>0</v>
      </c>
      <c r="V1503">
        <v>0</v>
      </c>
      <c r="W1503" s="1">
        <v>44160</v>
      </c>
      <c r="X1503" t="s">
        <v>56</v>
      </c>
      <c r="AA1503" t="s">
        <v>40</v>
      </c>
      <c r="AC1503" t="s">
        <v>40</v>
      </c>
      <c r="AE1503" t="s">
        <v>40</v>
      </c>
      <c r="AF1503" t="s">
        <v>40</v>
      </c>
      <c r="AI1503" t="s">
        <v>40</v>
      </c>
      <c r="AK1503" t="s">
        <v>40</v>
      </c>
    </row>
    <row r="1504" spans="1:39" x14ac:dyDescent="0.3">
      <c r="A1504">
        <v>2020</v>
      </c>
      <c r="B1504">
        <v>1</v>
      </c>
      <c r="C1504" t="str">
        <f t="shared" si="46"/>
        <v>1/01/2020</v>
      </c>
      <c r="D1504" s="1" t="str">
        <f t="shared" si="47"/>
        <v>1/01/2020</v>
      </c>
      <c r="E1504" t="s">
        <v>55</v>
      </c>
      <c r="F1504" t="s">
        <v>38</v>
      </c>
      <c r="G1504" t="s">
        <v>42</v>
      </c>
      <c r="H1504">
        <v>627</v>
      </c>
      <c r="I1504">
        <v>206</v>
      </c>
      <c r="J1504">
        <v>0</v>
      </c>
      <c r="K1504">
        <v>31</v>
      </c>
      <c r="M1504">
        <v>0</v>
      </c>
      <c r="N1504">
        <v>17</v>
      </c>
      <c r="R1504">
        <v>11</v>
      </c>
      <c r="S1504">
        <v>36</v>
      </c>
      <c r="U1504">
        <v>0</v>
      </c>
      <c r="V1504">
        <v>0</v>
      </c>
      <c r="W1504" s="1">
        <v>44160</v>
      </c>
      <c r="X1504" t="s">
        <v>56</v>
      </c>
      <c r="AC1504" t="s">
        <v>40</v>
      </c>
      <c r="AF1504" t="s">
        <v>40</v>
      </c>
      <c r="AG1504" t="s">
        <v>40</v>
      </c>
      <c r="AH1504" t="s">
        <v>40</v>
      </c>
      <c r="AK1504" t="s">
        <v>40</v>
      </c>
    </row>
    <row r="1505" spans="1:37" x14ac:dyDescent="0.3">
      <c r="A1505">
        <v>2020</v>
      </c>
      <c r="B1505">
        <v>1</v>
      </c>
      <c r="C1505" t="str">
        <f t="shared" si="46"/>
        <v>1/01/2020</v>
      </c>
      <c r="D1505" s="1" t="str">
        <f t="shared" si="47"/>
        <v>1/01/2020</v>
      </c>
      <c r="E1505" t="s">
        <v>55</v>
      </c>
      <c r="F1505" t="s">
        <v>38</v>
      </c>
      <c r="G1505" t="s">
        <v>43</v>
      </c>
      <c r="H1505">
        <v>754</v>
      </c>
      <c r="I1505">
        <v>399</v>
      </c>
      <c r="J1505">
        <v>11</v>
      </c>
      <c r="K1505">
        <v>67</v>
      </c>
      <c r="L1505">
        <v>21</v>
      </c>
      <c r="M1505">
        <v>0</v>
      </c>
      <c r="N1505">
        <v>22</v>
      </c>
      <c r="S1505">
        <v>86</v>
      </c>
      <c r="T1505">
        <v>19</v>
      </c>
      <c r="U1505">
        <v>0</v>
      </c>
      <c r="V1505">
        <v>0</v>
      </c>
      <c r="W1505" s="1">
        <v>44160</v>
      </c>
      <c r="X1505" t="s">
        <v>56</v>
      </c>
      <c r="AF1505" t="s">
        <v>40</v>
      </c>
      <c r="AG1505" t="s">
        <v>40</v>
      </c>
      <c r="AH1505" t="s">
        <v>40</v>
      </c>
      <c r="AI1505" t="s">
        <v>40</v>
      </c>
    </row>
    <row r="1506" spans="1:37" x14ac:dyDescent="0.3">
      <c r="A1506">
        <v>2020</v>
      </c>
      <c r="B1506">
        <v>1</v>
      </c>
      <c r="C1506" t="str">
        <f t="shared" si="46"/>
        <v>1/01/2020</v>
      </c>
      <c r="D1506" s="1" t="str">
        <f t="shared" si="47"/>
        <v>1/01/2020</v>
      </c>
      <c r="E1506" t="s">
        <v>55</v>
      </c>
      <c r="F1506" t="s">
        <v>38</v>
      </c>
      <c r="G1506" t="s">
        <v>44</v>
      </c>
      <c r="H1506" s="2">
        <v>1124</v>
      </c>
      <c r="I1506">
        <v>864</v>
      </c>
      <c r="K1506">
        <v>183</v>
      </c>
      <c r="L1506">
        <v>59</v>
      </c>
      <c r="M1506">
        <v>0</v>
      </c>
      <c r="N1506">
        <v>32</v>
      </c>
      <c r="P1506">
        <v>10</v>
      </c>
      <c r="Q1506">
        <v>25</v>
      </c>
      <c r="R1506">
        <v>23</v>
      </c>
      <c r="S1506">
        <v>197</v>
      </c>
      <c r="T1506">
        <v>47</v>
      </c>
      <c r="U1506">
        <v>0</v>
      </c>
      <c r="V1506">
        <v>0</v>
      </c>
      <c r="W1506" s="1">
        <v>44160</v>
      </c>
      <c r="X1506" t="s">
        <v>56</v>
      </c>
      <c r="AA1506" t="s">
        <v>40</v>
      </c>
      <c r="AF1506" t="s">
        <v>40</v>
      </c>
    </row>
    <row r="1507" spans="1:37" x14ac:dyDescent="0.3">
      <c r="A1507">
        <v>2020</v>
      </c>
      <c r="B1507">
        <v>1</v>
      </c>
      <c r="C1507" t="str">
        <f t="shared" si="46"/>
        <v>1/01/2020</v>
      </c>
      <c r="D1507" s="1" t="str">
        <f t="shared" si="47"/>
        <v>1/01/2020</v>
      </c>
      <c r="E1507" t="s">
        <v>55</v>
      </c>
      <c r="F1507" t="s">
        <v>38</v>
      </c>
      <c r="G1507" t="s">
        <v>45</v>
      </c>
      <c r="H1507">
        <v>66</v>
      </c>
      <c r="I1507">
        <v>45</v>
      </c>
      <c r="J1507">
        <v>0</v>
      </c>
      <c r="K1507">
        <v>10</v>
      </c>
      <c r="L1507">
        <v>0</v>
      </c>
      <c r="M1507">
        <v>0</v>
      </c>
      <c r="O1507">
        <v>0</v>
      </c>
      <c r="T1507">
        <v>0</v>
      </c>
      <c r="U1507">
        <v>0</v>
      </c>
      <c r="V1507">
        <v>0</v>
      </c>
      <c r="W1507" s="1">
        <v>44160</v>
      </c>
      <c r="X1507" t="s">
        <v>56</v>
      </c>
      <c r="AE1507" t="s">
        <v>40</v>
      </c>
      <c r="AG1507" t="s">
        <v>40</v>
      </c>
      <c r="AH1507" t="s">
        <v>40</v>
      </c>
      <c r="AI1507" t="s">
        <v>40</v>
      </c>
      <c r="AJ1507" t="s">
        <v>40</v>
      </c>
    </row>
    <row r="1508" spans="1:37" x14ac:dyDescent="0.3">
      <c r="A1508">
        <v>2020</v>
      </c>
      <c r="B1508">
        <v>1</v>
      </c>
      <c r="C1508" t="str">
        <f t="shared" si="46"/>
        <v>1/01/2020</v>
      </c>
      <c r="D1508" s="1" t="str">
        <f t="shared" si="47"/>
        <v>1/01/2020</v>
      </c>
      <c r="E1508" t="s">
        <v>55</v>
      </c>
      <c r="F1508" t="s">
        <v>38</v>
      </c>
      <c r="G1508" t="s">
        <v>46</v>
      </c>
      <c r="H1508" s="2">
        <v>1889</v>
      </c>
      <c r="I1508" s="2">
        <v>1662</v>
      </c>
      <c r="J1508">
        <v>23</v>
      </c>
      <c r="K1508">
        <v>417</v>
      </c>
      <c r="L1508">
        <v>123</v>
      </c>
      <c r="N1508">
        <v>58</v>
      </c>
      <c r="O1508">
        <v>29</v>
      </c>
      <c r="P1508">
        <v>28</v>
      </c>
      <c r="Q1508">
        <v>53</v>
      </c>
      <c r="R1508">
        <v>18</v>
      </c>
      <c r="S1508">
        <v>419</v>
      </c>
      <c r="T1508">
        <v>73</v>
      </c>
      <c r="U1508">
        <v>0</v>
      </c>
      <c r="V1508">
        <v>0</v>
      </c>
      <c r="W1508" s="1">
        <v>44160</v>
      </c>
      <c r="X1508" t="s">
        <v>56</v>
      </c>
      <c r="AD1508" t="s">
        <v>40</v>
      </c>
    </row>
    <row r="1509" spans="1:37" x14ac:dyDescent="0.3">
      <c r="A1509">
        <v>2020</v>
      </c>
      <c r="B1509">
        <v>1</v>
      </c>
      <c r="C1509" t="str">
        <f t="shared" si="46"/>
        <v>1/01/2020</v>
      </c>
      <c r="D1509" s="1" t="str">
        <f t="shared" si="47"/>
        <v>1/01/2020</v>
      </c>
      <c r="E1509" t="s">
        <v>55</v>
      </c>
      <c r="F1509" t="s">
        <v>38</v>
      </c>
      <c r="G1509" t="s">
        <v>47</v>
      </c>
      <c r="H1509" s="2">
        <v>2110</v>
      </c>
      <c r="I1509" s="2">
        <v>2012</v>
      </c>
      <c r="J1509">
        <v>26</v>
      </c>
      <c r="K1509">
        <v>593</v>
      </c>
      <c r="L1509">
        <v>141</v>
      </c>
      <c r="M1509">
        <v>22</v>
      </c>
      <c r="N1509">
        <v>59</v>
      </c>
      <c r="O1509">
        <v>62</v>
      </c>
      <c r="P1509">
        <v>42</v>
      </c>
      <c r="Q1509">
        <v>54</v>
      </c>
      <c r="R1509">
        <v>12</v>
      </c>
      <c r="S1509">
        <v>492</v>
      </c>
      <c r="T1509">
        <v>95</v>
      </c>
      <c r="U1509">
        <v>0</v>
      </c>
      <c r="V1509">
        <v>0</v>
      </c>
      <c r="W1509" s="1">
        <v>44160</v>
      </c>
      <c r="X1509" t="s">
        <v>56</v>
      </c>
    </row>
    <row r="1510" spans="1:37" x14ac:dyDescent="0.3">
      <c r="A1510">
        <v>2020</v>
      </c>
      <c r="B1510">
        <v>1</v>
      </c>
      <c r="C1510" t="str">
        <f t="shared" si="46"/>
        <v>1/01/2020</v>
      </c>
      <c r="D1510" s="1" t="str">
        <f t="shared" si="47"/>
        <v>1/01/2020</v>
      </c>
      <c r="E1510" t="s">
        <v>55</v>
      </c>
      <c r="F1510" t="s">
        <v>38</v>
      </c>
      <c r="G1510" t="s">
        <v>48</v>
      </c>
      <c r="H1510" s="2">
        <v>2094</v>
      </c>
      <c r="I1510" s="2">
        <v>2015</v>
      </c>
      <c r="J1510">
        <v>27</v>
      </c>
      <c r="K1510">
        <v>426</v>
      </c>
      <c r="L1510">
        <v>106</v>
      </c>
      <c r="M1510">
        <v>74</v>
      </c>
      <c r="N1510">
        <v>65</v>
      </c>
      <c r="O1510">
        <v>89</v>
      </c>
      <c r="P1510">
        <v>58</v>
      </c>
      <c r="Q1510">
        <v>53</v>
      </c>
      <c r="S1510">
        <v>561</v>
      </c>
      <c r="T1510">
        <v>137</v>
      </c>
      <c r="U1510">
        <v>0</v>
      </c>
      <c r="V1510">
        <v>0</v>
      </c>
      <c r="W1510" s="1">
        <v>44160</v>
      </c>
      <c r="X1510" t="s">
        <v>56</v>
      </c>
      <c r="AI1510" t="s">
        <v>40</v>
      </c>
    </row>
    <row r="1511" spans="1:37" x14ac:dyDescent="0.3">
      <c r="A1511">
        <v>2020</v>
      </c>
      <c r="B1511">
        <v>1</v>
      </c>
      <c r="C1511" t="str">
        <f t="shared" si="46"/>
        <v>1/01/2020</v>
      </c>
      <c r="D1511" s="1" t="str">
        <f t="shared" si="47"/>
        <v>1/01/2020</v>
      </c>
      <c r="E1511" t="s">
        <v>55</v>
      </c>
      <c r="F1511" t="s">
        <v>38</v>
      </c>
      <c r="G1511" t="s">
        <v>49</v>
      </c>
      <c r="H1511" s="2">
        <v>1883</v>
      </c>
      <c r="I1511" s="2">
        <v>1825</v>
      </c>
      <c r="J1511">
        <v>28</v>
      </c>
      <c r="K1511">
        <v>245</v>
      </c>
      <c r="L1511">
        <v>75</v>
      </c>
      <c r="M1511">
        <v>153</v>
      </c>
      <c r="N1511">
        <v>70</v>
      </c>
      <c r="O1511">
        <v>96</v>
      </c>
      <c r="P1511">
        <v>37</v>
      </c>
      <c r="Q1511">
        <v>41</v>
      </c>
      <c r="R1511">
        <v>15</v>
      </c>
      <c r="S1511">
        <v>512</v>
      </c>
      <c r="T1511">
        <v>146</v>
      </c>
      <c r="U1511">
        <v>0</v>
      </c>
      <c r="V1511">
        <v>0</v>
      </c>
      <c r="W1511" s="1">
        <v>44160</v>
      </c>
      <c r="X1511" t="s">
        <v>56</v>
      </c>
    </row>
    <row r="1512" spans="1:37" x14ac:dyDescent="0.3">
      <c r="A1512">
        <v>2020</v>
      </c>
      <c r="B1512">
        <v>1</v>
      </c>
      <c r="C1512" t="str">
        <f t="shared" si="46"/>
        <v>1/01/2020</v>
      </c>
      <c r="D1512" s="1" t="str">
        <f t="shared" si="47"/>
        <v>1/01/2020</v>
      </c>
      <c r="E1512" t="s">
        <v>55</v>
      </c>
      <c r="F1512" t="s">
        <v>50</v>
      </c>
      <c r="G1512" t="s">
        <v>39</v>
      </c>
      <c r="H1512">
        <v>16</v>
      </c>
      <c r="I1512">
        <v>14</v>
      </c>
      <c r="J1512">
        <v>0</v>
      </c>
      <c r="K1512">
        <v>0</v>
      </c>
      <c r="L1512">
        <v>0</v>
      </c>
      <c r="M1512">
        <v>0</v>
      </c>
      <c r="O1512">
        <v>0</v>
      </c>
      <c r="P1512">
        <v>0</v>
      </c>
      <c r="Q1512">
        <v>0</v>
      </c>
      <c r="T1512">
        <v>0</v>
      </c>
      <c r="U1512">
        <v>0</v>
      </c>
      <c r="V1512">
        <v>0</v>
      </c>
      <c r="W1512" s="1">
        <v>44160</v>
      </c>
      <c r="X1512" t="s">
        <v>56</v>
      </c>
      <c r="AE1512" t="s">
        <v>40</v>
      </c>
      <c r="AI1512" t="s">
        <v>40</v>
      </c>
      <c r="AJ1512" t="s">
        <v>40</v>
      </c>
    </row>
    <row r="1513" spans="1:37" x14ac:dyDescent="0.3">
      <c r="A1513">
        <v>2020</v>
      </c>
      <c r="B1513">
        <v>1</v>
      </c>
      <c r="C1513" t="str">
        <f t="shared" si="46"/>
        <v>1/01/2020</v>
      </c>
      <c r="D1513" s="1" t="str">
        <f t="shared" si="47"/>
        <v>1/01/2020</v>
      </c>
      <c r="E1513" t="s">
        <v>55</v>
      </c>
      <c r="F1513" t="s">
        <v>50</v>
      </c>
      <c r="G1513" t="s">
        <v>41</v>
      </c>
      <c r="H1513">
        <v>19</v>
      </c>
      <c r="J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T1513">
        <v>0</v>
      </c>
      <c r="U1513">
        <v>0</v>
      </c>
      <c r="V1513">
        <v>0</v>
      </c>
      <c r="W1513" s="1">
        <v>44160</v>
      </c>
      <c r="X1513" t="s">
        <v>56</v>
      </c>
      <c r="Z1513" t="s">
        <v>40</v>
      </c>
      <c r="AB1513" t="s">
        <v>40</v>
      </c>
      <c r="AJ1513" t="s">
        <v>40</v>
      </c>
    </row>
    <row r="1514" spans="1:37" x14ac:dyDescent="0.3">
      <c r="A1514">
        <v>2020</v>
      </c>
      <c r="B1514">
        <v>1</v>
      </c>
      <c r="C1514" t="str">
        <f t="shared" si="46"/>
        <v>1/01/2020</v>
      </c>
      <c r="D1514" s="1" t="str">
        <f t="shared" si="47"/>
        <v>1/01/2020</v>
      </c>
      <c r="E1514" t="s">
        <v>55</v>
      </c>
      <c r="F1514" t="s">
        <v>50</v>
      </c>
      <c r="G1514" t="s">
        <v>42</v>
      </c>
      <c r="H1514">
        <v>63</v>
      </c>
      <c r="I1514">
        <v>32</v>
      </c>
      <c r="M1514">
        <v>0</v>
      </c>
      <c r="O1514">
        <v>0</v>
      </c>
      <c r="P1514">
        <v>0</v>
      </c>
      <c r="Q1514">
        <v>0</v>
      </c>
      <c r="T1514">
        <v>0</v>
      </c>
      <c r="U1514">
        <v>0</v>
      </c>
      <c r="V1514">
        <v>0</v>
      </c>
      <c r="W1514" s="1">
        <v>44160</v>
      </c>
      <c r="X1514" t="s">
        <v>56</v>
      </c>
      <c r="AA1514" t="s">
        <v>40</v>
      </c>
      <c r="AB1514" t="s">
        <v>40</v>
      </c>
      <c r="AC1514" t="s">
        <v>40</v>
      </c>
      <c r="AE1514" t="s">
        <v>40</v>
      </c>
      <c r="AI1514" t="s">
        <v>40</v>
      </c>
      <c r="AJ1514" t="s">
        <v>40</v>
      </c>
    </row>
    <row r="1515" spans="1:37" x14ac:dyDescent="0.3">
      <c r="A1515">
        <v>2020</v>
      </c>
      <c r="B1515">
        <v>1</v>
      </c>
      <c r="C1515" t="str">
        <f t="shared" si="46"/>
        <v>1/01/2020</v>
      </c>
      <c r="D1515" s="1" t="str">
        <f t="shared" si="47"/>
        <v>1/01/2020</v>
      </c>
      <c r="E1515" t="s">
        <v>55</v>
      </c>
      <c r="F1515" t="s">
        <v>50</v>
      </c>
      <c r="G1515" t="s">
        <v>43</v>
      </c>
      <c r="H1515">
        <v>86</v>
      </c>
      <c r="I1515">
        <v>51</v>
      </c>
      <c r="M1515">
        <v>0</v>
      </c>
      <c r="T1515">
        <v>0</v>
      </c>
      <c r="U1515">
        <v>0</v>
      </c>
      <c r="V1515">
        <v>0</v>
      </c>
      <c r="W1515" s="1">
        <v>44160</v>
      </c>
      <c r="X1515" t="s">
        <v>56</v>
      </c>
      <c r="AA1515" t="s">
        <v>40</v>
      </c>
      <c r="AB1515" t="s">
        <v>40</v>
      </c>
      <c r="AC1515" t="s">
        <v>40</v>
      </c>
      <c r="AE1515" t="s">
        <v>40</v>
      </c>
      <c r="AF1515" t="s">
        <v>40</v>
      </c>
      <c r="AG1515" t="s">
        <v>40</v>
      </c>
      <c r="AH1515" t="s">
        <v>40</v>
      </c>
      <c r="AI1515" t="s">
        <v>40</v>
      </c>
      <c r="AJ1515" t="s">
        <v>40</v>
      </c>
    </row>
    <row r="1516" spans="1:37" x14ac:dyDescent="0.3">
      <c r="A1516">
        <v>2020</v>
      </c>
      <c r="B1516">
        <v>1</v>
      </c>
      <c r="C1516" t="str">
        <f t="shared" si="46"/>
        <v>1/01/2020</v>
      </c>
      <c r="D1516" s="1" t="str">
        <f t="shared" si="47"/>
        <v>1/01/2020</v>
      </c>
      <c r="E1516" t="s">
        <v>55</v>
      </c>
      <c r="F1516" t="s">
        <v>50</v>
      </c>
      <c r="G1516" t="s">
        <v>44</v>
      </c>
      <c r="H1516">
        <v>110</v>
      </c>
      <c r="I1516">
        <v>81</v>
      </c>
      <c r="K1516">
        <v>10</v>
      </c>
      <c r="M1516">
        <v>0</v>
      </c>
      <c r="O1516">
        <v>0</v>
      </c>
      <c r="P1516">
        <v>0</v>
      </c>
      <c r="S1516">
        <v>20</v>
      </c>
      <c r="U1516">
        <v>0</v>
      </c>
      <c r="V1516">
        <v>0</v>
      </c>
      <c r="W1516" s="1">
        <v>44160</v>
      </c>
      <c r="X1516" t="s">
        <v>56</v>
      </c>
      <c r="AA1516" t="s">
        <v>40</v>
      </c>
      <c r="AC1516" t="s">
        <v>40</v>
      </c>
      <c r="AE1516" t="s">
        <v>40</v>
      </c>
      <c r="AH1516" t="s">
        <v>40</v>
      </c>
      <c r="AI1516" t="s">
        <v>40</v>
      </c>
      <c r="AK1516" t="s">
        <v>40</v>
      </c>
    </row>
    <row r="1517" spans="1:37" x14ac:dyDescent="0.3">
      <c r="A1517">
        <v>2020</v>
      </c>
      <c r="B1517">
        <v>1</v>
      </c>
      <c r="C1517" t="str">
        <f t="shared" si="46"/>
        <v>1/01/2020</v>
      </c>
      <c r="D1517" s="1" t="str">
        <f t="shared" si="47"/>
        <v>1/01/2020</v>
      </c>
      <c r="E1517" t="s">
        <v>55</v>
      </c>
      <c r="F1517" t="s">
        <v>50</v>
      </c>
      <c r="G1517" t="s">
        <v>45</v>
      </c>
      <c r="J1517">
        <v>0</v>
      </c>
      <c r="K1517">
        <v>0</v>
      </c>
      <c r="L1517">
        <v>0</v>
      </c>
      <c r="M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 s="1">
        <v>44160</v>
      </c>
      <c r="X1517" t="s">
        <v>56</v>
      </c>
      <c r="Y1517" t="s">
        <v>40</v>
      </c>
      <c r="Z1517" t="s">
        <v>40</v>
      </c>
      <c r="AE1517" t="s">
        <v>40</v>
      </c>
      <c r="AF1517" t="s">
        <v>40</v>
      </c>
    </row>
    <row r="1518" spans="1:37" x14ac:dyDescent="0.3">
      <c r="A1518">
        <v>2020</v>
      </c>
      <c r="B1518">
        <v>1</v>
      </c>
      <c r="C1518" t="str">
        <f t="shared" si="46"/>
        <v>1/01/2020</v>
      </c>
      <c r="D1518" s="1" t="str">
        <f t="shared" si="47"/>
        <v>1/01/2020</v>
      </c>
      <c r="E1518" t="s">
        <v>55</v>
      </c>
      <c r="F1518" t="s">
        <v>50</v>
      </c>
      <c r="G1518" t="s">
        <v>46</v>
      </c>
      <c r="H1518">
        <v>179</v>
      </c>
      <c r="I1518">
        <v>154</v>
      </c>
      <c r="K1518">
        <v>38</v>
      </c>
      <c r="L1518">
        <v>15</v>
      </c>
      <c r="M1518">
        <v>0</v>
      </c>
      <c r="S1518">
        <v>35</v>
      </c>
      <c r="U1518">
        <v>0</v>
      </c>
      <c r="V1518">
        <v>0</v>
      </c>
      <c r="W1518" s="1">
        <v>44160</v>
      </c>
      <c r="X1518" t="s">
        <v>56</v>
      </c>
      <c r="AA1518" t="s">
        <v>40</v>
      </c>
      <c r="AE1518" t="s">
        <v>40</v>
      </c>
      <c r="AF1518" t="s">
        <v>40</v>
      </c>
      <c r="AG1518" t="s">
        <v>40</v>
      </c>
      <c r="AH1518" t="s">
        <v>40</v>
      </c>
      <c r="AI1518" t="s">
        <v>40</v>
      </c>
      <c r="AK1518" t="s">
        <v>40</v>
      </c>
    </row>
    <row r="1519" spans="1:37" x14ac:dyDescent="0.3">
      <c r="A1519">
        <v>2020</v>
      </c>
      <c r="B1519">
        <v>1</v>
      </c>
      <c r="C1519" t="str">
        <f t="shared" si="46"/>
        <v>1/01/2020</v>
      </c>
      <c r="D1519" s="1" t="str">
        <f t="shared" si="47"/>
        <v>1/01/2020</v>
      </c>
      <c r="E1519" t="s">
        <v>55</v>
      </c>
      <c r="F1519" t="s">
        <v>50</v>
      </c>
      <c r="G1519" t="s">
        <v>47</v>
      </c>
      <c r="H1519">
        <v>192</v>
      </c>
      <c r="I1519">
        <v>185</v>
      </c>
      <c r="K1519">
        <v>46</v>
      </c>
      <c r="L1519">
        <v>22</v>
      </c>
      <c r="O1519">
        <v>16</v>
      </c>
      <c r="S1519">
        <v>50</v>
      </c>
      <c r="U1519">
        <v>0</v>
      </c>
      <c r="V1519">
        <v>0</v>
      </c>
      <c r="W1519" s="1">
        <v>44160</v>
      </c>
      <c r="X1519" t="s">
        <v>56</v>
      </c>
      <c r="AA1519" t="s">
        <v>40</v>
      </c>
      <c r="AD1519" t="s">
        <v>40</v>
      </c>
      <c r="AE1519" t="s">
        <v>40</v>
      </c>
      <c r="AG1519" t="s">
        <v>40</v>
      </c>
      <c r="AH1519" t="s">
        <v>40</v>
      </c>
      <c r="AI1519" t="s">
        <v>40</v>
      </c>
      <c r="AK1519" t="s">
        <v>40</v>
      </c>
    </row>
    <row r="1520" spans="1:37" x14ac:dyDescent="0.3">
      <c r="A1520">
        <v>2020</v>
      </c>
      <c r="B1520">
        <v>1</v>
      </c>
      <c r="C1520" t="str">
        <f t="shared" si="46"/>
        <v>1/01/2020</v>
      </c>
      <c r="D1520" s="1" t="str">
        <f t="shared" si="47"/>
        <v>1/01/2020</v>
      </c>
      <c r="E1520" t="s">
        <v>55</v>
      </c>
      <c r="F1520" t="s">
        <v>50</v>
      </c>
      <c r="G1520" t="s">
        <v>48</v>
      </c>
      <c r="H1520">
        <v>160</v>
      </c>
      <c r="I1520">
        <v>155</v>
      </c>
      <c r="K1520">
        <v>31</v>
      </c>
      <c r="L1520">
        <v>11</v>
      </c>
      <c r="O1520">
        <v>10</v>
      </c>
      <c r="R1520">
        <v>0</v>
      </c>
      <c r="S1520">
        <v>39</v>
      </c>
      <c r="U1520">
        <v>0</v>
      </c>
      <c r="V1520">
        <v>0</v>
      </c>
      <c r="W1520" s="1">
        <v>44160</v>
      </c>
      <c r="X1520" t="s">
        <v>56</v>
      </c>
      <c r="AA1520" t="s">
        <v>40</v>
      </c>
      <c r="AD1520" t="s">
        <v>40</v>
      </c>
      <c r="AE1520" t="s">
        <v>40</v>
      </c>
      <c r="AG1520" t="s">
        <v>40</v>
      </c>
      <c r="AH1520" t="s">
        <v>40</v>
      </c>
      <c r="AK1520" t="s">
        <v>40</v>
      </c>
    </row>
    <row r="1521" spans="1:37" x14ac:dyDescent="0.3">
      <c r="A1521">
        <v>2020</v>
      </c>
      <c r="B1521">
        <v>1</v>
      </c>
      <c r="C1521" t="str">
        <f t="shared" si="46"/>
        <v>1/01/2020</v>
      </c>
      <c r="D1521" s="1" t="str">
        <f t="shared" si="47"/>
        <v>1/01/2020</v>
      </c>
      <c r="E1521" t="s">
        <v>55</v>
      </c>
      <c r="F1521" t="s">
        <v>50</v>
      </c>
      <c r="G1521" t="s">
        <v>49</v>
      </c>
      <c r="H1521">
        <v>86</v>
      </c>
      <c r="I1521">
        <v>85</v>
      </c>
      <c r="K1521">
        <v>15</v>
      </c>
      <c r="R1521">
        <v>0</v>
      </c>
      <c r="S1521">
        <v>20</v>
      </c>
      <c r="U1521">
        <v>0</v>
      </c>
      <c r="V1521">
        <v>0</v>
      </c>
      <c r="W1521" s="1">
        <v>44160</v>
      </c>
      <c r="X1521" t="s">
        <v>56</v>
      </c>
      <c r="AA1521" t="s">
        <v>40</v>
      </c>
      <c r="AC1521" t="s">
        <v>40</v>
      </c>
      <c r="AD1521" t="s">
        <v>40</v>
      </c>
      <c r="AE1521" t="s">
        <v>40</v>
      </c>
      <c r="AF1521" t="s">
        <v>40</v>
      </c>
      <c r="AG1521" t="s">
        <v>40</v>
      </c>
      <c r="AH1521" t="s">
        <v>40</v>
      </c>
      <c r="AK1521" t="s">
        <v>40</v>
      </c>
    </row>
    <row r="1522" spans="1:37" x14ac:dyDescent="0.3">
      <c r="A1522">
        <v>2020</v>
      </c>
      <c r="B1522">
        <v>1</v>
      </c>
      <c r="C1522" t="str">
        <f t="shared" si="46"/>
        <v>1/01/2020</v>
      </c>
      <c r="D1522" s="1" t="str">
        <f t="shared" si="47"/>
        <v>1/01/2020</v>
      </c>
      <c r="E1522" t="s">
        <v>55</v>
      </c>
      <c r="F1522" t="s">
        <v>51</v>
      </c>
      <c r="G1522" t="s">
        <v>39</v>
      </c>
      <c r="H1522">
        <v>32</v>
      </c>
      <c r="I1522">
        <v>30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T1522">
        <v>0</v>
      </c>
      <c r="U1522">
        <v>0</v>
      </c>
      <c r="V1522">
        <v>0</v>
      </c>
      <c r="W1522" s="1">
        <v>44160</v>
      </c>
      <c r="X1522" t="s">
        <v>56</v>
      </c>
      <c r="AA1522" t="s">
        <v>40</v>
      </c>
      <c r="AI1522" t="s">
        <v>40</v>
      </c>
      <c r="AJ1522" t="s">
        <v>40</v>
      </c>
    </row>
    <row r="1523" spans="1:37" x14ac:dyDescent="0.3">
      <c r="A1523">
        <v>2020</v>
      </c>
      <c r="B1523">
        <v>1</v>
      </c>
      <c r="C1523" t="str">
        <f t="shared" si="46"/>
        <v>1/01/2020</v>
      </c>
      <c r="D1523" s="1" t="str">
        <f t="shared" si="47"/>
        <v>1/01/2020</v>
      </c>
      <c r="E1523" t="s">
        <v>55</v>
      </c>
      <c r="F1523" t="s">
        <v>51</v>
      </c>
      <c r="G1523" t="s">
        <v>41</v>
      </c>
      <c r="H1523">
        <v>43</v>
      </c>
      <c r="I1523">
        <v>14</v>
      </c>
      <c r="L1523">
        <v>0</v>
      </c>
      <c r="M1523">
        <v>0</v>
      </c>
      <c r="O1523">
        <v>0</v>
      </c>
      <c r="P1523">
        <v>0</v>
      </c>
      <c r="Q1523">
        <v>0</v>
      </c>
      <c r="U1523">
        <v>0</v>
      </c>
      <c r="V1523">
        <v>0</v>
      </c>
      <c r="W1523" s="1">
        <v>44160</v>
      </c>
      <c r="X1523" t="s">
        <v>56</v>
      </c>
      <c r="AA1523" t="s">
        <v>40</v>
      </c>
      <c r="AB1523" t="s">
        <v>40</v>
      </c>
      <c r="AE1523" t="s">
        <v>40</v>
      </c>
      <c r="AI1523" t="s">
        <v>40</v>
      </c>
      <c r="AJ1523" t="s">
        <v>40</v>
      </c>
      <c r="AK1523" t="s">
        <v>40</v>
      </c>
    </row>
    <row r="1524" spans="1:37" x14ac:dyDescent="0.3">
      <c r="A1524">
        <v>2020</v>
      </c>
      <c r="B1524">
        <v>1</v>
      </c>
      <c r="C1524" t="str">
        <f t="shared" si="46"/>
        <v>1/01/2020</v>
      </c>
      <c r="D1524" s="1" t="str">
        <f t="shared" si="47"/>
        <v>1/01/2020</v>
      </c>
      <c r="E1524" t="s">
        <v>55</v>
      </c>
      <c r="F1524" t="s">
        <v>51</v>
      </c>
      <c r="G1524" t="s">
        <v>42</v>
      </c>
      <c r="H1524">
        <v>92</v>
      </c>
      <c r="I1524">
        <v>48</v>
      </c>
      <c r="J1524">
        <v>0</v>
      </c>
      <c r="L1524">
        <v>0</v>
      </c>
      <c r="M1524">
        <v>0</v>
      </c>
      <c r="O1524">
        <v>0</v>
      </c>
      <c r="P1524">
        <v>0</v>
      </c>
      <c r="S1524">
        <v>16</v>
      </c>
      <c r="U1524">
        <v>0</v>
      </c>
      <c r="V1524">
        <v>0</v>
      </c>
      <c r="W1524" s="1">
        <v>44160</v>
      </c>
      <c r="X1524" t="s">
        <v>56</v>
      </c>
      <c r="AB1524" t="s">
        <v>40</v>
      </c>
      <c r="AE1524" t="s">
        <v>40</v>
      </c>
      <c r="AH1524" t="s">
        <v>40</v>
      </c>
      <c r="AI1524" t="s">
        <v>40</v>
      </c>
      <c r="AK1524" t="s">
        <v>40</v>
      </c>
    </row>
    <row r="1525" spans="1:37" x14ac:dyDescent="0.3">
      <c r="A1525">
        <v>2020</v>
      </c>
      <c r="B1525">
        <v>1</v>
      </c>
      <c r="C1525" t="str">
        <f t="shared" si="46"/>
        <v>1/01/2020</v>
      </c>
      <c r="D1525" s="1" t="str">
        <f t="shared" si="47"/>
        <v>1/01/2020</v>
      </c>
      <c r="E1525" t="s">
        <v>55</v>
      </c>
      <c r="F1525" t="s">
        <v>51</v>
      </c>
      <c r="G1525" t="s">
        <v>43</v>
      </c>
      <c r="H1525">
        <v>124</v>
      </c>
      <c r="I1525">
        <v>87</v>
      </c>
      <c r="K1525">
        <v>23</v>
      </c>
      <c r="M1525">
        <v>0</v>
      </c>
      <c r="S1525">
        <v>22</v>
      </c>
      <c r="U1525">
        <v>0</v>
      </c>
      <c r="V1525">
        <v>0</v>
      </c>
      <c r="W1525" s="1">
        <v>44160</v>
      </c>
      <c r="X1525" t="s">
        <v>56</v>
      </c>
      <c r="AA1525" t="s">
        <v>40</v>
      </c>
      <c r="AC1525" t="s">
        <v>40</v>
      </c>
      <c r="AE1525" t="s">
        <v>40</v>
      </c>
      <c r="AF1525" t="s">
        <v>40</v>
      </c>
      <c r="AG1525" t="s">
        <v>40</v>
      </c>
      <c r="AH1525" t="s">
        <v>40</v>
      </c>
      <c r="AI1525" t="s">
        <v>40</v>
      </c>
      <c r="AK1525" t="s">
        <v>40</v>
      </c>
    </row>
    <row r="1526" spans="1:37" x14ac:dyDescent="0.3">
      <c r="A1526">
        <v>2020</v>
      </c>
      <c r="B1526">
        <v>1</v>
      </c>
      <c r="C1526" t="str">
        <f t="shared" si="46"/>
        <v>1/01/2020</v>
      </c>
      <c r="D1526" s="1" t="str">
        <f t="shared" si="47"/>
        <v>1/01/2020</v>
      </c>
      <c r="E1526" t="s">
        <v>55</v>
      </c>
      <c r="F1526" t="s">
        <v>51</v>
      </c>
      <c r="G1526" t="s">
        <v>44</v>
      </c>
      <c r="H1526">
        <v>211</v>
      </c>
      <c r="I1526">
        <v>182</v>
      </c>
      <c r="K1526">
        <v>44</v>
      </c>
      <c r="M1526">
        <v>0</v>
      </c>
      <c r="P1526">
        <v>0</v>
      </c>
      <c r="S1526">
        <v>60</v>
      </c>
      <c r="U1526">
        <v>0</v>
      </c>
      <c r="V1526">
        <v>0</v>
      </c>
      <c r="W1526" s="1">
        <v>44160</v>
      </c>
      <c r="X1526" t="s">
        <v>56</v>
      </c>
      <c r="AA1526" t="s">
        <v>40</v>
      </c>
      <c r="AC1526" t="s">
        <v>40</v>
      </c>
      <c r="AE1526" t="s">
        <v>40</v>
      </c>
      <c r="AF1526" t="s">
        <v>40</v>
      </c>
      <c r="AH1526" t="s">
        <v>40</v>
      </c>
      <c r="AI1526" t="s">
        <v>40</v>
      </c>
      <c r="AK1526" t="s">
        <v>40</v>
      </c>
    </row>
    <row r="1527" spans="1:37" x14ac:dyDescent="0.3">
      <c r="A1527">
        <v>2020</v>
      </c>
      <c r="B1527">
        <v>1</v>
      </c>
      <c r="C1527" t="str">
        <f t="shared" si="46"/>
        <v>1/01/2020</v>
      </c>
      <c r="D1527" s="1" t="str">
        <f t="shared" si="47"/>
        <v>1/01/2020</v>
      </c>
      <c r="E1527" t="s">
        <v>55</v>
      </c>
      <c r="F1527" t="s">
        <v>51</v>
      </c>
      <c r="G1527" t="s">
        <v>45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 s="1">
        <v>44160</v>
      </c>
      <c r="X1527" t="s">
        <v>56</v>
      </c>
      <c r="Y1527" t="s">
        <v>40</v>
      </c>
      <c r="Z1527" t="s">
        <v>40</v>
      </c>
    </row>
    <row r="1528" spans="1:37" x14ac:dyDescent="0.3">
      <c r="A1528">
        <v>2020</v>
      </c>
      <c r="B1528">
        <v>1</v>
      </c>
      <c r="C1528" t="str">
        <f t="shared" si="46"/>
        <v>1/01/2020</v>
      </c>
      <c r="D1528" s="1" t="str">
        <f t="shared" si="47"/>
        <v>1/01/2020</v>
      </c>
      <c r="E1528" t="s">
        <v>55</v>
      </c>
      <c r="F1528" t="s">
        <v>51</v>
      </c>
      <c r="G1528" t="s">
        <v>46</v>
      </c>
      <c r="H1528">
        <v>431</v>
      </c>
      <c r="I1528">
        <v>405</v>
      </c>
      <c r="K1528">
        <v>147</v>
      </c>
      <c r="L1528">
        <v>20</v>
      </c>
      <c r="N1528">
        <v>12</v>
      </c>
      <c r="S1528">
        <v>94</v>
      </c>
      <c r="T1528">
        <v>27</v>
      </c>
      <c r="U1528">
        <v>0</v>
      </c>
      <c r="V1528">
        <v>0</v>
      </c>
      <c r="W1528" s="1">
        <v>44160</v>
      </c>
      <c r="X1528" t="s">
        <v>56</v>
      </c>
      <c r="AA1528" t="s">
        <v>40</v>
      </c>
      <c r="AD1528" t="s">
        <v>40</v>
      </c>
      <c r="AF1528" t="s">
        <v>40</v>
      </c>
      <c r="AG1528" t="s">
        <v>40</v>
      </c>
      <c r="AH1528" t="s">
        <v>40</v>
      </c>
      <c r="AI1528" t="s">
        <v>40</v>
      </c>
    </row>
    <row r="1529" spans="1:37" x14ac:dyDescent="0.3">
      <c r="A1529">
        <v>2020</v>
      </c>
      <c r="B1529">
        <v>1</v>
      </c>
      <c r="C1529" t="str">
        <f t="shared" si="46"/>
        <v>1/01/2020</v>
      </c>
      <c r="D1529" s="1" t="str">
        <f t="shared" si="47"/>
        <v>1/01/2020</v>
      </c>
      <c r="E1529" t="s">
        <v>55</v>
      </c>
      <c r="F1529" t="s">
        <v>51</v>
      </c>
      <c r="G1529" t="s">
        <v>47</v>
      </c>
      <c r="H1529">
        <v>714</v>
      </c>
      <c r="I1529">
        <v>682</v>
      </c>
      <c r="K1529">
        <v>229</v>
      </c>
      <c r="L1529">
        <v>36</v>
      </c>
      <c r="N1529">
        <v>32</v>
      </c>
      <c r="O1529">
        <v>15</v>
      </c>
      <c r="P1529">
        <v>13</v>
      </c>
      <c r="Q1529">
        <v>26</v>
      </c>
      <c r="S1529">
        <v>162</v>
      </c>
      <c r="T1529">
        <v>46</v>
      </c>
      <c r="U1529">
        <v>0</v>
      </c>
      <c r="V1529">
        <v>0</v>
      </c>
      <c r="W1529" s="1">
        <v>44160</v>
      </c>
      <c r="X1529" t="s">
        <v>56</v>
      </c>
      <c r="AA1529" t="s">
        <v>40</v>
      </c>
      <c r="AD1529" t="s">
        <v>40</v>
      </c>
      <c r="AI1529" t="s">
        <v>40</v>
      </c>
    </row>
    <row r="1530" spans="1:37" x14ac:dyDescent="0.3">
      <c r="A1530">
        <v>2020</v>
      </c>
      <c r="B1530">
        <v>1</v>
      </c>
      <c r="C1530" t="str">
        <f t="shared" si="46"/>
        <v>1/01/2020</v>
      </c>
      <c r="D1530" s="1" t="str">
        <f t="shared" si="47"/>
        <v>1/01/2020</v>
      </c>
      <c r="E1530" t="s">
        <v>55</v>
      </c>
      <c r="F1530" t="s">
        <v>51</v>
      </c>
      <c r="G1530" t="s">
        <v>48</v>
      </c>
      <c r="H1530">
        <v>850</v>
      </c>
      <c r="I1530">
        <v>818</v>
      </c>
      <c r="J1530">
        <v>11</v>
      </c>
      <c r="K1530">
        <v>216</v>
      </c>
      <c r="L1530">
        <v>47</v>
      </c>
      <c r="M1530">
        <v>20</v>
      </c>
      <c r="N1530">
        <v>32</v>
      </c>
      <c r="O1530">
        <v>37</v>
      </c>
      <c r="P1530">
        <v>28</v>
      </c>
      <c r="Q1530">
        <v>17</v>
      </c>
      <c r="S1530">
        <v>179</v>
      </c>
      <c r="T1530">
        <v>70</v>
      </c>
      <c r="U1530">
        <v>0</v>
      </c>
      <c r="V1530">
        <v>0</v>
      </c>
      <c r="W1530" s="1">
        <v>44160</v>
      </c>
      <c r="X1530" t="s">
        <v>56</v>
      </c>
      <c r="AI1530" t="s">
        <v>40</v>
      </c>
    </row>
    <row r="1531" spans="1:37" x14ac:dyDescent="0.3">
      <c r="A1531">
        <v>2020</v>
      </c>
      <c r="B1531">
        <v>1</v>
      </c>
      <c r="C1531" t="str">
        <f t="shared" si="46"/>
        <v>1/01/2020</v>
      </c>
      <c r="D1531" s="1" t="str">
        <f t="shared" si="47"/>
        <v>1/01/2020</v>
      </c>
      <c r="E1531" t="s">
        <v>55</v>
      </c>
      <c r="F1531" t="s">
        <v>51</v>
      </c>
      <c r="G1531" t="s">
        <v>49</v>
      </c>
      <c r="H1531">
        <v>940</v>
      </c>
      <c r="I1531">
        <v>920</v>
      </c>
      <c r="J1531">
        <v>13</v>
      </c>
      <c r="K1531">
        <v>133</v>
      </c>
      <c r="L1531">
        <v>29</v>
      </c>
      <c r="M1531">
        <v>63</v>
      </c>
      <c r="N1531">
        <v>45</v>
      </c>
      <c r="O1531">
        <v>48</v>
      </c>
      <c r="P1531">
        <v>23</v>
      </c>
      <c r="Q1531">
        <v>25</v>
      </c>
      <c r="S1531">
        <v>250</v>
      </c>
      <c r="T1531">
        <v>65</v>
      </c>
      <c r="U1531">
        <v>0</v>
      </c>
      <c r="V1531">
        <v>0</v>
      </c>
      <c r="W1531" s="1">
        <v>44160</v>
      </c>
      <c r="X1531" t="s">
        <v>56</v>
      </c>
      <c r="AI1531" t="s">
        <v>40</v>
      </c>
    </row>
    <row r="1532" spans="1:37" x14ac:dyDescent="0.3">
      <c r="A1532">
        <v>2020</v>
      </c>
      <c r="B1532">
        <v>1</v>
      </c>
      <c r="C1532" t="str">
        <f t="shared" si="46"/>
        <v>1/01/2020</v>
      </c>
      <c r="D1532" s="1" t="str">
        <f t="shared" si="47"/>
        <v>1/01/2020</v>
      </c>
      <c r="E1532" t="s">
        <v>55</v>
      </c>
      <c r="F1532" t="s">
        <v>52</v>
      </c>
      <c r="G1532" t="s">
        <v>39</v>
      </c>
      <c r="H1532">
        <v>295</v>
      </c>
      <c r="I1532">
        <v>263</v>
      </c>
      <c r="L1532">
        <v>0</v>
      </c>
      <c r="M1532">
        <v>0</v>
      </c>
      <c r="N1532">
        <v>11</v>
      </c>
      <c r="O1532">
        <v>0</v>
      </c>
      <c r="Q1532">
        <v>0</v>
      </c>
      <c r="R1532">
        <v>51</v>
      </c>
      <c r="T1532">
        <v>0</v>
      </c>
      <c r="U1532">
        <v>0</v>
      </c>
      <c r="V1532">
        <v>0</v>
      </c>
      <c r="W1532" s="1">
        <v>44160</v>
      </c>
      <c r="X1532" t="s">
        <v>56</v>
      </c>
      <c r="AA1532" t="s">
        <v>40</v>
      </c>
      <c r="AB1532" t="s">
        <v>40</v>
      </c>
      <c r="AG1532" t="s">
        <v>40</v>
      </c>
      <c r="AJ1532" t="s">
        <v>40</v>
      </c>
    </row>
    <row r="1533" spans="1:37" x14ac:dyDescent="0.3">
      <c r="A1533">
        <v>2020</v>
      </c>
      <c r="B1533">
        <v>1</v>
      </c>
      <c r="C1533" t="str">
        <f t="shared" si="46"/>
        <v>1/01/2020</v>
      </c>
      <c r="D1533" s="1" t="str">
        <f t="shared" si="47"/>
        <v>1/01/2020</v>
      </c>
      <c r="E1533" t="s">
        <v>55</v>
      </c>
      <c r="F1533" t="s">
        <v>52</v>
      </c>
      <c r="G1533" t="s">
        <v>41</v>
      </c>
      <c r="H1533">
        <v>494</v>
      </c>
      <c r="I1533">
        <v>93</v>
      </c>
      <c r="J1533">
        <v>0</v>
      </c>
      <c r="M1533">
        <v>0</v>
      </c>
      <c r="Q1533">
        <v>0</v>
      </c>
      <c r="S1533">
        <v>15</v>
      </c>
      <c r="T1533">
        <v>0</v>
      </c>
      <c r="U1533">
        <v>0</v>
      </c>
      <c r="V1533">
        <v>0</v>
      </c>
      <c r="W1533" s="1">
        <v>44160</v>
      </c>
      <c r="X1533" t="s">
        <v>56</v>
      </c>
      <c r="AB1533" t="s">
        <v>40</v>
      </c>
      <c r="AC1533" t="s">
        <v>40</v>
      </c>
      <c r="AE1533" t="s">
        <v>40</v>
      </c>
      <c r="AF1533" t="s">
        <v>40</v>
      </c>
      <c r="AG1533" t="s">
        <v>40</v>
      </c>
      <c r="AI1533" t="s">
        <v>40</v>
      </c>
    </row>
    <row r="1534" spans="1:37" x14ac:dyDescent="0.3">
      <c r="A1534">
        <v>2020</v>
      </c>
      <c r="B1534">
        <v>1</v>
      </c>
      <c r="C1534" t="str">
        <f t="shared" si="46"/>
        <v>1/01/2020</v>
      </c>
      <c r="D1534" s="1" t="str">
        <f t="shared" si="47"/>
        <v>1/01/2020</v>
      </c>
      <c r="E1534" t="s">
        <v>55</v>
      </c>
      <c r="F1534" t="s">
        <v>52</v>
      </c>
      <c r="G1534" t="s">
        <v>42</v>
      </c>
      <c r="H1534">
        <v>743</v>
      </c>
      <c r="I1534">
        <v>234</v>
      </c>
      <c r="K1534">
        <v>16</v>
      </c>
      <c r="L1534">
        <v>19</v>
      </c>
      <c r="M1534">
        <v>0</v>
      </c>
      <c r="P1534">
        <v>0</v>
      </c>
      <c r="R1534">
        <v>11</v>
      </c>
      <c r="S1534">
        <v>54</v>
      </c>
      <c r="U1534">
        <v>0</v>
      </c>
      <c r="V1534">
        <v>0</v>
      </c>
      <c r="W1534" s="1">
        <v>44160</v>
      </c>
      <c r="X1534" t="s">
        <v>56</v>
      </c>
      <c r="AA1534" t="s">
        <v>40</v>
      </c>
      <c r="AE1534" t="s">
        <v>40</v>
      </c>
      <c r="AF1534" t="s">
        <v>40</v>
      </c>
      <c r="AH1534" t="s">
        <v>40</v>
      </c>
      <c r="AK1534" t="s">
        <v>40</v>
      </c>
    </row>
    <row r="1535" spans="1:37" x14ac:dyDescent="0.3">
      <c r="A1535">
        <v>2020</v>
      </c>
      <c r="B1535">
        <v>1</v>
      </c>
      <c r="C1535" t="str">
        <f t="shared" si="46"/>
        <v>1/01/2020</v>
      </c>
      <c r="D1535" s="1" t="str">
        <f t="shared" si="47"/>
        <v>1/01/2020</v>
      </c>
      <c r="E1535" t="s">
        <v>55</v>
      </c>
      <c r="F1535" t="s">
        <v>52</v>
      </c>
      <c r="G1535" t="s">
        <v>43</v>
      </c>
      <c r="H1535">
        <v>982</v>
      </c>
      <c r="I1535">
        <v>567</v>
      </c>
      <c r="J1535">
        <v>11</v>
      </c>
      <c r="K1535">
        <v>68</v>
      </c>
      <c r="L1535">
        <v>44</v>
      </c>
      <c r="M1535">
        <v>0</v>
      </c>
      <c r="N1535">
        <v>26</v>
      </c>
      <c r="Q1535">
        <v>10</v>
      </c>
      <c r="R1535">
        <v>14</v>
      </c>
      <c r="S1535">
        <v>197</v>
      </c>
      <c r="T1535">
        <v>20</v>
      </c>
      <c r="U1535">
        <v>0</v>
      </c>
      <c r="V1535">
        <v>0</v>
      </c>
      <c r="W1535" s="1">
        <v>44160</v>
      </c>
      <c r="X1535" t="s">
        <v>56</v>
      </c>
      <c r="AF1535" t="s">
        <v>40</v>
      </c>
      <c r="AG1535" t="s">
        <v>40</v>
      </c>
    </row>
    <row r="1536" spans="1:37" x14ac:dyDescent="0.3">
      <c r="A1536">
        <v>2020</v>
      </c>
      <c r="B1536">
        <v>1</v>
      </c>
      <c r="C1536" t="str">
        <f t="shared" si="46"/>
        <v>1/01/2020</v>
      </c>
      <c r="D1536" s="1" t="str">
        <f t="shared" si="47"/>
        <v>1/01/2020</v>
      </c>
      <c r="E1536" t="s">
        <v>55</v>
      </c>
      <c r="F1536" t="s">
        <v>52</v>
      </c>
      <c r="G1536" t="s">
        <v>44</v>
      </c>
      <c r="H1536" s="2">
        <v>1642</v>
      </c>
      <c r="I1536" s="2">
        <v>1273</v>
      </c>
      <c r="J1536">
        <v>24</v>
      </c>
      <c r="K1536">
        <v>210</v>
      </c>
      <c r="L1536">
        <v>96</v>
      </c>
      <c r="N1536">
        <v>40</v>
      </c>
      <c r="O1536">
        <v>23</v>
      </c>
      <c r="Q1536">
        <v>45</v>
      </c>
      <c r="R1536">
        <v>20</v>
      </c>
      <c r="S1536">
        <v>428</v>
      </c>
      <c r="T1536">
        <v>69</v>
      </c>
      <c r="U1536">
        <v>0</v>
      </c>
      <c r="V1536">
        <v>0</v>
      </c>
      <c r="W1536" s="1">
        <v>44160</v>
      </c>
      <c r="X1536" t="s">
        <v>56</v>
      </c>
      <c r="AD1536" t="s">
        <v>40</v>
      </c>
      <c r="AG1536" t="s">
        <v>40</v>
      </c>
    </row>
    <row r="1537" spans="1:39" x14ac:dyDescent="0.3">
      <c r="A1537">
        <v>2020</v>
      </c>
      <c r="B1537">
        <v>1</v>
      </c>
      <c r="C1537" t="str">
        <f t="shared" si="46"/>
        <v>1/01/2020</v>
      </c>
      <c r="D1537" s="1" t="str">
        <f t="shared" si="47"/>
        <v>1/01/2020</v>
      </c>
      <c r="E1537" t="s">
        <v>55</v>
      </c>
      <c r="F1537" t="s">
        <v>52</v>
      </c>
      <c r="G1537" t="s">
        <v>45</v>
      </c>
      <c r="H1537">
        <v>56</v>
      </c>
      <c r="I1537">
        <v>34</v>
      </c>
      <c r="J1537">
        <v>0</v>
      </c>
      <c r="L1537">
        <v>0</v>
      </c>
      <c r="M1537">
        <v>0</v>
      </c>
      <c r="Q1537">
        <v>0</v>
      </c>
      <c r="U1537">
        <v>0</v>
      </c>
      <c r="V1537">
        <v>0</v>
      </c>
      <c r="W1537" s="1">
        <v>44160</v>
      </c>
      <c r="X1537" t="s">
        <v>56</v>
      </c>
      <c r="AB1537" t="s">
        <v>40</v>
      </c>
      <c r="AE1537" t="s">
        <v>40</v>
      </c>
      <c r="AF1537" t="s">
        <v>40</v>
      </c>
      <c r="AG1537" t="s">
        <v>40</v>
      </c>
      <c r="AI1537" t="s">
        <v>40</v>
      </c>
      <c r="AJ1537" t="s">
        <v>40</v>
      </c>
      <c r="AK1537" t="s">
        <v>40</v>
      </c>
    </row>
    <row r="1538" spans="1:39" x14ac:dyDescent="0.3">
      <c r="A1538">
        <v>2020</v>
      </c>
      <c r="B1538">
        <v>1</v>
      </c>
      <c r="C1538" t="str">
        <f t="shared" si="46"/>
        <v>1/01/2020</v>
      </c>
      <c r="D1538" s="1" t="str">
        <f t="shared" si="47"/>
        <v>1/01/2020</v>
      </c>
      <c r="E1538" t="s">
        <v>55</v>
      </c>
      <c r="F1538" t="s">
        <v>52</v>
      </c>
      <c r="G1538" t="s">
        <v>46</v>
      </c>
      <c r="H1538" s="2">
        <v>3547</v>
      </c>
      <c r="I1538" s="2">
        <v>3148</v>
      </c>
      <c r="J1538">
        <v>72</v>
      </c>
      <c r="K1538">
        <v>743</v>
      </c>
      <c r="L1538">
        <v>173</v>
      </c>
      <c r="N1538">
        <v>80</v>
      </c>
      <c r="O1538">
        <v>112</v>
      </c>
      <c r="P1538">
        <v>39</v>
      </c>
      <c r="Q1538">
        <v>96</v>
      </c>
      <c r="R1538">
        <v>51</v>
      </c>
      <c r="S1538">
        <v>965</v>
      </c>
      <c r="T1538">
        <v>174</v>
      </c>
      <c r="U1538">
        <v>0</v>
      </c>
      <c r="V1538">
        <v>0</v>
      </c>
      <c r="W1538" s="1">
        <v>44160</v>
      </c>
      <c r="X1538" t="s">
        <v>56</v>
      </c>
      <c r="AD1538" t="s">
        <v>40</v>
      </c>
    </row>
    <row r="1539" spans="1:39" x14ac:dyDescent="0.3">
      <c r="A1539">
        <v>2020</v>
      </c>
      <c r="B1539">
        <v>1</v>
      </c>
      <c r="C1539" t="str">
        <f t="shared" ref="C1539:C1602" si="48">CONCATENATE(B1539,"/01/",A1539)</f>
        <v>1/01/2020</v>
      </c>
      <c r="D1539" s="1" t="str">
        <f t="shared" ref="D1539:D1602" si="49">C1539</f>
        <v>1/01/2020</v>
      </c>
      <c r="E1539" t="s">
        <v>55</v>
      </c>
      <c r="F1539" t="s">
        <v>52</v>
      </c>
      <c r="G1539" t="s">
        <v>47</v>
      </c>
      <c r="H1539" s="2">
        <v>4086</v>
      </c>
      <c r="I1539" s="2">
        <v>3891</v>
      </c>
      <c r="J1539">
        <v>70</v>
      </c>
      <c r="K1539" s="2">
        <v>1005</v>
      </c>
      <c r="L1539">
        <v>175</v>
      </c>
      <c r="M1539">
        <v>37</v>
      </c>
      <c r="N1539">
        <v>72</v>
      </c>
      <c r="O1539">
        <v>178</v>
      </c>
      <c r="P1539">
        <v>56</v>
      </c>
      <c r="Q1539">
        <v>112</v>
      </c>
      <c r="R1539">
        <v>38</v>
      </c>
      <c r="S1539" s="2">
        <v>1164</v>
      </c>
      <c r="T1539">
        <v>244</v>
      </c>
      <c r="W1539" s="1">
        <v>44160</v>
      </c>
      <c r="X1539" t="s">
        <v>56</v>
      </c>
      <c r="AL1539" t="s">
        <v>40</v>
      </c>
      <c r="AM1539" t="s">
        <v>40</v>
      </c>
    </row>
    <row r="1540" spans="1:39" x14ac:dyDescent="0.3">
      <c r="A1540">
        <v>2020</v>
      </c>
      <c r="B1540">
        <v>1</v>
      </c>
      <c r="C1540" t="str">
        <f t="shared" si="48"/>
        <v>1/01/2020</v>
      </c>
      <c r="D1540" s="1" t="str">
        <f t="shared" si="49"/>
        <v>1/01/2020</v>
      </c>
      <c r="E1540" t="s">
        <v>55</v>
      </c>
      <c r="F1540" t="s">
        <v>52</v>
      </c>
      <c r="G1540" t="s">
        <v>48</v>
      </c>
      <c r="H1540" s="2">
        <v>3043</v>
      </c>
      <c r="I1540" s="2">
        <v>2982</v>
      </c>
      <c r="J1540">
        <v>61</v>
      </c>
      <c r="K1540">
        <v>689</v>
      </c>
      <c r="L1540">
        <v>147</v>
      </c>
      <c r="M1540">
        <v>80</v>
      </c>
      <c r="N1540">
        <v>68</v>
      </c>
      <c r="O1540">
        <v>139</v>
      </c>
      <c r="P1540">
        <v>46</v>
      </c>
      <c r="Q1540">
        <v>116</v>
      </c>
      <c r="R1540">
        <v>21</v>
      </c>
      <c r="S1540">
        <v>765</v>
      </c>
      <c r="T1540">
        <v>220</v>
      </c>
      <c r="U1540">
        <v>0</v>
      </c>
      <c r="V1540">
        <v>0</v>
      </c>
      <c r="W1540" s="1">
        <v>44160</v>
      </c>
      <c r="X1540" t="s">
        <v>56</v>
      </c>
    </row>
    <row r="1541" spans="1:39" x14ac:dyDescent="0.3">
      <c r="A1541">
        <v>2020</v>
      </c>
      <c r="B1541">
        <v>1</v>
      </c>
      <c r="C1541" t="str">
        <f t="shared" si="48"/>
        <v>1/01/2020</v>
      </c>
      <c r="D1541" s="1" t="str">
        <f t="shared" si="49"/>
        <v>1/01/2020</v>
      </c>
      <c r="E1541" t="s">
        <v>55</v>
      </c>
      <c r="F1541" t="s">
        <v>52</v>
      </c>
      <c r="G1541" t="s">
        <v>49</v>
      </c>
      <c r="H1541" s="2">
        <v>1897</v>
      </c>
      <c r="I1541" s="2">
        <v>1849</v>
      </c>
      <c r="J1541">
        <v>37</v>
      </c>
      <c r="K1541">
        <v>311</v>
      </c>
      <c r="L1541">
        <v>72</v>
      </c>
      <c r="M1541">
        <v>114</v>
      </c>
      <c r="N1541">
        <v>48</v>
      </c>
      <c r="O1541">
        <v>76</v>
      </c>
      <c r="P1541">
        <v>24</v>
      </c>
      <c r="Q1541">
        <v>57</v>
      </c>
      <c r="R1541">
        <v>18</v>
      </c>
      <c r="S1541">
        <v>521</v>
      </c>
      <c r="T1541">
        <v>126</v>
      </c>
      <c r="U1541">
        <v>0</v>
      </c>
      <c r="V1541">
        <v>0</v>
      </c>
      <c r="W1541" s="1">
        <v>44160</v>
      </c>
      <c r="X1541" t="s">
        <v>56</v>
      </c>
    </row>
    <row r="1542" spans="1:39" x14ac:dyDescent="0.3">
      <c r="A1542">
        <v>2020</v>
      </c>
      <c r="B1542">
        <v>1</v>
      </c>
      <c r="C1542" t="str">
        <f t="shared" si="48"/>
        <v>1/01/2020</v>
      </c>
      <c r="D1542" s="1" t="str">
        <f t="shared" si="49"/>
        <v>1/01/2020</v>
      </c>
      <c r="E1542" t="s">
        <v>55</v>
      </c>
      <c r="F1542" t="s">
        <v>53</v>
      </c>
      <c r="G1542" t="s">
        <v>39</v>
      </c>
      <c r="H1542">
        <v>464</v>
      </c>
      <c r="I1542">
        <v>408</v>
      </c>
      <c r="L1542">
        <v>0</v>
      </c>
      <c r="M1542">
        <v>0</v>
      </c>
      <c r="N1542">
        <v>15</v>
      </c>
      <c r="O1542">
        <v>0</v>
      </c>
      <c r="R1542">
        <v>51</v>
      </c>
      <c r="S1542">
        <v>10</v>
      </c>
      <c r="U1542">
        <v>0</v>
      </c>
      <c r="V1542">
        <v>0</v>
      </c>
      <c r="W1542" s="1">
        <v>44160</v>
      </c>
      <c r="X1542" t="s">
        <v>56</v>
      </c>
      <c r="AA1542" t="s">
        <v>40</v>
      </c>
      <c r="AB1542" t="s">
        <v>40</v>
      </c>
      <c r="AG1542" t="s">
        <v>40</v>
      </c>
      <c r="AH1542" t="s">
        <v>40</v>
      </c>
      <c r="AK1542" t="s">
        <v>40</v>
      </c>
    </row>
    <row r="1543" spans="1:39" x14ac:dyDescent="0.3">
      <c r="A1543">
        <v>2020</v>
      </c>
      <c r="B1543">
        <v>1</v>
      </c>
      <c r="C1543" t="str">
        <f t="shared" si="48"/>
        <v>1/01/2020</v>
      </c>
      <c r="D1543" s="1" t="str">
        <f t="shared" si="49"/>
        <v>1/01/2020</v>
      </c>
      <c r="E1543" t="s">
        <v>55</v>
      </c>
      <c r="F1543" t="s">
        <v>53</v>
      </c>
      <c r="G1543" t="s">
        <v>41</v>
      </c>
      <c r="H1543">
        <v>841</v>
      </c>
      <c r="I1543">
        <v>189</v>
      </c>
      <c r="K1543">
        <v>32</v>
      </c>
      <c r="L1543">
        <v>13</v>
      </c>
      <c r="M1543">
        <v>0</v>
      </c>
      <c r="R1543">
        <v>17</v>
      </c>
      <c r="S1543">
        <v>23</v>
      </c>
      <c r="U1543">
        <v>0</v>
      </c>
      <c r="V1543">
        <v>0</v>
      </c>
      <c r="W1543" s="1">
        <v>44160</v>
      </c>
      <c r="X1543" t="s">
        <v>56</v>
      </c>
      <c r="AA1543" t="s">
        <v>40</v>
      </c>
      <c r="AE1543" t="s">
        <v>40</v>
      </c>
      <c r="AF1543" t="s">
        <v>40</v>
      </c>
      <c r="AG1543" t="s">
        <v>40</v>
      </c>
      <c r="AH1543" t="s">
        <v>40</v>
      </c>
      <c r="AK1543" t="s">
        <v>40</v>
      </c>
    </row>
    <row r="1544" spans="1:39" x14ac:dyDescent="0.3">
      <c r="A1544">
        <v>2020</v>
      </c>
      <c r="B1544">
        <v>1</v>
      </c>
      <c r="C1544" t="str">
        <f t="shared" si="48"/>
        <v>1/01/2020</v>
      </c>
      <c r="D1544" s="1" t="str">
        <f t="shared" si="49"/>
        <v>1/01/2020</v>
      </c>
      <c r="E1544" t="s">
        <v>55</v>
      </c>
      <c r="F1544" t="s">
        <v>53</v>
      </c>
      <c r="G1544" t="s">
        <v>42</v>
      </c>
      <c r="H1544" s="2">
        <v>2047</v>
      </c>
      <c r="I1544">
        <v>566</v>
      </c>
      <c r="K1544">
        <v>84</v>
      </c>
      <c r="L1544">
        <v>26</v>
      </c>
      <c r="M1544">
        <v>0</v>
      </c>
      <c r="N1544">
        <v>29</v>
      </c>
      <c r="R1544">
        <v>37</v>
      </c>
      <c r="S1544">
        <v>103</v>
      </c>
      <c r="T1544">
        <v>17</v>
      </c>
      <c r="U1544">
        <v>0</v>
      </c>
      <c r="V1544">
        <v>0</v>
      </c>
      <c r="W1544" s="1">
        <v>44160</v>
      </c>
      <c r="X1544" t="s">
        <v>56</v>
      </c>
      <c r="AA1544" t="s">
        <v>40</v>
      </c>
      <c r="AF1544" t="s">
        <v>40</v>
      </c>
      <c r="AG1544" t="s">
        <v>40</v>
      </c>
      <c r="AH1544" t="s">
        <v>40</v>
      </c>
    </row>
    <row r="1545" spans="1:39" x14ac:dyDescent="0.3">
      <c r="A1545">
        <v>2020</v>
      </c>
      <c r="B1545">
        <v>1</v>
      </c>
      <c r="C1545" t="str">
        <f t="shared" si="48"/>
        <v>1/01/2020</v>
      </c>
      <c r="D1545" s="1" t="str">
        <f t="shared" si="49"/>
        <v>1/01/2020</v>
      </c>
      <c r="E1545" t="s">
        <v>55</v>
      </c>
      <c r="F1545" t="s">
        <v>53</v>
      </c>
      <c r="G1545" t="s">
        <v>43</v>
      </c>
      <c r="H1545" s="2">
        <v>2846</v>
      </c>
      <c r="I1545" s="2">
        <v>1378</v>
      </c>
      <c r="J1545">
        <v>25</v>
      </c>
      <c r="K1545">
        <v>266</v>
      </c>
      <c r="L1545">
        <v>81</v>
      </c>
      <c r="M1545">
        <v>0</v>
      </c>
      <c r="N1545">
        <v>37</v>
      </c>
      <c r="O1545">
        <v>13</v>
      </c>
      <c r="P1545">
        <v>17</v>
      </c>
      <c r="Q1545">
        <v>13</v>
      </c>
      <c r="R1545">
        <v>49</v>
      </c>
      <c r="S1545">
        <v>345</v>
      </c>
      <c r="T1545">
        <v>48</v>
      </c>
      <c r="U1545">
        <v>0</v>
      </c>
      <c r="V1545">
        <v>0</v>
      </c>
      <c r="W1545" s="1">
        <v>44160</v>
      </c>
      <c r="X1545" t="s">
        <v>56</v>
      </c>
    </row>
    <row r="1546" spans="1:39" x14ac:dyDescent="0.3">
      <c r="A1546">
        <v>2020</v>
      </c>
      <c r="B1546">
        <v>1</v>
      </c>
      <c r="C1546" t="str">
        <f t="shared" si="48"/>
        <v>1/01/2020</v>
      </c>
      <c r="D1546" s="1" t="str">
        <f t="shared" si="49"/>
        <v>1/01/2020</v>
      </c>
      <c r="E1546" t="s">
        <v>55</v>
      </c>
      <c r="F1546" t="s">
        <v>53</v>
      </c>
      <c r="G1546" t="s">
        <v>44</v>
      </c>
      <c r="H1546" s="2">
        <v>5665</v>
      </c>
      <c r="I1546" s="2">
        <v>4227</v>
      </c>
      <c r="J1546">
        <v>83</v>
      </c>
      <c r="K1546">
        <v>973</v>
      </c>
      <c r="L1546">
        <v>200</v>
      </c>
      <c r="M1546">
        <v>0</v>
      </c>
      <c r="N1546">
        <v>108</v>
      </c>
      <c r="O1546">
        <v>100</v>
      </c>
      <c r="P1546">
        <v>50</v>
      </c>
      <c r="Q1546">
        <v>59</v>
      </c>
      <c r="R1546">
        <v>86</v>
      </c>
      <c r="S1546" s="2">
        <v>1187</v>
      </c>
      <c r="T1546">
        <v>147</v>
      </c>
      <c r="U1546">
        <v>0</v>
      </c>
      <c r="V1546">
        <v>0</v>
      </c>
      <c r="W1546" s="1">
        <v>44160</v>
      </c>
      <c r="X1546" t="s">
        <v>56</v>
      </c>
    </row>
    <row r="1547" spans="1:39" x14ac:dyDescent="0.3">
      <c r="A1547">
        <v>2020</v>
      </c>
      <c r="B1547">
        <v>1</v>
      </c>
      <c r="C1547" t="str">
        <f t="shared" si="48"/>
        <v>1/01/2020</v>
      </c>
      <c r="D1547" s="1" t="str">
        <f t="shared" si="49"/>
        <v>1/01/2020</v>
      </c>
      <c r="E1547" t="s">
        <v>55</v>
      </c>
      <c r="F1547" t="s">
        <v>53</v>
      </c>
      <c r="G1547" t="s">
        <v>45</v>
      </c>
      <c r="H1547">
        <v>127</v>
      </c>
      <c r="I1547">
        <v>55</v>
      </c>
      <c r="J1547">
        <v>0</v>
      </c>
      <c r="K1547">
        <v>12</v>
      </c>
      <c r="M1547">
        <v>0</v>
      </c>
      <c r="Q1547">
        <v>0</v>
      </c>
      <c r="U1547">
        <v>0</v>
      </c>
      <c r="V1547">
        <v>0</v>
      </c>
      <c r="W1547" s="1">
        <v>44160</v>
      </c>
      <c r="X1547" t="s">
        <v>56</v>
      </c>
      <c r="AC1547" t="s">
        <v>40</v>
      </c>
      <c r="AE1547" t="s">
        <v>40</v>
      </c>
      <c r="AF1547" t="s">
        <v>40</v>
      </c>
      <c r="AG1547" t="s">
        <v>40</v>
      </c>
      <c r="AI1547" t="s">
        <v>40</v>
      </c>
      <c r="AJ1547" t="s">
        <v>40</v>
      </c>
      <c r="AK1547" t="s">
        <v>40</v>
      </c>
    </row>
    <row r="1548" spans="1:39" x14ac:dyDescent="0.3">
      <c r="A1548">
        <v>2020</v>
      </c>
      <c r="B1548">
        <v>1</v>
      </c>
      <c r="C1548" t="str">
        <f t="shared" si="48"/>
        <v>1/01/2020</v>
      </c>
      <c r="D1548" s="1" t="str">
        <f t="shared" si="49"/>
        <v>1/01/2020</v>
      </c>
      <c r="E1548" t="s">
        <v>55</v>
      </c>
      <c r="F1548" t="s">
        <v>53</v>
      </c>
      <c r="G1548" t="s">
        <v>46</v>
      </c>
      <c r="H1548" s="2">
        <v>14450</v>
      </c>
      <c r="I1548" s="2">
        <v>12858</v>
      </c>
      <c r="J1548">
        <v>206</v>
      </c>
      <c r="K1548" s="2">
        <v>3823</v>
      </c>
      <c r="L1548">
        <v>527</v>
      </c>
      <c r="M1548">
        <v>35</v>
      </c>
      <c r="N1548">
        <v>275</v>
      </c>
      <c r="O1548">
        <v>709</v>
      </c>
      <c r="P1548">
        <v>196</v>
      </c>
      <c r="Q1548">
        <v>159</v>
      </c>
      <c r="R1548">
        <v>132</v>
      </c>
      <c r="S1548" s="2">
        <v>3573</v>
      </c>
      <c r="T1548">
        <v>428</v>
      </c>
      <c r="U1548">
        <v>0</v>
      </c>
      <c r="V1548">
        <v>0</v>
      </c>
      <c r="W1548" s="1">
        <v>44160</v>
      </c>
      <c r="X1548" t="s">
        <v>56</v>
      </c>
    </row>
    <row r="1549" spans="1:39" x14ac:dyDescent="0.3">
      <c r="A1549">
        <v>2020</v>
      </c>
      <c r="B1549">
        <v>1</v>
      </c>
      <c r="C1549" t="str">
        <f t="shared" si="48"/>
        <v>1/01/2020</v>
      </c>
      <c r="D1549" s="1" t="str">
        <f t="shared" si="49"/>
        <v>1/01/2020</v>
      </c>
      <c r="E1549" t="s">
        <v>55</v>
      </c>
      <c r="F1549" t="s">
        <v>53</v>
      </c>
      <c r="G1549" t="s">
        <v>47</v>
      </c>
      <c r="H1549" s="2">
        <v>22652</v>
      </c>
      <c r="I1549" s="2">
        <v>21562</v>
      </c>
      <c r="J1549">
        <v>315</v>
      </c>
      <c r="K1549" s="2">
        <v>6491</v>
      </c>
      <c r="L1549">
        <v>907</v>
      </c>
      <c r="M1549">
        <v>245</v>
      </c>
      <c r="N1549">
        <v>468</v>
      </c>
      <c r="O1549" s="2">
        <v>1718</v>
      </c>
      <c r="P1549">
        <v>438</v>
      </c>
      <c r="Q1549">
        <v>376</v>
      </c>
      <c r="R1549">
        <v>187</v>
      </c>
      <c r="S1549" s="2">
        <v>5524</v>
      </c>
      <c r="T1549">
        <v>830</v>
      </c>
      <c r="U1549">
        <v>0</v>
      </c>
      <c r="V1549">
        <v>0</v>
      </c>
      <c r="W1549" s="1">
        <v>44160</v>
      </c>
      <c r="X1549" t="s">
        <v>56</v>
      </c>
    </row>
    <row r="1550" spans="1:39" x14ac:dyDescent="0.3">
      <c r="A1550">
        <v>2020</v>
      </c>
      <c r="B1550">
        <v>1</v>
      </c>
      <c r="C1550" t="str">
        <f t="shared" si="48"/>
        <v>1/01/2020</v>
      </c>
      <c r="D1550" s="1" t="str">
        <f t="shared" si="49"/>
        <v>1/01/2020</v>
      </c>
      <c r="E1550" t="s">
        <v>55</v>
      </c>
      <c r="F1550" t="s">
        <v>53</v>
      </c>
      <c r="G1550" t="s">
        <v>48</v>
      </c>
      <c r="H1550" s="2">
        <v>26703</v>
      </c>
      <c r="I1550" s="2">
        <v>25648</v>
      </c>
      <c r="J1550">
        <v>410</v>
      </c>
      <c r="K1550" s="2">
        <v>6125</v>
      </c>
      <c r="L1550">
        <v>822</v>
      </c>
      <c r="M1550">
        <v>966</v>
      </c>
      <c r="N1550">
        <v>664</v>
      </c>
      <c r="O1550" s="2">
        <v>2143</v>
      </c>
      <c r="P1550">
        <v>625</v>
      </c>
      <c r="Q1550">
        <v>540</v>
      </c>
      <c r="R1550">
        <v>219</v>
      </c>
      <c r="S1550" s="2">
        <v>6519</v>
      </c>
      <c r="T1550" s="2">
        <v>1349</v>
      </c>
      <c r="U1550">
        <v>0</v>
      </c>
      <c r="V1550">
        <v>0</v>
      </c>
      <c r="W1550" s="1">
        <v>44160</v>
      </c>
      <c r="X1550" t="s">
        <v>56</v>
      </c>
    </row>
    <row r="1551" spans="1:39" x14ac:dyDescent="0.3">
      <c r="A1551">
        <v>2020</v>
      </c>
      <c r="B1551">
        <v>1</v>
      </c>
      <c r="C1551" t="str">
        <f t="shared" si="48"/>
        <v>1/01/2020</v>
      </c>
      <c r="D1551" s="1" t="str">
        <f t="shared" si="49"/>
        <v>1/01/2020</v>
      </c>
      <c r="E1551" t="s">
        <v>55</v>
      </c>
      <c r="F1551" t="s">
        <v>53</v>
      </c>
      <c r="G1551" t="s">
        <v>49</v>
      </c>
      <c r="H1551" s="2">
        <v>26452</v>
      </c>
      <c r="I1551" s="2">
        <v>25517</v>
      </c>
      <c r="J1551">
        <v>306</v>
      </c>
      <c r="K1551" s="2">
        <v>3718</v>
      </c>
      <c r="L1551">
        <v>513</v>
      </c>
      <c r="M1551" s="2">
        <v>1631</v>
      </c>
      <c r="N1551">
        <v>763</v>
      </c>
      <c r="O1551" s="2">
        <v>1519</v>
      </c>
      <c r="P1551">
        <v>496</v>
      </c>
      <c r="Q1551">
        <v>589</v>
      </c>
      <c r="R1551">
        <v>286</v>
      </c>
      <c r="S1551" s="2">
        <v>7987</v>
      </c>
      <c r="T1551" s="2">
        <v>1564</v>
      </c>
      <c r="V1551">
        <v>0</v>
      </c>
      <c r="W1551" s="1">
        <v>44160</v>
      </c>
      <c r="X1551" t="s">
        <v>56</v>
      </c>
      <c r="AL1551" t="s">
        <v>40</v>
      </c>
    </row>
    <row r="1552" spans="1:39" x14ac:dyDescent="0.3">
      <c r="A1552">
        <v>2020</v>
      </c>
      <c r="B1552">
        <v>1</v>
      </c>
      <c r="C1552" t="str">
        <f t="shared" si="48"/>
        <v>1/01/2020</v>
      </c>
      <c r="D1552" s="1" t="str">
        <f t="shared" si="49"/>
        <v>1/01/2020</v>
      </c>
      <c r="E1552" t="s">
        <v>55</v>
      </c>
      <c r="F1552" t="s">
        <v>54</v>
      </c>
      <c r="G1552" t="s">
        <v>39</v>
      </c>
      <c r="H1552">
        <v>52</v>
      </c>
      <c r="I1552">
        <v>44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Q1552">
        <v>0</v>
      </c>
      <c r="T1552">
        <v>0</v>
      </c>
      <c r="U1552">
        <v>0</v>
      </c>
      <c r="V1552">
        <v>0</v>
      </c>
      <c r="W1552" s="1">
        <v>44160</v>
      </c>
      <c r="X1552" t="s">
        <v>56</v>
      </c>
      <c r="AG1552" t="s">
        <v>40</v>
      </c>
      <c r="AI1552" t="s">
        <v>40</v>
      </c>
      <c r="AJ1552" t="s">
        <v>40</v>
      </c>
    </row>
    <row r="1553" spans="1:38" x14ac:dyDescent="0.3">
      <c r="A1553">
        <v>2020</v>
      </c>
      <c r="B1553">
        <v>1</v>
      </c>
      <c r="C1553" t="str">
        <f t="shared" si="48"/>
        <v>1/01/2020</v>
      </c>
      <c r="D1553" s="1" t="str">
        <f t="shared" si="49"/>
        <v>1/01/2020</v>
      </c>
      <c r="E1553" t="s">
        <v>55</v>
      </c>
      <c r="F1553" t="s">
        <v>54</v>
      </c>
      <c r="G1553" t="s">
        <v>41</v>
      </c>
      <c r="H1553">
        <v>42</v>
      </c>
      <c r="J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T1553">
        <v>0</v>
      </c>
      <c r="U1553">
        <v>0</v>
      </c>
      <c r="V1553">
        <v>0</v>
      </c>
      <c r="W1553" s="1">
        <v>44160</v>
      </c>
      <c r="X1553" t="s">
        <v>56</v>
      </c>
      <c r="Z1553" t="s">
        <v>40</v>
      </c>
      <c r="AB1553" t="s">
        <v>40</v>
      </c>
      <c r="AJ1553" t="s">
        <v>40</v>
      </c>
    </row>
    <row r="1554" spans="1:38" x14ac:dyDescent="0.3">
      <c r="A1554">
        <v>2020</v>
      </c>
      <c r="B1554">
        <v>1</v>
      </c>
      <c r="C1554" t="str">
        <f t="shared" si="48"/>
        <v>1/01/2020</v>
      </c>
      <c r="D1554" s="1" t="str">
        <f t="shared" si="49"/>
        <v>1/01/2020</v>
      </c>
      <c r="E1554" t="s">
        <v>55</v>
      </c>
      <c r="F1554" t="s">
        <v>54</v>
      </c>
      <c r="G1554" t="s">
        <v>42</v>
      </c>
      <c r="H1554">
        <v>61</v>
      </c>
      <c r="I1554">
        <v>30</v>
      </c>
      <c r="J1554">
        <v>0</v>
      </c>
      <c r="L1554">
        <v>0</v>
      </c>
      <c r="M1554">
        <v>0</v>
      </c>
      <c r="O1554">
        <v>0</v>
      </c>
      <c r="P1554">
        <v>0</v>
      </c>
      <c r="Q1554">
        <v>0</v>
      </c>
      <c r="U1554">
        <v>0</v>
      </c>
      <c r="V1554">
        <v>0</v>
      </c>
      <c r="W1554" s="1">
        <v>44160</v>
      </c>
      <c r="X1554" t="s">
        <v>56</v>
      </c>
      <c r="AB1554" t="s">
        <v>40</v>
      </c>
      <c r="AE1554" t="s">
        <v>40</v>
      </c>
      <c r="AI1554" t="s">
        <v>40</v>
      </c>
      <c r="AJ1554" t="s">
        <v>40</v>
      </c>
      <c r="AK1554" t="s">
        <v>40</v>
      </c>
    </row>
    <row r="1555" spans="1:38" x14ac:dyDescent="0.3">
      <c r="A1555">
        <v>2020</v>
      </c>
      <c r="B1555">
        <v>1</v>
      </c>
      <c r="C1555" t="str">
        <f t="shared" si="48"/>
        <v>1/01/2020</v>
      </c>
      <c r="D1555" s="1" t="str">
        <f t="shared" si="49"/>
        <v>1/01/2020</v>
      </c>
      <c r="E1555" t="s">
        <v>55</v>
      </c>
      <c r="F1555" t="s">
        <v>54</v>
      </c>
      <c r="G1555" t="s">
        <v>43</v>
      </c>
      <c r="H1555">
        <v>84</v>
      </c>
      <c r="I1555">
        <v>52</v>
      </c>
      <c r="K1555">
        <v>11</v>
      </c>
      <c r="M1555">
        <v>0</v>
      </c>
      <c r="P1555">
        <v>0</v>
      </c>
      <c r="S1555">
        <v>12</v>
      </c>
      <c r="U1555">
        <v>0</v>
      </c>
      <c r="V1555">
        <v>0</v>
      </c>
      <c r="W1555" s="1">
        <v>44160</v>
      </c>
      <c r="X1555" t="s">
        <v>56</v>
      </c>
      <c r="AA1555" t="s">
        <v>40</v>
      </c>
      <c r="AC1555" t="s">
        <v>40</v>
      </c>
      <c r="AE1555" t="s">
        <v>40</v>
      </c>
      <c r="AF1555" t="s">
        <v>40</v>
      </c>
      <c r="AH1555" t="s">
        <v>40</v>
      </c>
      <c r="AI1555" t="s">
        <v>40</v>
      </c>
      <c r="AK1555" t="s">
        <v>40</v>
      </c>
    </row>
    <row r="1556" spans="1:38" x14ac:dyDescent="0.3">
      <c r="A1556">
        <v>2020</v>
      </c>
      <c r="B1556">
        <v>1</v>
      </c>
      <c r="C1556" t="str">
        <f t="shared" si="48"/>
        <v>1/01/2020</v>
      </c>
      <c r="D1556" s="1" t="str">
        <f t="shared" si="49"/>
        <v>1/01/2020</v>
      </c>
      <c r="E1556" t="s">
        <v>55</v>
      </c>
      <c r="F1556" t="s">
        <v>54</v>
      </c>
      <c r="G1556" t="s">
        <v>44</v>
      </c>
      <c r="H1556">
        <v>98</v>
      </c>
      <c r="I1556">
        <v>73</v>
      </c>
      <c r="J1556">
        <v>0</v>
      </c>
      <c r="K1556">
        <v>10</v>
      </c>
      <c r="M1556">
        <v>0</v>
      </c>
      <c r="S1556">
        <v>27</v>
      </c>
      <c r="U1556">
        <v>0</v>
      </c>
      <c r="V1556">
        <v>0</v>
      </c>
      <c r="W1556" s="1">
        <v>44160</v>
      </c>
      <c r="X1556" t="s">
        <v>56</v>
      </c>
      <c r="AC1556" t="s">
        <v>40</v>
      </c>
      <c r="AE1556" t="s">
        <v>40</v>
      </c>
      <c r="AF1556" t="s">
        <v>40</v>
      </c>
      <c r="AG1556" t="s">
        <v>40</v>
      </c>
      <c r="AH1556" t="s">
        <v>40</v>
      </c>
      <c r="AI1556" t="s">
        <v>40</v>
      </c>
      <c r="AK1556" t="s">
        <v>40</v>
      </c>
    </row>
    <row r="1557" spans="1:38" x14ac:dyDescent="0.3">
      <c r="A1557">
        <v>2020</v>
      </c>
      <c r="B1557">
        <v>1</v>
      </c>
      <c r="C1557" t="str">
        <f t="shared" si="48"/>
        <v>1/01/2020</v>
      </c>
      <c r="D1557" s="1" t="str">
        <f t="shared" si="49"/>
        <v>1/01/2020</v>
      </c>
      <c r="E1557" t="s">
        <v>55</v>
      </c>
      <c r="F1557" t="s">
        <v>54</v>
      </c>
      <c r="G1557" t="s">
        <v>45</v>
      </c>
      <c r="H1557">
        <v>10</v>
      </c>
      <c r="L1557">
        <v>0</v>
      </c>
      <c r="M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 s="1">
        <v>44160</v>
      </c>
      <c r="X1557" t="s">
        <v>56</v>
      </c>
      <c r="Z1557" t="s">
        <v>40</v>
      </c>
      <c r="AA1557" t="s">
        <v>40</v>
      </c>
      <c r="AB1557" t="s">
        <v>40</v>
      </c>
      <c r="AE1557" t="s">
        <v>40</v>
      </c>
    </row>
    <row r="1558" spans="1:38" x14ac:dyDescent="0.3">
      <c r="A1558">
        <v>2020</v>
      </c>
      <c r="B1558">
        <v>1</v>
      </c>
      <c r="C1558" t="str">
        <f t="shared" si="48"/>
        <v>1/01/2020</v>
      </c>
      <c r="D1558" s="1" t="str">
        <f t="shared" si="49"/>
        <v>1/01/2020</v>
      </c>
      <c r="E1558" t="s">
        <v>55</v>
      </c>
      <c r="F1558" t="s">
        <v>54</v>
      </c>
      <c r="G1558" t="s">
        <v>46</v>
      </c>
      <c r="H1558">
        <v>247</v>
      </c>
      <c r="I1558">
        <v>215</v>
      </c>
      <c r="K1558">
        <v>46</v>
      </c>
      <c r="S1558">
        <v>75</v>
      </c>
      <c r="T1558">
        <v>14</v>
      </c>
      <c r="U1558">
        <v>0</v>
      </c>
      <c r="V1558">
        <v>0</v>
      </c>
      <c r="W1558" s="1">
        <v>44160</v>
      </c>
      <c r="X1558" t="s">
        <v>56</v>
      </c>
      <c r="AA1558" t="s">
        <v>40</v>
      </c>
      <c r="AC1558" t="s">
        <v>40</v>
      </c>
      <c r="AD1558" t="s">
        <v>40</v>
      </c>
      <c r="AE1558" t="s">
        <v>40</v>
      </c>
      <c r="AF1558" t="s">
        <v>40</v>
      </c>
      <c r="AG1558" t="s">
        <v>40</v>
      </c>
      <c r="AH1558" t="s">
        <v>40</v>
      </c>
      <c r="AI1558" t="s">
        <v>40</v>
      </c>
    </row>
    <row r="1559" spans="1:38" x14ac:dyDescent="0.3">
      <c r="A1559">
        <v>2020</v>
      </c>
      <c r="B1559">
        <v>1</v>
      </c>
      <c r="C1559" t="str">
        <f t="shared" si="48"/>
        <v>1/01/2020</v>
      </c>
      <c r="D1559" s="1" t="str">
        <f t="shared" si="49"/>
        <v>1/01/2020</v>
      </c>
      <c r="E1559" t="s">
        <v>55</v>
      </c>
      <c r="F1559" t="s">
        <v>54</v>
      </c>
      <c r="G1559" t="s">
        <v>47</v>
      </c>
      <c r="H1559">
        <v>296</v>
      </c>
      <c r="I1559">
        <v>273</v>
      </c>
      <c r="K1559">
        <v>60</v>
      </c>
      <c r="L1559">
        <v>15</v>
      </c>
      <c r="O1559">
        <v>17</v>
      </c>
      <c r="S1559">
        <v>87</v>
      </c>
      <c r="T1559">
        <v>10</v>
      </c>
      <c r="U1559">
        <v>0</v>
      </c>
      <c r="V1559">
        <v>0</v>
      </c>
      <c r="W1559" s="1">
        <v>44160</v>
      </c>
      <c r="X1559" t="s">
        <v>56</v>
      </c>
      <c r="AA1559" t="s">
        <v>40</v>
      </c>
      <c r="AD1559" t="s">
        <v>40</v>
      </c>
      <c r="AE1559" t="s">
        <v>40</v>
      </c>
      <c r="AG1559" t="s">
        <v>40</v>
      </c>
      <c r="AH1559" t="s">
        <v>40</v>
      </c>
      <c r="AI1559" t="s">
        <v>40</v>
      </c>
    </row>
    <row r="1560" spans="1:38" x14ac:dyDescent="0.3">
      <c r="A1560">
        <v>2020</v>
      </c>
      <c r="B1560">
        <v>1</v>
      </c>
      <c r="C1560" t="str">
        <f t="shared" si="48"/>
        <v>1/01/2020</v>
      </c>
      <c r="D1560" s="1" t="str">
        <f t="shared" si="49"/>
        <v>1/01/2020</v>
      </c>
      <c r="E1560" t="s">
        <v>55</v>
      </c>
      <c r="F1560" t="s">
        <v>54</v>
      </c>
      <c r="G1560" t="s">
        <v>48</v>
      </c>
      <c r="H1560">
        <v>219</v>
      </c>
      <c r="I1560">
        <v>211</v>
      </c>
      <c r="K1560">
        <v>45</v>
      </c>
      <c r="N1560">
        <v>11</v>
      </c>
      <c r="O1560">
        <v>17</v>
      </c>
      <c r="S1560">
        <v>62</v>
      </c>
      <c r="T1560">
        <v>14</v>
      </c>
      <c r="U1560">
        <v>0</v>
      </c>
      <c r="V1560">
        <v>0</v>
      </c>
      <c r="W1560" s="1">
        <v>44160</v>
      </c>
      <c r="X1560" t="s">
        <v>56</v>
      </c>
      <c r="AA1560" t="s">
        <v>40</v>
      </c>
      <c r="AC1560" t="s">
        <v>40</v>
      </c>
      <c r="AD1560" t="s">
        <v>40</v>
      </c>
      <c r="AG1560" t="s">
        <v>40</v>
      </c>
      <c r="AH1560" t="s">
        <v>40</v>
      </c>
      <c r="AI1560" t="s">
        <v>40</v>
      </c>
    </row>
    <row r="1561" spans="1:38" x14ac:dyDescent="0.3">
      <c r="A1561">
        <v>2020</v>
      </c>
      <c r="B1561">
        <v>1</v>
      </c>
      <c r="C1561" t="str">
        <f t="shared" si="48"/>
        <v>1/01/2020</v>
      </c>
      <c r="D1561" s="1" t="str">
        <f t="shared" si="49"/>
        <v>1/01/2020</v>
      </c>
      <c r="E1561" t="s">
        <v>55</v>
      </c>
      <c r="F1561" t="s">
        <v>54</v>
      </c>
      <c r="G1561" t="s">
        <v>49</v>
      </c>
      <c r="H1561">
        <v>117</v>
      </c>
      <c r="I1561">
        <v>113</v>
      </c>
      <c r="K1561">
        <v>17</v>
      </c>
      <c r="S1561">
        <v>38</v>
      </c>
      <c r="U1561">
        <v>0</v>
      </c>
      <c r="V1561">
        <v>0</v>
      </c>
      <c r="W1561" s="1">
        <v>44160</v>
      </c>
      <c r="X1561" t="s">
        <v>56</v>
      </c>
      <c r="AA1561" t="s">
        <v>40</v>
      </c>
      <c r="AC1561" t="s">
        <v>40</v>
      </c>
      <c r="AD1561" t="s">
        <v>40</v>
      </c>
      <c r="AE1561" t="s">
        <v>40</v>
      </c>
      <c r="AF1561" t="s">
        <v>40</v>
      </c>
      <c r="AG1561" t="s">
        <v>40</v>
      </c>
      <c r="AH1561" t="s">
        <v>40</v>
      </c>
      <c r="AI1561" t="s">
        <v>40</v>
      </c>
      <c r="AK1561" t="s">
        <v>40</v>
      </c>
    </row>
    <row r="1562" spans="1:38" x14ac:dyDescent="0.3">
      <c r="A1562">
        <v>2020</v>
      </c>
      <c r="B1562">
        <v>2</v>
      </c>
      <c r="C1562" t="str">
        <f t="shared" si="48"/>
        <v>2/01/2020</v>
      </c>
      <c r="D1562" s="1" t="str">
        <f t="shared" si="49"/>
        <v>2/01/2020</v>
      </c>
      <c r="E1562" t="s">
        <v>37</v>
      </c>
      <c r="F1562" t="s">
        <v>38</v>
      </c>
      <c r="G1562" t="s">
        <v>39</v>
      </c>
      <c r="H1562">
        <v>212</v>
      </c>
      <c r="I1562">
        <v>203</v>
      </c>
      <c r="L1562">
        <v>0</v>
      </c>
      <c r="M1562">
        <v>0</v>
      </c>
      <c r="O1562">
        <v>0</v>
      </c>
      <c r="Q1562">
        <v>0</v>
      </c>
      <c r="R1562">
        <v>23</v>
      </c>
      <c r="T1562">
        <v>0</v>
      </c>
      <c r="U1562">
        <v>0</v>
      </c>
      <c r="V1562">
        <v>0</v>
      </c>
      <c r="W1562" s="1">
        <v>44160</v>
      </c>
      <c r="X1562" t="s">
        <v>56</v>
      </c>
      <c r="AA1562" t="s">
        <v>40</v>
      </c>
      <c r="AB1562" t="s">
        <v>40</v>
      </c>
      <c r="AE1562" t="s">
        <v>40</v>
      </c>
      <c r="AG1562" t="s">
        <v>40</v>
      </c>
      <c r="AJ1562" t="s">
        <v>40</v>
      </c>
    </row>
    <row r="1563" spans="1:38" x14ac:dyDescent="0.3">
      <c r="A1563">
        <v>2020</v>
      </c>
      <c r="B1563">
        <v>2</v>
      </c>
      <c r="C1563" t="str">
        <f t="shared" si="48"/>
        <v>2/01/2020</v>
      </c>
      <c r="D1563" s="1" t="str">
        <f t="shared" si="49"/>
        <v>2/01/2020</v>
      </c>
      <c r="E1563" t="s">
        <v>37</v>
      </c>
      <c r="F1563" t="s">
        <v>38</v>
      </c>
      <c r="G1563" t="s">
        <v>41</v>
      </c>
      <c r="H1563">
        <v>119</v>
      </c>
      <c r="I1563">
        <v>45</v>
      </c>
      <c r="J1563">
        <v>0</v>
      </c>
      <c r="M1563">
        <v>0</v>
      </c>
      <c r="U1563">
        <v>0</v>
      </c>
      <c r="V1563">
        <v>0</v>
      </c>
      <c r="W1563" s="1">
        <v>44160</v>
      </c>
      <c r="X1563" t="s">
        <v>56</v>
      </c>
      <c r="AB1563" t="s">
        <v>40</v>
      </c>
      <c r="AC1563" t="s">
        <v>40</v>
      </c>
      <c r="AE1563" t="s">
        <v>40</v>
      </c>
      <c r="AF1563" t="s">
        <v>40</v>
      </c>
      <c r="AG1563" t="s">
        <v>40</v>
      </c>
      <c r="AH1563" t="s">
        <v>40</v>
      </c>
      <c r="AI1563" t="s">
        <v>40</v>
      </c>
      <c r="AJ1563" t="s">
        <v>40</v>
      </c>
      <c r="AK1563" t="s">
        <v>40</v>
      </c>
    </row>
    <row r="1564" spans="1:38" x14ac:dyDescent="0.3">
      <c r="A1564">
        <v>2020</v>
      </c>
      <c r="B1564">
        <v>2</v>
      </c>
      <c r="C1564" t="str">
        <f t="shared" si="48"/>
        <v>2/01/2020</v>
      </c>
      <c r="D1564" s="1" t="str">
        <f t="shared" si="49"/>
        <v>2/01/2020</v>
      </c>
      <c r="E1564" t="s">
        <v>37</v>
      </c>
      <c r="F1564" t="s">
        <v>38</v>
      </c>
      <c r="G1564" t="s">
        <v>42</v>
      </c>
      <c r="H1564">
        <v>209</v>
      </c>
      <c r="I1564">
        <v>120</v>
      </c>
      <c r="K1564">
        <v>37</v>
      </c>
      <c r="M1564">
        <v>0</v>
      </c>
      <c r="Q1564">
        <v>0</v>
      </c>
      <c r="R1564">
        <v>10</v>
      </c>
      <c r="S1564">
        <v>15</v>
      </c>
      <c r="U1564">
        <v>0</v>
      </c>
      <c r="V1564">
        <v>0</v>
      </c>
      <c r="W1564" s="1">
        <v>44160</v>
      </c>
      <c r="X1564" t="s">
        <v>56</v>
      </c>
      <c r="AA1564" t="s">
        <v>40</v>
      </c>
      <c r="AC1564" t="s">
        <v>40</v>
      </c>
      <c r="AE1564" t="s">
        <v>40</v>
      </c>
      <c r="AF1564" t="s">
        <v>40</v>
      </c>
      <c r="AG1564" t="s">
        <v>40</v>
      </c>
      <c r="AK1564" t="s">
        <v>40</v>
      </c>
    </row>
    <row r="1565" spans="1:38" x14ac:dyDescent="0.3">
      <c r="A1565">
        <v>2020</v>
      </c>
      <c r="B1565">
        <v>2</v>
      </c>
      <c r="C1565" t="str">
        <f t="shared" si="48"/>
        <v>2/01/2020</v>
      </c>
      <c r="D1565" s="1" t="str">
        <f t="shared" si="49"/>
        <v>2/01/2020</v>
      </c>
      <c r="E1565" t="s">
        <v>37</v>
      </c>
      <c r="F1565" t="s">
        <v>38</v>
      </c>
      <c r="G1565" t="s">
        <v>43</v>
      </c>
      <c r="H1565">
        <v>341</v>
      </c>
      <c r="I1565">
        <v>247</v>
      </c>
      <c r="K1565">
        <v>94</v>
      </c>
      <c r="L1565">
        <v>10</v>
      </c>
      <c r="M1565">
        <v>0</v>
      </c>
      <c r="N1565">
        <v>15</v>
      </c>
      <c r="R1565">
        <v>10</v>
      </c>
      <c r="S1565">
        <v>34</v>
      </c>
      <c r="U1565">
        <v>0</v>
      </c>
      <c r="V1565">
        <v>0</v>
      </c>
      <c r="W1565" s="1">
        <v>44160</v>
      </c>
      <c r="X1565" t="s">
        <v>56</v>
      </c>
      <c r="AA1565" t="s">
        <v>40</v>
      </c>
      <c r="AF1565" t="s">
        <v>40</v>
      </c>
      <c r="AG1565" t="s">
        <v>40</v>
      </c>
      <c r="AH1565" t="s">
        <v>40</v>
      </c>
      <c r="AK1565" t="s">
        <v>40</v>
      </c>
    </row>
    <row r="1566" spans="1:38" x14ac:dyDescent="0.3">
      <c r="A1566">
        <v>2020</v>
      </c>
      <c r="B1566">
        <v>2</v>
      </c>
      <c r="C1566" t="str">
        <f t="shared" si="48"/>
        <v>2/01/2020</v>
      </c>
      <c r="D1566" s="1" t="str">
        <f t="shared" si="49"/>
        <v>2/01/2020</v>
      </c>
      <c r="E1566" t="s">
        <v>37</v>
      </c>
      <c r="F1566" t="s">
        <v>38</v>
      </c>
      <c r="G1566" t="s">
        <v>44</v>
      </c>
      <c r="H1566">
        <v>530</v>
      </c>
      <c r="I1566">
        <v>467</v>
      </c>
      <c r="K1566">
        <v>195</v>
      </c>
      <c r="L1566">
        <v>26</v>
      </c>
      <c r="N1566">
        <v>18</v>
      </c>
      <c r="S1566">
        <v>52</v>
      </c>
      <c r="T1566">
        <v>30</v>
      </c>
      <c r="U1566">
        <v>0</v>
      </c>
      <c r="V1566">
        <v>0</v>
      </c>
      <c r="W1566" s="1">
        <v>44160</v>
      </c>
      <c r="X1566" t="s">
        <v>56</v>
      </c>
      <c r="AA1566" t="s">
        <v>40</v>
      </c>
      <c r="AD1566" t="s">
        <v>40</v>
      </c>
      <c r="AF1566" t="s">
        <v>40</v>
      </c>
      <c r="AG1566" t="s">
        <v>40</v>
      </c>
      <c r="AH1566" t="s">
        <v>40</v>
      </c>
      <c r="AI1566" t="s">
        <v>40</v>
      </c>
    </row>
    <row r="1567" spans="1:38" x14ac:dyDescent="0.3">
      <c r="A1567">
        <v>2020</v>
      </c>
      <c r="B1567">
        <v>2</v>
      </c>
      <c r="C1567" t="str">
        <f t="shared" si="48"/>
        <v>2/01/2020</v>
      </c>
      <c r="D1567" s="1" t="str">
        <f t="shared" si="49"/>
        <v>2/01/2020</v>
      </c>
      <c r="E1567" t="s">
        <v>37</v>
      </c>
      <c r="F1567" t="s">
        <v>38</v>
      </c>
      <c r="G1567" t="s">
        <v>45</v>
      </c>
      <c r="H1567">
        <v>40</v>
      </c>
      <c r="I1567">
        <v>27</v>
      </c>
      <c r="J1567">
        <v>0</v>
      </c>
      <c r="K1567">
        <v>12</v>
      </c>
      <c r="L1567">
        <v>0</v>
      </c>
      <c r="M1567">
        <v>0</v>
      </c>
      <c r="O1567">
        <v>0</v>
      </c>
      <c r="Q1567">
        <v>0</v>
      </c>
      <c r="R1567">
        <v>0</v>
      </c>
      <c r="T1567">
        <v>0</v>
      </c>
      <c r="U1567">
        <v>0</v>
      </c>
      <c r="V1567">
        <v>0</v>
      </c>
      <c r="W1567" s="1">
        <v>44160</v>
      </c>
      <c r="X1567" t="s">
        <v>56</v>
      </c>
      <c r="AE1567" t="s">
        <v>40</v>
      </c>
      <c r="AG1567" t="s">
        <v>40</v>
      </c>
      <c r="AJ1567" t="s">
        <v>40</v>
      </c>
    </row>
    <row r="1568" spans="1:38" x14ac:dyDescent="0.3">
      <c r="A1568">
        <v>2020</v>
      </c>
      <c r="B1568">
        <v>2</v>
      </c>
      <c r="C1568" t="str">
        <f t="shared" si="48"/>
        <v>2/01/2020</v>
      </c>
      <c r="D1568" s="1" t="str">
        <f t="shared" si="49"/>
        <v>2/01/2020</v>
      </c>
      <c r="E1568" t="s">
        <v>37</v>
      </c>
      <c r="F1568" t="s">
        <v>38</v>
      </c>
      <c r="G1568" t="s">
        <v>46</v>
      </c>
      <c r="H1568">
        <v>994</v>
      </c>
      <c r="I1568">
        <v>940</v>
      </c>
      <c r="J1568">
        <v>13</v>
      </c>
      <c r="K1568">
        <v>311</v>
      </c>
      <c r="L1568">
        <v>79</v>
      </c>
      <c r="N1568">
        <v>37</v>
      </c>
      <c r="O1568">
        <v>25</v>
      </c>
      <c r="P1568">
        <v>26</v>
      </c>
      <c r="Q1568">
        <v>26</v>
      </c>
      <c r="S1568">
        <v>147</v>
      </c>
      <c r="T1568">
        <v>43</v>
      </c>
      <c r="V1568">
        <v>0</v>
      </c>
      <c r="W1568" s="1">
        <v>44160</v>
      </c>
      <c r="X1568" t="s">
        <v>56</v>
      </c>
      <c r="AD1568" t="s">
        <v>40</v>
      </c>
      <c r="AI1568" t="s">
        <v>40</v>
      </c>
      <c r="AL1568" t="s">
        <v>40</v>
      </c>
    </row>
    <row r="1569" spans="1:37" x14ac:dyDescent="0.3">
      <c r="A1569">
        <v>2020</v>
      </c>
      <c r="B1569">
        <v>2</v>
      </c>
      <c r="C1569" t="str">
        <f t="shared" si="48"/>
        <v>2/01/2020</v>
      </c>
      <c r="D1569" s="1" t="str">
        <f t="shared" si="49"/>
        <v>2/01/2020</v>
      </c>
      <c r="E1569" t="s">
        <v>37</v>
      </c>
      <c r="F1569" t="s">
        <v>38</v>
      </c>
      <c r="G1569" t="s">
        <v>47</v>
      </c>
      <c r="H1569" s="2">
        <v>1379</v>
      </c>
      <c r="I1569" s="2">
        <v>1334</v>
      </c>
      <c r="J1569">
        <v>18</v>
      </c>
      <c r="K1569">
        <v>408</v>
      </c>
      <c r="L1569">
        <v>108</v>
      </c>
      <c r="M1569">
        <v>21</v>
      </c>
      <c r="N1569">
        <v>48</v>
      </c>
      <c r="O1569">
        <v>39</v>
      </c>
      <c r="P1569">
        <v>24</v>
      </c>
      <c r="Q1569">
        <v>39</v>
      </c>
      <c r="S1569">
        <v>274</v>
      </c>
      <c r="T1569">
        <v>65</v>
      </c>
      <c r="U1569">
        <v>0</v>
      </c>
      <c r="V1569">
        <v>0</v>
      </c>
      <c r="W1569" s="1">
        <v>44160</v>
      </c>
      <c r="X1569" t="s">
        <v>56</v>
      </c>
      <c r="AI1569" t="s">
        <v>40</v>
      </c>
    </row>
    <row r="1570" spans="1:37" x14ac:dyDescent="0.3">
      <c r="A1570">
        <v>2020</v>
      </c>
      <c r="B1570">
        <v>2</v>
      </c>
      <c r="C1570" t="str">
        <f t="shared" si="48"/>
        <v>2/01/2020</v>
      </c>
      <c r="D1570" s="1" t="str">
        <f t="shared" si="49"/>
        <v>2/01/2020</v>
      </c>
      <c r="E1570" t="s">
        <v>37</v>
      </c>
      <c r="F1570" t="s">
        <v>38</v>
      </c>
      <c r="G1570" t="s">
        <v>48</v>
      </c>
      <c r="H1570" s="2">
        <v>1945</v>
      </c>
      <c r="I1570" s="2">
        <v>1909</v>
      </c>
      <c r="J1570">
        <v>25</v>
      </c>
      <c r="K1570">
        <v>406</v>
      </c>
      <c r="L1570">
        <v>120</v>
      </c>
      <c r="M1570">
        <v>139</v>
      </c>
      <c r="N1570">
        <v>52</v>
      </c>
      <c r="O1570">
        <v>79</v>
      </c>
      <c r="P1570">
        <v>49</v>
      </c>
      <c r="Q1570">
        <v>44</v>
      </c>
      <c r="R1570">
        <v>10</v>
      </c>
      <c r="S1570">
        <v>431</v>
      </c>
      <c r="T1570">
        <v>145</v>
      </c>
      <c r="U1570">
        <v>0</v>
      </c>
      <c r="V1570">
        <v>0</v>
      </c>
      <c r="W1570" s="1">
        <v>44160</v>
      </c>
      <c r="X1570" t="s">
        <v>56</v>
      </c>
    </row>
    <row r="1571" spans="1:37" x14ac:dyDescent="0.3">
      <c r="A1571">
        <v>2020</v>
      </c>
      <c r="B1571">
        <v>2</v>
      </c>
      <c r="C1571" t="str">
        <f t="shared" si="48"/>
        <v>2/01/2020</v>
      </c>
      <c r="D1571" s="1" t="str">
        <f t="shared" si="49"/>
        <v>2/01/2020</v>
      </c>
      <c r="E1571" t="s">
        <v>37</v>
      </c>
      <c r="F1571" t="s">
        <v>38</v>
      </c>
      <c r="G1571" t="s">
        <v>49</v>
      </c>
      <c r="H1571" s="2">
        <v>2622</v>
      </c>
      <c r="I1571" s="2">
        <v>2570</v>
      </c>
      <c r="J1571">
        <v>23</v>
      </c>
      <c r="K1571">
        <v>247</v>
      </c>
      <c r="L1571">
        <v>90</v>
      </c>
      <c r="M1571">
        <v>352</v>
      </c>
      <c r="N1571">
        <v>79</v>
      </c>
      <c r="O1571">
        <v>112</v>
      </c>
      <c r="P1571">
        <v>40</v>
      </c>
      <c r="Q1571">
        <v>60</v>
      </c>
      <c r="R1571">
        <v>23</v>
      </c>
      <c r="S1571">
        <v>654</v>
      </c>
      <c r="T1571">
        <v>243</v>
      </c>
      <c r="U1571">
        <v>0</v>
      </c>
      <c r="V1571">
        <v>0</v>
      </c>
      <c r="W1571" s="1">
        <v>44160</v>
      </c>
      <c r="X1571" t="s">
        <v>56</v>
      </c>
    </row>
    <row r="1572" spans="1:37" x14ac:dyDescent="0.3">
      <c r="A1572">
        <v>2020</v>
      </c>
      <c r="B1572">
        <v>2</v>
      </c>
      <c r="C1572" t="str">
        <f t="shared" si="48"/>
        <v>2/01/2020</v>
      </c>
      <c r="D1572" s="1" t="str">
        <f t="shared" si="49"/>
        <v>2/01/2020</v>
      </c>
      <c r="E1572" t="s">
        <v>37</v>
      </c>
      <c r="F1572" t="s">
        <v>50</v>
      </c>
      <c r="G1572" t="s">
        <v>39</v>
      </c>
      <c r="J1572">
        <v>0</v>
      </c>
      <c r="K1572">
        <v>0</v>
      </c>
      <c r="L1572">
        <v>0</v>
      </c>
      <c r="M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 s="1">
        <v>44160</v>
      </c>
      <c r="X1572" t="s">
        <v>56</v>
      </c>
      <c r="Y1572" t="s">
        <v>40</v>
      </c>
      <c r="Z1572" t="s">
        <v>40</v>
      </c>
      <c r="AE1572" t="s">
        <v>40</v>
      </c>
    </row>
    <row r="1573" spans="1:37" x14ac:dyDescent="0.3">
      <c r="A1573">
        <v>2020</v>
      </c>
      <c r="B1573">
        <v>2</v>
      </c>
      <c r="C1573" t="str">
        <f t="shared" si="48"/>
        <v>2/01/2020</v>
      </c>
      <c r="D1573" s="1" t="str">
        <f t="shared" si="49"/>
        <v>2/01/2020</v>
      </c>
      <c r="E1573" t="s">
        <v>37</v>
      </c>
      <c r="F1573" t="s">
        <v>50</v>
      </c>
      <c r="G1573" t="s">
        <v>41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U1573">
        <v>0</v>
      </c>
      <c r="V1573">
        <v>0</v>
      </c>
      <c r="W1573" s="1">
        <v>44160</v>
      </c>
      <c r="X1573" t="s">
        <v>56</v>
      </c>
      <c r="Y1573" t="s">
        <v>40</v>
      </c>
      <c r="Z1573" t="s">
        <v>40</v>
      </c>
      <c r="AK1573" t="s">
        <v>40</v>
      </c>
    </row>
    <row r="1574" spans="1:37" x14ac:dyDescent="0.3">
      <c r="A1574">
        <v>2020</v>
      </c>
      <c r="B1574">
        <v>2</v>
      </c>
      <c r="C1574" t="str">
        <f t="shared" si="48"/>
        <v>2/01/2020</v>
      </c>
      <c r="D1574" s="1" t="str">
        <f t="shared" si="49"/>
        <v>2/01/2020</v>
      </c>
      <c r="E1574" t="s">
        <v>37</v>
      </c>
      <c r="F1574" t="s">
        <v>50</v>
      </c>
      <c r="G1574" t="s">
        <v>42</v>
      </c>
      <c r="H1574">
        <v>35</v>
      </c>
      <c r="I1574">
        <v>15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T1574">
        <v>0</v>
      </c>
      <c r="U1574">
        <v>0</v>
      </c>
      <c r="V1574">
        <v>0</v>
      </c>
      <c r="W1574" s="1">
        <v>44160</v>
      </c>
      <c r="X1574" t="s">
        <v>56</v>
      </c>
      <c r="AA1574" t="s">
        <v>40</v>
      </c>
      <c r="AB1574" t="s">
        <v>40</v>
      </c>
      <c r="AC1574" t="s">
        <v>40</v>
      </c>
      <c r="AJ1574" t="s">
        <v>40</v>
      </c>
    </row>
    <row r="1575" spans="1:37" x14ac:dyDescent="0.3">
      <c r="A1575">
        <v>2020</v>
      </c>
      <c r="B1575">
        <v>2</v>
      </c>
      <c r="C1575" t="str">
        <f t="shared" si="48"/>
        <v>2/01/2020</v>
      </c>
      <c r="D1575" s="1" t="str">
        <f t="shared" si="49"/>
        <v>2/01/2020</v>
      </c>
      <c r="E1575" t="s">
        <v>37</v>
      </c>
      <c r="F1575" t="s">
        <v>50</v>
      </c>
      <c r="G1575" t="s">
        <v>43</v>
      </c>
      <c r="H1575">
        <v>37</v>
      </c>
      <c r="I1575">
        <v>23</v>
      </c>
      <c r="M1575">
        <v>0</v>
      </c>
      <c r="N1575">
        <v>0</v>
      </c>
      <c r="O1575">
        <v>0</v>
      </c>
      <c r="P1575">
        <v>0</v>
      </c>
      <c r="Q1575">
        <v>0</v>
      </c>
      <c r="U1575">
        <v>0</v>
      </c>
      <c r="V1575">
        <v>0</v>
      </c>
      <c r="W1575" s="1">
        <v>44160</v>
      </c>
      <c r="X1575" t="s">
        <v>56</v>
      </c>
      <c r="AA1575" t="s">
        <v>40</v>
      </c>
      <c r="AB1575" t="s">
        <v>40</v>
      </c>
      <c r="AC1575" t="s">
        <v>40</v>
      </c>
      <c r="AI1575" t="s">
        <v>40</v>
      </c>
      <c r="AJ1575" t="s">
        <v>40</v>
      </c>
      <c r="AK1575" t="s">
        <v>40</v>
      </c>
    </row>
    <row r="1576" spans="1:37" x14ac:dyDescent="0.3">
      <c r="A1576">
        <v>2020</v>
      </c>
      <c r="B1576">
        <v>2</v>
      </c>
      <c r="C1576" t="str">
        <f t="shared" si="48"/>
        <v>2/01/2020</v>
      </c>
      <c r="D1576" s="1" t="str">
        <f t="shared" si="49"/>
        <v>2/01/2020</v>
      </c>
      <c r="E1576" t="s">
        <v>37</v>
      </c>
      <c r="F1576" t="s">
        <v>50</v>
      </c>
      <c r="G1576" t="s">
        <v>44</v>
      </c>
      <c r="H1576">
        <v>65</v>
      </c>
      <c r="I1576">
        <v>51</v>
      </c>
      <c r="M1576">
        <v>0</v>
      </c>
      <c r="P1576">
        <v>0</v>
      </c>
      <c r="Q1576">
        <v>0</v>
      </c>
      <c r="U1576">
        <v>0</v>
      </c>
      <c r="V1576">
        <v>0</v>
      </c>
      <c r="W1576" s="1">
        <v>44160</v>
      </c>
      <c r="X1576" t="s">
        <v>56</v>
      </c>
      <c r="AA1576" t="s">
        <v>40</v>
      </c>
      <c r="AB1576" t="s">
        <v>40</v>
      </c>
      <c r="AC1576" t="s">
        <v>40</v>
      </c>
      <c r="AE1576" t="s">
        <v>40</v>
      </c>
      <c r="AF1576" t="s">
        <v>40</v>
      </c>
      <c r="AI1576" t="s">
        <v>40</v>
      </c>
      <c r="AJ1576" t="s">
        <v>40</v>
      </c>
      <c r="AK1576" t="s">
        <v>40</v>
      </c>
    </row>
    <row r="1577" spans="1:37" x14ac:dyDescent="0.3">
      <c r="A1577">
        <v>2020</v>
      </c>
      <c r="B1577">
        <v>2</v>
      </c>
      <c r="C1577" t="str">
        <f t="shared" si="48"/>
        <v>2/01/2020</v>
      </c>
      <c r="D1577" s="1" t="str">
        <f t="shared" si="49"/>
        <v>2/01/2020</v>
      </c>
      <c r="E1577" t="s">
        <v>37</v>
      </c>
      <c r="F1577" t="s">
        <v>50</v>
      </c>
      <c r="G1577" t="s">
        <v>45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 s="1">
        <v>44160</v>
      </c>
      <c r="X1577" t="s">
        <v>56</v>
      </c>
      <c r="Y1577" t="s">
        <v>40</v>
      </c>
      <c r="Z1577" t="s">
        <v>40</v>
      </c>
    </row>
    <row r="1578" spans="1:37" x14ac:dyDescent="0.3">
      <c r="A1578">
        <v>2020</v>
      </c>
      <c r="B1578">
        <v>2</v>
      </c>
      <c r="C1578" t="str">
        <f t="shared" si="48"/>
        <v>2/01/2020</v>
      </c>
      <c r="D1578" s="1" t="str">
        <f t="shared" si="49"/>
        <v>2/01/2020</v>
      </c>
      <c r="E1578" t="s">
        <v>37</v>
      </c>
      <c r="F1578" t="s">
        <v>50</v>
      </c>
      <c r="G1578" t="s">
        <v>46</v>
      </c>
      <c r="H1578">
        <v>125</v>
      </c>
      <c r="I1578">
        <v>118</v>
      </c>
      <c r="K1578">
        <v>28</v>
      </c>
      <c r="M1578">
        <v>0</v>
      </c>
      <c r="S1578">
        <v>16</v>
      </c>
      <c r="U1578">
        <v>0</v>
      </c>
      <c r="V1578">
        <v>0</v>
      </c>
      <c r="W1578" s="1">
        <v>44160</v>
      </c>
      <c r="X1578" t="s">
        <v>56</v>
      </c>
      <c r="AA1578" t="s">
        <v>40</v>
      </c>
      <c r="AC1578" t="s">
        <v>40</v>
      </c>
      <c r="AE1578" t="s">
        <v>40</v>
      </c>
      <c r="AF1578" t="s">
        <v>40</v>
      </c>
      <c r="AG1578" t="s">
        <v>40</v>
      </c>
      <c r="AH1578" t="s">
        <v>40</v>
      </c>
      <c r="AI1578" t="s">
        <v>40</v>
      </c>
      <c r="AK1578" t="s">
        <v>40</v>
      </c>
    </row>
    <row r="1579" spans="1:37" x14ac:dyDescent="0.3">
      <c r="A1579">
        <v>2020</v>
      </c>
      <c r="B1579">
        <v>2</v>
      </c>
      <c r="C1579" t="str">
        <f t="shared" si="48"/>
        <v>2/01/2020</v>
      </c>
      <c r="D1579" s="1" t="str">
        <f t="shared" si="49"/>
        <v>2/01/2020</v>
      </c>
      <c r="E1579" t="s">
        <v>37</v>
      </c>
      <c r="F1579" t="s">
        <v>50</v>
      </c>
      <c r="G1579" t="s">
        <v>47</v>
      </c>
      <c r="H1579">
        <v>125</v>
      </c>
      <c r="I1579">
        <v>121</v>
      </c>
      <c r="K1579">
        <v>30</v>
      </c>
      <c r="L1579">
        <v>12</v>
      </c>
      <c r="S1579">
        <v>17</v>
      </c>
      <c r="U1579">
        <v>0</v>
      </c>
      <c r="V1579">
        <v>0</v>
      </c>
      <c r="W1579" s="1">
        <v>44160</v>
      </c>
      <c r="X1579" t="s">
        <v>56</v>
      </c>
      <c r="AA1579" t="s">
        <v>40</v>
      </c>
      <c r="AD1579" t="s">
        <v>40</v>
      </c>
      <c r="AE1579" t="s">
        <v>40</v>
      </c>
      <c r="AF1579" t="s">
        <v>40</v>
      </c>
      <c r="AG1579" t="s">
        <v>40</v>
      </c>
      <c r="AH1579" t="s">
        <v>40</v>
      </c>
      <c r="AI1579" t="s">
        <v>40</v>
      </c>
      <c r="AK1579" t="s">
        <v>40</v>
      </c>
    </row>
    <row r="1580" spans="1:37" x14ac:dyDescent="0.3">
      <c r="A1580">
        <v>2020</v>
      </c>
      <c r="B1580">
        <v>2</v>
      </c>
      <c r="C1580" t="str">
        <f t="shared" si="48"/>
        <v>2/01/2020</v>
      </c>
      <c r="D1580" s="1" t="str">
        <f t="shared" si="49"/>
        <v>2/01/2020</v>
      </c>
      <c r="E1580" t="s">
        <v>37</v>
      </c>
      <c r="F1580" t="s">
        <v>50</v>
      </c>
      <c r="G1580" t="s">
        <v>48</v>
      </c>
      <c r="H1580">
        <v>143</v>
      </c>
      <c r="I1580">
        <v>139</v>
      </c>
      <c r="K1580">
        <v>27</v>
      </c>
      <c r="L1580">
        <v>11</v>
      </c>
      <c r="O1580">
        <v>13</v>
      </c>
      <c r="S1580">
        <v>22</v>
      </c>
      <c r="U1580">
        <v>0</v>
      </c>
      <c r="V1580">
        <v>0</v>
      </c>
      <c r="W1580" s="1">
        <v>44160</v>
      </c>
      <c r="X1580" t="s">
        <v>56</v>
      </c>
      <c r="AA1580" t="s">
        <v>40</v>
      </c>
      <c r="AD1580" t="s">
        <v>40</v>
      </c>
      <c r="AE1580" t="s">
        <v>40</v>
      </c>
      <c r="AG1580" t="s">
        <v>40</v>
      </c>
      <c r="AH1580" t="s">
        <v>40</v>
      </c>
      <c r="AI1580" t="s">
        <v>40</v>
      </c>
      <c r="AK1580" t="s">
        <v>40</v>
      </c>
    </row>
    <row r="1581" spans="1:37" x14ac:dyDescent="0.3">
      <c r="A1581">
        <v>2020</v>
      </c>
      <c r="B1581">
        <v>2</v>
      </c>
      <c r="C1581" t="str">
        <f t="shared" si="48"/>
        <v>2/01/2020</v>
      </c>
      <c r="D1581" s="1" t="str">
        <f t="shared" si="49"/>
        <v>2/01/2020</v>
      </c>
      <c r="E1581" t="s">
        <v>37</v>
      </c>
      <c r="F1581" t="s">
        <v>50</v>
      </c>
      <c r="G1581" t="s">
        <v>49</v>
      </c>
      <c r="H1581">
        <v>123</v>
      </c>
      <c r="I1581">
        <v>119</v>
      </c>
      <c r="K1581">
        <v>14</v>
      </c>
      <c r="M1581">
        <v>11</v>
      </c>
      <c r="S1581">
        <v>26</v>
      </c>
      <c r="U1581">
        <v>0</v>
      </c>
      <c r="V1581">
        <v>0</v>
      </c>
      <c r="W1581" s="1">
        <v>44160</v>
      </c>
      <c r="X1581" t="s">
        <v>56</v>
      </c>
      <c r="AA1581" t="s">
        <v>40</v>
      </c>
      <c r="AC1581" t="s">
        <v>40</v>
      </c>
      <c r="AE1581" t="s">
        <v>40</v>
      </c>
      <c r="AF1581" t="s">
        <v>40</v>
      </c>
      <c r="AG1581" t="s">
        <v>40</v>
      </c>
      <c r="AH1581" t="s">
        <v>40</v>
      </c>
      <c r="AI1581" t="s">
        <v>40</v>
      </c>
      <c r="AK1581" t="s">
        <v>40</v>
      </c>
    </row>
    <row r="1582" spans="1:37" x14ac:dyDescent="0.3">
      <c r="A1582">
        <v>2020</v>
      </c>
      <c r="B1582">
        <v>2</v>
      </c>
      <c r="C1582" t="str">
        <f t="shared" si="48"/>
        <v>2/01/2020</v>
      </c>
      <c r="D1582" s="1" t="str">
        <f t="shared" si="49"/>
        <v>2/01/2020</v>
      </c>
      <c r="E1582" t="s">
        <v>37</v>
      </c>
      <c r="F1582" t="s">
        <v>51</v>
      </c>
      <c r="G1582" t="s">
        <v>39</v>
      </c>
      <c r="H1582">
        <v>32</v>
      </c>
      <c r="I1582">
        <v>31</v>
      </c>
      <c r="J1582">
        <v>0</v>
      </c>
      <c r="K1582">
        <v>0</v>
      </c>
      <c r="L1582">
        <v>0</v>
      </c>
      <c r="M1582">
        <v>0</v>
      </c>
      <c r="O1582">
        <v>0</v>
      </c>
      <c r="U1582">
        <v>0</v>
      </c>
      <c r="V1582">
        <v>0</v>
      </c>
      <c r="W1582" s="1">
        <v>44160</v>
      </c>
      <c r="X1582" t="s">
        <v>56</v>
      </c>
      <c r="AE1582" t="s">
        <v>40</v>
      </c>
      <c r="AG1582" t="s">
        <v>40</v>
      </c>
      <c r="AH1582" t="s">
        <v>40</v>
      </c>
      <c r="AI1582" t="s">
        <v>40</v>
      </c>
      <c r="AJ1582" t="s">
        <v>40</v>
      </c>
      <c r="AK1582" t="s">
        <v>40</v>
      </c>
    </row>
    <row r="1583" spans="1:37" x14ac:dyDescent="0.3">
      <c r="A1583">
        <v>2020</v>
      </c>
      <c r="B1583">
        <v>2</v>
      </c>
      <c r="C1583" t="str">
        <f t="shared" si="48"/>
        <v>2/01/2020</v>
      </c>
      <c r="D1583" s="1" t="str">
        <f t="shared" si="49"/>
        <v>2/01/2020</v>
      </c>
      <c r="E1583" t="s">
        <v>37</v>
      </c>
      <c r="F1583" t="s">
        <v>51</v>
      </c>
      <c r="G1583" t="s">
        <v>41</v>
      </c>
      <c r="H1583">
        <v>30</v>
      </c>
      <c r="I1583">
        <v>14</v>
      </c>
      <c r="M1583">
        <v>0</v>
      </c>
      <c r="O1583">
        <v>0</v>
      </c>
      <c r="P1583">
        <v>0</v>
      </c>
      <c r="Q1583">
        <v>0</v>
      </c>
      <c r="R1583">
        <v>0</v>
      </c>
      <c r="T1583">
        <v>0</v>
      </c>
      <c r="U1583">
        <v>0</v>
      </c>
      <c r="V1583">
        <v>0</v>
      </c>
      <c r="W1583" s="1">
        <v>44160</v>
      </c>
      <c r="X1583" t="s">
        <v>56</v>
      </c>
      <c r="AA1583" t="s">
        <v>40</v>
      </c>
      <c r="AB1583" t="s">
        <v>40</v>
      </c>
      <c r="AC1583" t="s">
        <v>40</v>
      </c>
      <c r="AE1583" t="s">
        <v>40</v>
      </c>
      <c r="AJ1583" t="s">
        <v>40</v>
      </c>
    </row>
    <row r="1584" spans="1:37" x14ac:dyDescent="0.3">
      <c r="A1584">
        <v>2020</v>
      </c>
      <c r="B1584">
        <v>2</v>
      </c>
      <c r="C1584" t="str">
        <f t="shared" si="48"/>
        <v>2/01/2020</v>
      </c>
      <c r="D1584" s="1" t="str">
        <f t="shared" si="49"/>
        <v>2/01/2020</v>
      </c>
      <c r="E1584" t="s">
        <v>37</v>
      </c>
      <c r="F1584" t="s">
        <v>51</v>
      </c>
      <c r="G1584" t="s">
        <v>42</v>
      </c>
      <c r="H1584">
        <v>38</v>
      </c>
      <c r="I1584">
        <v>22</v>
      </c>
      <c r="J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T1584">
        <v>0</v>
      </c>
      <c r="U1584">
        <v>0</v>
      </c>
      <c r="V1584">
        <v>0</v>
      </c>
      <c r="W1584" s="1">
        <v>44160</v>
      </c>
      <c r="X1584" t="s">
        <v>56</v>
      </c>
      <c r="AB1584" t="s">
        <v>40</v>
      </c>
      <c r="AH1584" t="s">
        <v>40</v>
      </c>
      <c r="AI1584" t="s">
        <v>40</v>
      </c>
      <c r="AJ1584" t="s">
        <v>40</v>
      </c>
    </row>
    <row r="1585" spans="1:37" x14ac:dyDescent="0.3">
      <c r="A1585">
        <v>2020</v>
      </c>
      <c r="B1585">
        <v>2</v>
      </c>
      <c r="C1585" t="str">
        <f t="shared" si="48"/>
        <v>2/01/2020</v>
      </c>
      <c r="D1585" s="1" t="str">
        <f t="shared" si="49"/>
        <v>2/01/2020</v>
      </c>
      <c r="E1585" t="s">
        <v>37</v>
      </c>
      <c r="F1585" t="s">
        <v>51</v>
      </c>
      <c r="G1585" t="s">
        <v>43</v>
      </c>
      <c r="H1585">
        <v>68</v>
      </c>
      <c r="I1585">
        <v>58</v>
      </c>
      <c r="K1585">
        <v>30</v>
      </c>
      <c r="M1585">
        <v>0</v>
      </c>
      <c r="O1585">
        <v>0</v>
      </c>
      <c r="P1585">
        <v>0</v>
      </c>
      <c r="Q1585">
        <v>0</v>
      </c>
      <c r="U1585">
        <v>0</v>
      </c>
      <c r="V1585">
        <v>0</v>
      </c>
      <c r="W1585" s="1">
        <v>44160</v>
      </c>
      <c r="X1585" t="s">
        <v>56</v>
      </c>
      <c r="AA1585" t="s">
        <v>40</v>
      </c>
      <c r="AC1585" t="s">
        <v>40</v>
      </c>
      <c r="AE1585" t="s">
        <v>40</v>
      </c>
      <c r="AI1585" t="s">
        <v>40</v>
      </c>
      <c r="AJ1585" t="s">
        <v>40</v>
      </c>
      <c r="AK1585" t="s">
        <v>40</v>
      </c>
    </row>
    <row r="1586" spans="1:37" x14ac:dyDescent="0.3">
      <c r="A1586">
        <v>2020</v>
      </c>
      <c r="B1586">
        <v>2</v>
      </c>
      <c r="C1586" t="str">
        <f t="shared" si="48"/>
        <v>2/01/2020</v>
      </c>
      <c r="D1586" s="1" t="str">
        <f t="shared" si="49"/>
        <v>2/01/2020</v>
      </c>
      <c r="E1586" t="s">
        <v>37</v>
      </c>
      <c r="F1586" t="s">
        <v>51</v>
      </c>
      <c r="G1586" t="s">
        <v>44</v>
      </c>
      <c r="H1586">
        <v>132</v>
      </c>
      <c r="I1586">
        <v>123</v>
      </c>
      <c r="K1586">
        <v>72</v>
      </c>
      <c r="O1586">
        <v>0</v>
      </c>
      <c r="P1586">
        <v>0</v>
      </c>
      <c r="T1586">
        <v>10</v>
      </c>
      <c r="U1586">
        <v>0</v>
      </c>
      <c r="V1586">
        <v>0</v>
      </c>
      <c r="W1586" s="1">
        <v>44160</v>
      </c>
      <c r="X1586" t="s">
        <v>56</v>
      </c>
      <c r="AA1586" t="s">
        <v>40</v>
      </c>
      <c r="AC1586" t="s">
        <v>40</v>
      </c>
      <c r="AD1586" t="s">
        <v>40</v>
      </c>
      <c r="AE1586" t="s">
        <v>40</v>
      </c>
      <c r="AH1586" t="s">
        <v>40</v>
      </c>
      <c r="AI1586" t="s">
        <v>40</v>
      </c>
      <c r="AJ1586" t="s">
        <v>40</v>
      </c>
    </row>
    <row r="1587" spans="1:37" x14ac:dyDescent="0.3">
      <c r="A1587">
        <v>2020</v>
      </c>
      <c r="B1587">
        <v>2</v>
      </c>
      <c r="C1587" t="str">
        <f t="shared" si="48"/>
        <v>2/01/2020</v>
      </c>
      <c r="D1587" s="1" t="str">
        <f t="shared" si="49"/>
        <v>2/01/2020</v>
      </c>
      <c r="E1587" t="s">
        <v>37</v>
      </c>
      <c r="F1587" t="s">
        <v>51</v>
      </c>
      <c r="G1587" t="s">
        <v>45</v>
      </c>
      <c r="J1587">
        <v>0</v>
      </c>
      <c r="L1587">
        <v>0</v>
      </c>
      <c r="M1587">
        <v>0</v>
      </c>
      <c r="O1587">
        <v>0</v>
      </c>
      <c r="P1587">
        <v>0</v>
      </c>
      <c r="Q1587">
        <v>0</v>
      </c>
      <c r="R1587">
        <v>0</v>
      </c>
      <c r="T1587">
        <v>0</v>
      </c>
      <c r="U1587">
        <v>0</v>
      </c>
      <c r="V1587">
        <v>0</v>
      </c>
      <c r="W1587" s="1">
        <v>44160</v>
      </c>
      <c r="X1587" t="s">
        <v>56</v>
      </c>
      <c r="Y1587" t="s">
        <v>40</v>
      </c>
      <c r="Z1587" t="s">
        <v>40</v>
      </c>
      <c r="AB1587" t="s">
        <v>40</v>
      </c>
      <c r="AE1587" t="s">
        <v>40</v>
      </c>
      <c r="AJ1587" t="s">
        <v>40</v>
      </c>
    </row>
    <row r="1588" spans="1:37" x14ac:dyDescent="0.3">
      <c r="A1588">
        <v>2020</v>
      </c>
      <c r="B1588">
        <v>2</v>
      </c>
      <c r="C1588" t="str">
        <f t="shared" si="48"/>
        <v>2/01/2020</v>
      </c>
      <c r="D1588" s="1" t="str">
        <f t="shared" si="49"/>
        <v>2/01/2020</v>
      </c>
      <c r="E1588" t="s">
        <v>37</v>
      </c>
      <c r="F1588" t="s">
        <v>51</v>
      </c>
      <c r="G1588" t="s">
        <v>46</v>
      </c>
      <c r="H1588">
        <v>279</v>
      </c>
      <c r="I1588">
        <v>269</v>
      </c>
      <c r="K1588">
        <v>139</v>
      </c>
      <c r="L1588">
        <v>12</v>
      </c>
      <c r="M1588">
        <v>0</v>
      </c>
      <c r="S1588">
        <v>35</v>
      </c>
      <c r="T1588">
        <v>17</v>
      </c>
      <c r="U1588">
        <v>0</v>
      </c>
      <c r="V1588">
        <v>0</v>
      </c>
      <c r="W1588" s="1">
        <v>44160</v>
      </c>
      <c r="X1588" t="s">
        <v>56</v>
      </c>
      <c r="AA1588" t="s">
        <v>40</v>
      </c>
      <c r="AE1588" t="s">
        <v>40</v>
      </c>
      <c r="AF1588" t="s">
        <v>40</v>
      </c>
      <c r="AG1588" t="s">
        <v>40</v>
      </c>
      <c r="AH1588" t="s">
        <v>40</v>
      </c>
      <c r="AI1588" t="s">
        <v>40</v>
      </c>
    </row>
    <row r="1589" spans="1:37" x14ac:dyDescent="0.3">
      <c r="A1589">
        <v>2020</v>
      </c>
      <c r="B1589">
        <v>2</v>
      </c>
      <c r="C1589" t="str">
        <f t="shared" si="48"/>
        <v>2/01/2020</v>
      </c>
      <c r="D1589" s="1" t="str">
        <f t="shared" si="49"/>
        <v>2/01/2020</v>
      </c>
      <c r="E1589" t="s">
        <v>37</v>
      </c>
      <c r="F1589" t="s">
        <v>51</v>
      </c>
      <c r="G1589" t="s">
        <v>47</v>
      </c>
      <c r="H1589">
        <v>478</v>
      </c>
      <c r="I1589">
        <v>457</v>
      </c>
      <c r="K1589">
        <v>190</v>
      </c>
      <c r="L1589">
        <v>24</v>
      </c>
      <c r="N1589">
        <v>13</v>
      </c>
      <c r="Q1589">
        <v>13</v>
      </c>
      <c r="S1589">
        <v>63</v>
      </c>
      <c r="T1589">
        <v>44</v>
      </c>
      <c r="U1589">
        <v>0</v>
      </c>
      <c r="V1589">
        <v>0</v>
      </c>
      <c r="W1589" s="1">
        <v>44160</v>
      </c>
      <c r="X1589" t="s">
        <v>56</v>
      </c>
      <c r="AA1589" t="s">
        <v>40</v>
      </c>
      <c r="AD1589" t="s">
        <v>40</v>
      </c>
      <c r="AF1589" t="s">
        <v>40</v>
      </c>
      <c r="AG1589" t="s">
        <v>40</v>
      </c>
      <c r="AI1589" t="s">
        <v>40</v>
      </c>
    </row>
    <row r="1590" spans="1:37" x14ac:dyDescent="0.3">
      <c r="A1590">
        <v>2020</v>
      </c>
      <c r="B1590">
        <v>2</v>
      </c>
      <c r="C1590" t="str">
        <f t="shared" si="48"/>
        <v>2/01/2020</v>
      </c>
      <c r="D1590" s="1" t="str">
        <f t="shared" si="49"/>
        <v>2/01/2020</v>
      </c>
      <c r="E1590" t="s">
        <v>37</v>
      </c>
      <c r="F1590" t="s">
        <v>51</v>
      </c>
      <c r="G1590" t="s">
        <v>48</v>
      </c>
      <c r="H1590">
        <v>718</v>
      </c>
      <c r="I1590">
        <v>692</v>
      </c>
      <c r="J1590">
        <v>13</v>
      </c>
      <c r="K1590">
        <v>145</v>
      </c>
      <c r="L1590">
        <v>32</v>
      </c>
      <c r="M1590">
        <v>27</v>
      </c>
      <c r="N1590">
        <v>23</v>
      </c>
      <c r="O1590">
        <v>21</v>
      </c>
      <c r="P1590">
        <v>12</v>
      </c>
      <c r="Q1590">
        <v>19</v>
      </c>
      <c r="S1590">
        <v>158</v>
      </c>
      <c r="T1590">
        <v>80</v>
      </c>
      <c r="U1590">
        <v>0</v>
      </c>
      <c r="V1590">
        <v>0</v>
      </c>
      <c r="W1590" s="1">
        <v>44160</v>
      </c>
      <c r="X1590" t="s">
        <v>56</v>
      </c>
      <c r="AI1590" t="s">
        <v>40</v>
      </c>
    </row>
    <row r="1591" spans="1:37" x14ac:dyDescent="0.3">
      <c r="A1591">
        <v>2020</v>
      </c>
      <c r="B1591">
        <v>2</v>
      </c>
      <c r="C1591" t="str">
        <f t="shared" si="48"/>
        <v>2/01/2020</v>
      </c>
      <c r="D1591" s="1" t="str">
        <f t="shared" si="49"/>
        <v>2/01/2020</v>
      </c>
      <c r="E1591" t="s">
        <v>37</v>
      </c>
      <c r="F1591" t="s">
        <v>51</v>
      </c>
      <c r="G1591" t="s">
        <v>49</v>
      </c>
      <c r="H1591" s="2">
        <v>1350</v>
      </c>
      <c r="I1591" s="2">
        <v>1313</v>
      </c>
      <c r="J1591">
        <v>10</v>
      </c>
      <c r="K1591">
        <v>128</v>
      </c>
      <c r="L1591">
        <v>35</v>
      </c>
      <c r="M1591">
        <v>132</v>
      </c>
      <c r="N1591">
        <v>42</v>
      </c>
      <c r="O1591">
        <v>44</v>
      </c>
      <c r="P1591">
        <v>13</v>
      </c>
      <c r="Q1591">
        <v>33</v>
      </c>
      <c r="R1591">
        <v>13</v>
      </c>
      <c r="S1591">
        <v>363</v>
      </c>
      <c r="T1591">
        <v>130</v>
      </c>
      <c r="U1591">
        <v>0</v>
      </c>
      <c r="V1591">
        <v>0</v>
      </c>
      <c r="W1591" s="1">
        <v>44160</v>
      </c>
      <c r="X1591" t="s">
        <v>56</v>
      </c>
    </row>
    <row r="1592" spans="1:37" x14ac:dyDescent="0.3">
      <c r="A1592">
        <v>2020</v>
      </c>
      <c r="B1592">
        <v>2</v>
      </c>
      <c r="C1592" t="str">
        <f t="shared" si="48"/>
        <v>2/01/2020</v>
      </c>
      <c r="D1592" s="1" t="str">
        <f t="shared" si="49"/>
        <v>2/01/2020</v>
      </c>
      <c r="E1592" t="s">
        <v>37</v>
      </c>
      <c r="F1592" t="s">
        <v>52</v>
      </c>
      <c r="G1592" t="s">
        <v>39</v>
      </c>
      <c r="H1592">
        <v>241</v>
      </c>
      <c r="I1592">
        <v>216</v>
      </c>
      <c r="L1592">
        <v>0</v>
      </c>
      <c r="M1592">
        <v>0</v>
      </c>
      <c r="Q1592">
        <v>0</v>
      </c>
      <c r="R1592">
        <v>38</v>
      </c>
      <c r="U1592">
        <v>0</v>
      </c>
      <c r="V1592">
        <v>0</v>
      </c>
      <c r="W1592" s="1">
        <v>44160</v>
      </c>
      <c r="X1592" t="s">
        <v>56</v>
      </c>
      <c r="AA1592" t="s">
        <v>40</v>
      </c>
      <c r="AB1592" t="s">
        <v>40</v>
      </c>
      <c r="AE1592" t="s">
        <v>40</v>
      </c>
      <c r="AF1592" t="s">
        <v>40</v>
      </c>
      <c r="AG1592" t="s">
        <v>40</v>
      </c>
      <c r="AJ1592" t="s">
        <v>40</v>
      </c>
      <c r="AK1592" t="s">
        <v>40</v>
      </c>
    </row>
    <row r="1593" spans="1:37" x14ac:dyDescent="0.3">
      <c r="A1593">
        <v>2020</v>
      </c>
      <c r="B1593">
        <v>2</v>
      </c>
      <c r="C1593" t="str">
        <f t="shared" si="48"/>
        <v>2/01/2020</v>
      </c>
      <c r="D1593" s="1" t="str">
        <f t="shared" si="49"/>
        <v>2/01/2020</v>
      </c>
      <c r="E1593" t="s">
        <v>37</v>
      </c>
      <c r="F1593" t="s">
        <v>52</v>
      </c>
      <c r="G1593" t="s">
        <v>41</v>
      </c>
      <c r="H1593">
        <v>132</v>
      </c>
      <c r="I1593">
        <v>59</v>
      </c>
      <c r="M1593">
        <v>0</v>
      </c>
      <c r="U1593">
        <v>0</v>
      </c>
      <c r="V1593">
        <v>0</v>
      </c>
      <c r="W1593" s="1">
        <v>44160</v>
      </c>
      <c r="X1593" t="s">
        <v>56</v>
      </c>
      <c r="AA1593" t="s">
        <v>40</v>
      </c>
      <c r="AB1593" t="s">
        <v>40</v>
      </c>
      <c r="AC1593" t="s">
        <v>40</v>
      </c>
      <c r="AE1593" t="s">
        <v>40</v>
      </c>
      <c r="AF1593" t="s">
        <v>40</v>
      </c>
      <c r="AG1593" t="s">
        <v>40</v>
      </c>
      <c r="AH1593" t="s">
        <v>40</v>
      </c>
      <c r="AI1593" t="s">
        <v>40</v>
      </c>
      <c r="AJ1593" t="s">
        <v>40</v>
      </c>
      <c r="AK1593" t="s">
        <v>40</v>
      </c>
    </row>
    <row r="1594" spans="1:37" x14ac:dyDescent="0.3">
      <c r="A1594">
        <v>2020</v>
      </c>
      <c r="B1594">
        <v>2</v>
      </c>
      <c r="C1594" t="str">
        <f t="shared" si="48"/>
        <v>2/01/2020</v>
      </c>
      <c r="D1594" s="1" t="str">
        <f t="shared" si="49"/>
        <v>2/01/2020</v>
      </c>
      <c r="E1594" t="s">
        <v>37</v>
      </c>
      <c r="F1594" t="s">
        <v>52</v>
      </c>
      <c r="G1594" t="s">
        <v>42</v>
      </c>
      <c r="H1594">
        <v>342</v>
      </c>
      <c r="I1594">
        <v>214</v>
      </c>
      <c r="K1594">
        <v>43</v>
      </c>
      <c r="L1594">
        <v>10</v>
      </c>
      <c r="M1594">
        <v>0</v>
      </c>
      <c r="R1594">
        <v>10</v>
      </c>
      <c r="S1594">
        <v>37</v>
      </c>
      <c r="U1594">
        <v>0</v>
      </c>
      <c r="V1594">
        <v>0</v>
      </c>
      <c r="W1594" s="1">
        <v>44160</v>
      </c>
      <c r="X1594" t="s">
        <v>56</v>
      </c>
      <c r="AA1594" t="s">
        <v>40</v>
      </c>
      <c r="AE1594" t="s">
        <v>40</v>
      </c>
      <c r="AF1594" t="s">
        <v>40</v>
      </c>
      <c r="AG1594" t="s">
        <v>40</v>
      </c>
      <c r="AH1594" t="s">
        <v>40</v>
      </c>
      <c r="AK1594" t="s">
        <v>40</v>
      </c>
    </row>
    <row r="1595" spans="1:37" x14ac:dyDescent="0.3">
      <c r="A1595">
        <v>2020</v>
      </c>
      <c r="B1595">
        <v>2</v>
      </c>
      <c r="C1595" t="str">
        <f t="shared" si="48"/>
        <v>2/01/2020</v>
      </c>
      <c r="D1595" s="1" t="str">
        <f t="shared" si="49"/>
        <v>2/01/2020</v>
      </c>
      <c r="E1595" t="s">
        <v>37</v>
      </c>
      <c r="F1595" t="s">
        <v>52</v>
      </c>
      <c r="G1595" t="s">
        <v>43</v>
      </c>
      <c r="H1595">
        <v>501</v>
      </c>
      <c r="I1595">
        <v>410</v>
      </c>
      <c r="K1595">
        <v>97</v>
      </c>
      <c r="L1595">
        <v>16</v>
      </c>
      <c r="M1595">
        <v>0</v>
      </c>
      <c r="N1595">
        <v>20</v>
      </c>
      <c r="R1595">
        <v>14</v>
      </c>
      <c r="S1595">
        <v>74</v>
      </c>
      <c r="T1595">
        <v>27</v>
      </c>
      <c r="U1595">
        <v>0</v>
      </c>
      <c r="V1595">
        <v>0</v>
      </c>
      <c r="W1595" s="1">
        <v>44160</v>
      </c>
      <c r="X1595" t="s">
        <v>56</v>
      </c>
      <c r="AA1595" t="s">
        <v>40</v>
      </c>
      <c r="AF1595" t="s">
        <v>40</v>
      </c>
      <c r="AG1595" t="s">
        <v>40</v>
      </c>
      <c r="AH1595" t="s">
        <v>40</v>
      </c>
    </row>
    <row r="1596" spans="1:37" x14ac:dyDescent="0.3">
      <c r="A1596">
        <v>2020</v>
      </c>
      <c r="B1596">
        <v>2</v>
      </c>
      <c r="C1596" t="str">
        <f t="shared" si="48"/>
        <v>2/01/2020</v>
      </c>
      <c r="D1596" s="1" t="str">
        <f t="shared" si="49"/>
        <v>2/01/2020</v>
      </c>
      <c r="E1596" t="s">
        <v>37</v>
      </c>
      <c r="F1596" t="s">
        <v>52</v>
      </c>
      <c r="G1596" t="s">
        <v>44</v>
      </c>
      <c r="H1596" s="2">
        <v>1040</v>
      </c>
      <c r="I1596">
        <v>933</v>
      </c>
      <c r="J1596">
        <v>27</v>
      </c>
      <c r="K1596">
        <v>269</v>
      </c>
      <c r="L1596">
        <v>48</v>
      </c>
      <c r="N1596">
        <v>29</v>
      </c>
      <c r="O1596">
        <v>29</v>
      </c>
      <c r="P1596">
        <v>21</v>
      </c>
      <c r="Q1596">
        <v>32</v>
      </c>
      <c r="R1596">
        <v>14</v>
      </c>
      <c r="S1596">
        <v>207</v>
      </c>
      <c r="T1596">
        <v>43</v>
      </c>
      <c r="U1596">
        <v>0</v>
      </c>
      <c r="V1596">
        <v>0</v>
      </c>
      <c r="W1596" s="1">
        <v>44160</v>
      </c>
      <c r="X1596" t="s">
        <v>56</v>
      </c>
      <c r="AD1596" t="s">
        <v>40</v>
      </c>
    </row>
    <row r="1597" spans="1:37" x14ac:dyDescent="0.3">
      <c r="A1597">
        <v>2020</v>
      </c>
      <c r="B1597">
        <v>2</v>
      </c>
      <c r="C1597" t="str">
        <f t="shared" si="48"/>
        <v>2/01/2020</v>
      </c>
      <c r="D1597" s="1" t="str">
        <f t="shared" si="49"/>
        <v>2/01/2020</v>
      </c>
      <c r="E1597" t="s">
        <v>37</v>
      </c>
      <c r="F1597" t="s">
        <v>52</v>
      </c>
      <c r="G1597" t="s">
        <v>45</v>
      </c>
      <c r="H1597">
        <v>37</v>
      </c>
      <c r="I1597">
        <v>25</v>
      </c>
      <c r="J1597">
        <v>0</v>
      </c>
      <c r="M1597">
        <v>0</v>
      </c>
      <c r="Q1597">
        <v>0</v>
      </c>
      <c r="U1597">
        <v>0</v>
      </c>
      <c r="V1597">
        <v>0</v>
      </c>
      <c r="W1597" s="1">
        <v>44160</v>
      </c>
      <c r="X1597" t="s">
        <v>56</v>
      </c>
      <c r="AB1597" t="s">
        <v>40</v>
      </c>
      <c r="AC1597" t="s">
        <v>40</v>
      </c>
      <c r="AE1597" t="s">
        <v>40</v>
      </c>
      <c r="AF1597" t="s">
        <v>40</v>
      </c>
      <c r="AG1597" t="s">
        <v>40</v>
      </c>
      <c r="AI1597" t="s">
        <v>40</v>
      </c>
      <c r="AJ1597" t="s">
        <v>40</v>
      </c>
      <c r="AK1597" t="s">
        <v>40</v>
      </c>
    </row>
    <row r="1598" spans="1:37" x14ac:dyDescent="0.3">
      <c r="A1598">
        <v>2020</v>
      </c>
      <c r="B1598">
        <v>2</v>
      </c>
      <c r="C1598" t="str">
        <f t="shared" si="48"/>
        <v>2/01/2020</v>
      </c>
      <c r="D1598" s="1" t="str">
        <f t="shared" si="49"/>
        <v>2/01/2020</v>
      </c>
      <c r="E1598" t="s">
        <v>37</v>
      </c>
      <c r="F1598" t="s">
        <v>52</v>
      </c>
      <c r="G1598" t="s">
        <v>46</v>
      </c>
      <c r="H1598" s="2">
        <v>2301</v>
      </c>
      <c r="I1598" s="2">
        <v>2175</v>
      </c>
      <c r="J1598">
        <v>68</v>
      </c>
      <c r="K1598">
        <v>654</v>
      </c>
      <c r="L1598">
        <v>142</v>
      </c>
      <c r="N1598">
        <v>62</v>
      </c>
      <c r="O1598">
        <v>72</v>
      </c>
      <c r="P1598">
        <v>43</v>
      </c>
      <c r="Q1598">
        <v>69</v>
      </c>
      <c r="R1598">
        <v>22</v>
      </c>
      <c r="S1598">
        <v>477</v>
      </c>
      <c r="T1598">
        <v>115</v>
      </c>
      <c r="U1598">
        <v>0</v>
      </c>
      <c r="V1598">
        <v>0</v>
      </c>
      <c r="W1598" s="1">
        <v>44160</v>
      </c>
      <c r="X1598" t="s">
        <v>56</v>
      </c>
      <c r="AD1598" t="s">
        <v>40</v>
      </c>
    </row>
    <row r="1599" spans="1:37" x14ac:dyDescent="0.3">
      <c r="A1599">
        <v>2020</v>
      </c>
      <c r="B1599">
        <v>2</v>
      </c>
      <c r="C1599" t="str">
        <f t="shared" si="48"/>
        <v>2/01/2020</v>
      </c>
      <c r="D1599" s="1" t="str">
        <f t="shared" si="49"/>
        <v>2/01/2020</v>
      </c>
      <c r="E1599" t="s">
        <v>37</v>
      </c>
      <c r="F1599" t="s">
        <v>52</v>
      </c>
      <c r="G1599" t="s">
        <v>47</v>
      </c>
      <c r="H1599" s="2">
        <v>3020</v>
      </c>
      <c r="I1599" s="2">
        <v>2944</v>
      </c>
      <c r="J1599">
        <v>65</v>
      </c>
      <c r="K1599">
        <v>801</v>
      </c>
      <c r="L1599">
        <v>180</v>
      </c>
      <c r="M1599">
        <v>42</v>
      </c>
      <c r="N1599">
        <v>70</v>
      </c>
      <c r="O1599">
        <v>143</v>
      </c>
      <c r="P1599">
        <v>52</v>
      </c>
      <c r="Q1599">
        <v>113</v>
      </c>
      <c r="R1599">
        <v>29</v>
      </c>
      <c r="S1599">
        <v>726</v>
      </c>
      <c r="T1599">
        <v>192</v>
      </c>
      <c r="U1599">
        <v>0</v>
      </c>
      <c r="V1599">
        <v>0</v>
      </c>
      <c r="W1599" s="1">
        <v>44160</v>
      </c>
      <c r="X1599" t="s">
        <v>56</v>
      </c>
    </row>
    <row r="1600" spans="1:37" x14ac:dyDescent="0.3">
      <c r="A1600">
        <v>2020</v>
      </c>
      <c r="B1600">
        <v>2</v>
      </c>
      <c r="C1600" t="str">
        <f t="shared" si="48"/>
        <v>2/01/2020</v>
      </c>
      <c r="D1600" s="1" t="str">
        <f t="shared" si="49"/>
        <v>2/01/2020</v>
      </c>
      <c r="E1600" t="s">
        <v>37</v>
      </c>
      <c r="F1600" t="s">
        <v>52</v>
      </c>
      <c r="G1600" t="s">
        <v>48</v>
      </c>
      <c r="H1600" s="2">
        <v>3095</v>
      </c>
      <c r="I1600" s="2">
        <v>3039</v>
      </c>
      <c r="J1600">
        <v>65</v>
      </c>
      <c r="K1600">
        <v>598</v>
      </c>
      <c r="L1600">
        <v>165</v>
      </c>
      <c r="M1600">
        <v>166</v>
      </c>
      <c r="N1600">
        <v>77</v>
      </c>
      <c r="O1600">
        <v>122</v>
      </c>
      <c r="P1600">
        <v>39</v>
      </c>
      <c r="Q1600">
        <v>119</v>
      </c>
      <c r="R1600">
        <v>30</v>
      </c>
      <c r="S1600">
        <v>775</v>
      </c>
      <c r="T1600">
        <v>235</v>
      </c>
      <c r="U1600">
        <v>0</v>
      </c>
      <c r="V1600">
        <v>0</v>
      </c>
      <c r="W1600" s="1">
        <v>44160</v>
      </c>
      <c r="X1600" t="s">
        <v>56</v>
      </c>
    </row>
    <row r="1601" spans="1:39" x14ac:dyDescent="0.3">
      <c r="A1601">
        <v>2020</v>
      </c>
      <c r="B1601">
        <v>2</v>
      </c>
      <c r="C1601" t="str">
        <f t="shared" si="48"/>
        <v>2/01/2020</v>
      </c>
      <c r="D1601" s="1" t="str">
        <f t="shared" si="49"/>
        <v>2/01/2020</v>
      </c>
      <c r="E1601" t="s">
        <v>37</v>
      </c>
      <c r="F1601" t="s">
        <v>52</v>
      </c>
      <c r="G1601" t="s">
        <v>49</v>
      </c>
      <c r="H1601" s="2">
        <v>3459</v>
      </c>
      <c r="I1601" s="2">
        <v>3412</v>
      </c>
      <c r="J1601">
        <v>54</v>
      </c>
      <c r="K1601">
        <v>317</v>
      </c>
      <c r="L1601">
        <v>122</v>
      </c>
      <c r="M1601">
        <v>368</v>
      </c>
      <c r="N1601">
        <v>93</v>
      </c>
      <c r="O1601">
        <v>114</v>
      </c>
      <c r="P1601">
        <v>34</v>
      </c>
      <c r="Q1601">
        <v>87</v>
      </c>
      <c r="R1601">
        <v>36</v>
      </c>
      <c r="S1601">
        <v>952</v>
      </c>
      <c r="T1601">
        <v>335</v>
      </c>
      <c r="U1601">
        <v>0</v>
      </c>
      <c r="V1601">
        <v>0</v>
      </c>
      <c r="W1601" s="1">
        <v>44160</v>
      </c>
      <c r="X1601" t="s">
        <v>56</v>
      </c>
    </row>
    <row r="1602" spans="1:39" x14ac:dyDescent="0.3">
      <c r="A1602">
        <v>2020</v>
      </c>
      <c r="B1602">
        <v>2</v>
      </c>
      <c r="C1602" t="str">
        <f t="shared" si="48"/>
        <v>2/01/2020</v>
      </c>
      <c r="D1602" s="1" t="str">
        <f t="shared" si="49"/>
        <v>2/01/2020</v>
      </c>
      <c r="E1602" t="s">
        <v>37</v>
      </c>
      <c r="F1602" t="s">
        <v>53</v>
      </c>
      <c r="G1602" t="s">
        <v>39</v>
      </c>
      <c r="H1602">
        <v>360</v>
      </c>
      <c r="I1602">
        <v>320</v>
      </c>
      <c r="L1602">
        <v>0</v>
      </c>
      <c r="M1602">
        <v>0</v>
      </c>
      <c r="Q1602">
        <v>0</v>
      </c>
      <c r="R1602">
        <v>44</v>
      </c>
      <c r="S1602">
        <v>10</v>
      </c>
      <c r="U1602">
        <v>0</v>
      </c>
      <c r="V1602">
        <v>0</v>
      </c>
      <c r="W1602" s="1">
        <v>44160</v>
      </c>
      <c r="X1602" t="s">
        <v>56</v>
      </c>
      <c r="AA1602" t="s">
        <v>40</v>
      </c>
      <c r="AB1602" t="s">
        <v>40</v>
      </c>
      <c r="AE1602" t="s">
        <v>40</v>
      </c>
      <c r="AF1602" t="s">
        <v>40</v>
      </c>
      <c r="AG1602" t="s">
        <v>40</v>
      </c>
      <c r="AK1602" t="s">
        <v>40</v>
      </c>
    </row>
    <row r="1603" spans="1:39" x14ac:dyDescent="0.3">
      <c r="A1603">
        <v>2020</v>
      </c>
      <c r="B1603">
        <v>2</v>
      </c>
      <c r="C1603" t="str">
        <f t="shared" ref="C1603:C1666" si="50">CONCATENATE(B1603,"/01/",A1603)</f>
        <v>2/01/2020</v>
      </c>
      <c r="D1603" s="1" t="str">
        <f t="shared" ref="D1603:D1666" si="51">C1603</f>
        <v>2/01/2020</v>
      </c>
      <c r="E1603" t="s">
        <v>37</v>
      </c>
      <c r="F1603" t="s">
        <v>53</v>
      </c>
      <c r="G1603" t="s">
        <v>41</v>
      </c>
      <c r="H1603">
        <v>353</v>
      </c>
      <c r="I1603">
        <v>115</v>
      </c>
      <c r="K1603">
        <v>29</v>
      </c>
      <c r="M1603">
        <v>0</v>
      </c>
      <c r="N1603">
        <v>10</v>
      </c>
      <c r="R1603">
        <v>11</v>
      </c>
      <c r="U1603">
        <v>0</v>
      </c>
      <c r="V1603">
        <v>0</v>
      </c>
      <c r="W1603" s="1">
        <v>44160</v>
      </c>
      <c r="X1603" t="s">
        <v>56</v>
      </c>
      <c r="AA1603" t="s">
        <v>40</v>
      </c>
      <c r="AC1603" t="s">
        <v>40</v>
      </c>
      <c r="AF1603" t="s">
        <v>40</v>
      </c>
      <c r="AG1603" t="s">
        <v>40</v>
      </c>
      <c r="AH1603" t="s">
        <v>40</v>
      </c>
      <c r="AJ1603" t="s">
        <v>40</v>
      </c>
      <c r="AK1603" t="s">
        <v>40</v>
      </c>
    </row>
    <row r="1604" spans="1:39" x14ac:dyDescent="0.3">
      <c r="A1604">
        <v>2020</v>
      </c>
      <c r="B1604">
        <v>2</v>
      </c>
      <c r="C1604" t="str">
        <f t="shared" si="50"/>
        <v>2/01/2020</v>
      </c>
      <c r="D1604" s="1" t="str">
        <f t="shared" si="51"/>
        <v>2/01/2020</v>
      </c>
      <c r="E1604" t="s">
        <v>37</v>
      </c>
      <c r="F1604" t="s">
        <v>53</v>
      </c>
      <c r="G1604" t="s">
        <v>42</v>
      </c>
      <c r="H1604">
        <v>891</v>
      </c>
      <c r="I1604">
        <v>390</v>
      </c>
      <c r="J1604">
        <v>14</v>
      </c>
      <c r="K1604">
        <v>91</v>
      </c>
      <c r="L1604">
        <v>15</v>
      </c>
      <c r="M1604">
        <v>0</v>
      </c>
      <c r="N1604">
        <v>24</v>
      </c>
      <c r="R1604">
        <v>18</v>
      </c>
      <c r="S1604">
        <v>41</v>
      </c>
      <c r="U1604">
        <v>0</v>
      </c>
      <c r="V1604">
        <v>0</v>
      </c>
      <c r="W1604" s="1">
        <v>44160</v>
      </c>
      <c r="X1604" t="s">
        <v>56</v>
      </c>
      <c r="AF1604" t="s">
        <v>40</v>
      </c>
      <c r="AG1604" t="s">
        <v>40</v>
      </c>
      <c r="AH1604" t="s">
        <v>40</v>
      </c>
      <c r="AK1604" t="s">
        <v>40</v>
      </c>
    </row>
    <row r="1605" spans="1:39" x14ac:dyDescent="0.3">
      <c r="A1605">
        <v>2020</v>
      </c>
      <c r="B1605">
        <v>2</v>
      </c>
      <c r="C1605" t="str">
        <f t="shared" si="50"/>
        <v>2/01/2020</v>
      </c>
      <c r="D1605" s="1" t="str">
        <f t="shared" si="51"/>
        <v>2/01/2020</v>
      </c>
      <c r="E1605" t="s">
        <v>37</v>
      </c>
      <c r="F1605" t="s">
        <v>53</v>
      </c>
      <c r="G1605" t="s">
        <v>43</v>
      </c>
      <c r="H1605" s="2">
        <v>1470</v>
      </c>
      <c r="I1605">
        <v>928</v>
      </c>
      <c r="J1605">
        <v>17</v>
      </c>
      <c r="K1605">
        <v>285</v>
      </c>
      <c r="L1605">
        <v>30</v>
      </c>
      <c r="M1605">
        <v>0</v>
      </c>
      <c r="N1605">
        <v>38</v>
      </c>
      <c r="O1605">
        <v>18</v>
      </c>
      <c r="P1605">
        <v>13</v>
      </c>
      <c r="Q1605">
        <v>17</v>
      </c>
      <c r="R1605">
        <v>39</v>
      </c>
      <c r="S1605">
        <v>151</v>
      </c>
      <c r="T1605">
        <v>19</v>
      </c>
      <c r="W1605" s="1">
        <v>44160</v>
      </c>
      <c r="X1605" t="s">
        <v>56</v>
      </c>
      <c r="AL1605" t="s">
        <v>40</v>
      </c>
      <c r="AM1605" t="s">
        <v>40</v>
      </c>
    </row>
    <row r="1606" spans="1:39" x14ac:dyDescent="0.3">
      <c r="A1606">
        <v>2020</v>
      </c>
      <c r="B1606">
        <v>2</v>
      </c>
      <c r="C1606" t="str">
        <f t="shared" si="50"/>
        <v>2/01/2020</v>
      </c>
      <c r="D1606" s="1" t="str">
        <f t="shared" si="51"/>
        <v>2/01/2020</v>
      </c>
      <c r="E1606" t="s">
        <v>37</v>
      </c>
      <c r="F1606" t="s">
        <v>53</v>
      </c>
      <c r="G1606" t="s">
        <v>44</v>
      </c>
      <c r="H1606" s="2">
        <v>3379</v>
      </c>
      <c r="I1606" s="2">
        <v>2761</v>
      </c>
      <c r="J1606">
        <v>52</v>
      </c>
      <c r="K1606">
        <v>997</v>
      </c>
      <c r="L1606">
        <v>107</v>
      </c>
      <c r="N1606">
        <v>104</v>
      </c>
      <c r="O1606">
        <v>118</v>
      </c>
      <c r="P1606">
        <v>43</v>
      </c>
      <c r="Q1606">
        <v>29</v>
      </c>
      <c r="R1606">
        <v>41</v>
      </c>
      <c r="S1606">
        <v>479</v>
      </c>
      <c r="T1606">
        <v>99</v>
      </c>
      <c r="U1606">
        <v>0</v>
      </c>
      <c r="V1606">
        <v>0</v>
      </c>
      <c r="W1606" s="1">
        <v>44160</v>
      </c>
      <c r="X1606" t="s">
        <v>56</v>
      </c>
      <c r="AD1606" t="s">
        <v>40</v>
      </c>
    </row>
    <row r="1607" spans="1:39" x14ac:dyDescent="0.3">
      <c r="A1607">
        <v>2020</v>
      </c>
      <c r="B1607">
        <v>2</v>
      </c>
      <c r="C1607" t="str">
        <f t="shared" si="50"/>
        <v>2/01/2020</v>
      </c>
      <c r="D1607" s="1" t="str">
        <f t="shared" si="51"/>
        <v>2/01/2020</v>
      </c>
      <c r="E1607" t="s">
        <v>37</v>
      </c>
      <c r="F1607" t="s">
        <v>53</v>
      </c>
      <c r="G1607" t="s">
        <v>45</v>
      </c>
      <c r="H1607">
        <v>99</v>
      </c>
      <c r="I1607">
        <v>65</v>
      </c>
      <c r="K1607">
        <v>14</v>
      </c>
      <c r="M1607">
        <v>0</v>
      </c>
      <c r="N1607">
        <v>10</v>
      </c>
      <c r="Q1607">
        <v>0</v>
      </c>
      <c r="U1607">
        <v>0</v>
      </c>
      <c r="V1607">
        <v>0</v>
      </c>
      <c r="W1607" s="1">
        <v>44160</v>
      </c>
      <c r="X1607" t="s">
        <v>56</v>
      </c>
      <c r="AA1607" t="s">
        <v>40</v>
      </c>
      <c r="AC1607" t="s">
        <v>40</v>
      </c>
      <c r="AF1607" t="s">
        <v>40</v>
      </c>
      <c r="AG1607" t="s">
        <v>40</v>
      </c>
      <c r="AI1607" t="s">
        <v>40</v>
      </c>
      <c r="AJ1607" t="s">
        <v>40</v>
      </c>
      <c r="AK1607" t="s">
        <v>40</v>
      </c>
    </row>
    <row r="1608" spans="1:39" x14ac:dyDescent="0.3">
      <c r="A1608">
        <v>2020</v>
      </c>
      <c r="B1608">
        <v>2</v>
      </c>
      <c r="C1608" t="str">
        <f t="shared" si="50"/>
        <v>2/01/2020</v>
      </c>
      <c r="D1608" s="1" t="str">
        <f t="shared" si="51"/>
        <v>2/01/2020</v>
      </c>
      <c r="E1608" t="s">
        <v>37</v>
      </c>
      <c r="F1608" t="s">
        <v>53</v>
      </c>
      <c r="G1608" t="s">
        <v>46</v>
      </c>
      <c r="H1608" s="2">
        <v>8689</v>
      </c>
      <c r="I1608" s="2">
        <v>8095</v>
      </c>
      <c r="J1608">
        <v>166</v>
      </c>
      <c r="K1608" s="2">
        <v>2897</v>
      </c>
      <c r="L1608">
        <v>276</v>
      </c>
      <c r="M1608">
        <v>59</v>
      </c>
      <c r="N1608">
        <v>244</v>
      </c>
      <c r="O1608">
        <v>759</v>
      </c>
      <c r="P1608">
        <v>126</v>
      </c>
      <c r="Q1608">
        <v>121</v>
      </c>
      <c r="R1608">
        <v>84</v>
      </c>
      <c r="S1608" s="2">
        <v>1408</v>
      </c>
      <c r="T1608">
        <v>272</v>
      </c>
      <c r="W1608" s="1">
        <v>44160</v>
      </c>
      <c r="X1608" t="s">
        <v>56</v>
      </c>
      <c r="AL1608" t="s">
        <v>40</v>
      </c>
      <c r="AM1608" t="s">
        <v>40</v>
      </c>
    </row>
    <row r="1609" spans="1:39" x14ac:dyDescent="0.3">
      <c r="A1609">
        <v>2020</v>
      </c>
      <c r="B1609">
        <v>2</v>
      </c>
      <c r="C1609" t="str">
        <f t="shared" si="50"/>
        <v>2/01/2020</v>
      </c>
      <c r="D1609" s="1" t="str">
        <f t="shared" si="51"/>
        <v>2/01/2020</v>
      </c>
      <c r="E1609" t="s">
        <v>37</v>
      </c>
      <c r="F1609" t="s">
        <v>53</v>
      </c>
      <c r="G1609" t="s">
        <v>47</v>
      </c>
      <c r="H1609" s="2">
        <v>15397</v>
      </c>
      <c r="I1609" s="2">
        <v>14863</v>
      </c>
      <c r="J1609">
        <v>278</v>
      </c>
      <c r="K1609" s="2">
        <v>4748</v>
      </c>
      <c r="L1609">
        <v>514</v>
      </c>
      <c r="M1609">
        <v>339</v>
      </c>
      <c r="N1609">
        <v>379</v>
      </c>
      <c r="O1609" s="2">
        <v>1498</v>
      </c>
      <c r="P1609">
        <v>306</v>
      </c>
      <c r="Q1609">
        <v>262</v>
      </c>
      <c r="R1609">
        <v>125</v>
      </c>
      <c r="S1609" s="2">
        <v>2785</v>
      </c>
      <c r="T1609">
        <v>643</v>
      </c>
      <c r="W1609" s="1">
        <v>44160</v>
      </c>
      <c r="X1609" t="s">
        <v>56</v>
      </c>
      <c r="AL1609" t="s">
        <v>40</v>
      </c>
      <c r="AM1609" t="s">
        <v>40</v>
      </c>
    </row>
    <row r="1610" spans="1:39" x14ac:dyDescent="0.3">
      <c r="A1610">
        <v>2020</v>
      </c>
      <c r="B1610">
        <v>2</v>
      </c>
      <c r="C1610" t="str">
        <f t="shared" si="50"/>
        <v>2/01/2020</v>
      </c>
      <c r="D1610" s="1" t="str">
        <f t="shared" si="51"/>
        <v>2/01/2020</v>
      </c>
      <c r="E1610" t="s">
        <v>37</v>
      </c>
      <c r="F1610" t="s">
        <v>53</v>
      </c>
      <c r="G1610" t="s">
        <v>48</v>
      </c>
      <c r="H1610" s="2">
        <v>22925</v>
      </c>
      <c r="I1610" s="2">
        <v>22299</v>
      </c>
      <c r="J1610">
        <v>339</v>
      </c>
      <c r="K1610" s="2">
        <v>5007</v>
      </c>
      <c r="L1610">
        <v>527</v>
      </c>
      <c r="M1610" s="2">
        <v>1459</v>
      </c>
      <c r="N1610">
        <v>559</v>
      </c>
      <c r="O1610" s="2">
        <v>2251</v>
      </c>
      <c r="P1610">
        <v>484</v>
      </c>
      <c r="Q1610">
        <v>398</v>
      </c>
      <c r="R1610">
        <v>229</v>
      </c>
      <c r="S1610" s="2">
        <v>4633</v>
      </c>
      <c r="T1610" s="2">
        <v>1364</v>
      </c>
      <c r="V1610">
        <v>0</v>
      </c>
      <c r="W1610" s="1">
        <v>44160</v>
      </c>
      <c r="X1610" t="s">
        <v>56</v>
      </c>
      <c r="AL1610" t="s">
        <v>40</v>
      </c>
    </row>
    <row r="1611" spans="1:39" x14ac:dyDescent="0.3">
      <c r="A1611">
        <v>2020</v>
      </c>
      <c r="B1611">
        <v>2</v>
      </c>
      <c r="C1611" t="str">
        <f t="shared" si="50"/>
        <v>2/01/2020</v>
      </c>
      <c r="D1611" s="1" t="str">
        <f t="shared" si="51"/>
        <v>2/01/2020</v>
      </c>
      <c r="E1611" t="s">
        <v>37</v>
      </c>
      <c r="F1611" t="s">
        <v>53</v>
      </c>
      <c r="G1611" t="s">
        <v>49</v>
      </c>
      <c r="H1611" s="2">
        <v>37885</v>
      </c>
      <c r="I1611" s="2">
        <v>36749</v>
      </c>
      <c r="J1611">
        <v>422</v>
      </c>
      <c r="K1611" s="2">
        <v>3563</v>
      </c>
      <c r="L1611">
        <v>558</v>
      </c>
      <c r="M1611" s="2">
        <v>4078</v>
      </c>
      <c r="N1611">
        <v>929</v>
      </c>
      <c r="O1611" s="2">
        <v>2044</v>
      </c>
      <c r="P1611">
        <v>576</v>
      </c>
      <c r="Q1611">
        <v>598</v>
      </c>
      <c r="R1611">
        <v>568</v>
      </c>
      <c r="S1611" s="2">
        <v>10532</v>
      </c>
      <c r="T1611" s="2">
        <v>2952</v>
      </c>
      <c r="W1611" s="1">
        <v>44160</v>
      </c>
      <c r="X1611" t="s">
        <v>56</v>
      </c>
      <c r="AL1611" t="s">
        <v>40</v>
      </c>
      <c r="AM1611" t="s">
        <v>40</v>
      </c>
    </row>
    <row r="1612" spans="1:39" x14ac:dyDescent="0.3">
      <c r="A1612">
        <v>2020</v>
      </c>
      <c r="B1612">
        <v>2</v>
      </c>
      <c r="C1612" t="str">
        <f t="shared" si="50"/>
        <v>2/01/2020</v>
      </c>
      <c r="D1612" s="1" t="str">
        <f t="shared" si="51"/>
        <v>2/01/2020</v>
      </c>
      <c r="E1612" t="s">
        <v>37</v>
      </c>
      <c r="F1612" t="s">
        <v>54</v>
      </c>
      <c r="G1612" t="s">
        <v>39</v>
      </c>
      <c r="H1612">
        <v>45</v>
      </c>
      <c r="I1612">
        <v>42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S1612">
        <v>0</v>
      </c>
      <c r="U1612">
        <v>0</v>
      </c>
      <c r="V1612">
        <v>0</v>
      </c>
      <c r="W1612" s="1">
        <v>44160</v>
      </c>
      <c r="X1612" t="s">
        <v>56</v>
      </c>
      <c r="AA1612" t="s">
        <v>40</v>
      </c>
      <c r="AB1612" t="s">
        <v>40</v>
      </c>
      <c r="AI1612" t="s">
        <v>40</v>
      </c>
      <c r="AK1612" t="s">
        <v>40</v>
      </c>
    </row>
    <row r="1613" spans="1:39" x14ac:dyDescent="0.3">
      <c r="A1613">
        <v>2020</v>
      </c>
      <c r="B1613">
        <v>2</v>
      </c>
      <c r="C1613" t="str">
        <f t="shared" si="50"/>
        <v>2/01/2020</v>
      </c>
      <c r="D1613" s="1" t="str">
        <f t="shared" si="51"/>
        <v>2/01/2020</v>
      </c>
      <c r="E1613" t="s">
        <v>37</v>
      </c>
      <c r="F1613" t="s">
        <v>54</v>
      </c>
      <c r="G1613" t="s">
        <v>41</v>
      </c>
      <c r="H1613">
        <v>26</v>
      </c>
      <c r="I1613">
        <v>10</v>
      </c>
      <c r="J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U1613">
        <v>0</v>
      </c>
      <c r="V1613">
        <v>0</v>
      </c>
      <c r="W1613" s="1">
        <v>44160</v>
      </c>
      <c r="X1613" t="s">
        <v>56</v>
      </c>
      <c r="AB1613" t="s">
        <v>40</v>
      </c>
      <c r="AC1613" t="s">
        <v>40</v>
      </c>
      <c r="AI1613" t="s">
        <v>40</v>
      </c>
      <c r="AJ1613" t="s">
        <v>40</v>
      </c>
      <c r="AK1613" t="s">
        <v>40</v>
      </c>
    </row>
    <row r="1614" spans="1:39" x14ac:dyDescent="0.3">
      <c r="A1614">
        <v>2020</v>
      </c>
      <c r="B1614">
        <v>2</v>
      </c>
      <c r="C1614" t="str">
        <f t="shared" si="50"/>
        <v>2/01/2020</v>
      </c>
      <c r="D1614" s="1" t="str">
        <f t="shared" si="51"/>
        <v>2/01/2020</v>
      </c>
      <c r="E1614" t="s">
        <v>37</v>
      </c>
      <c r="F1614" t="s">
        <v>54</v>
      </c>
      <c r="G1614" t="s">
        <v>42</v>
      </c>
      <c r="H1614">
        <v>26</v>
      </c>
      <c r="I1614">
        <v>13</v>
      </c>
      <c r="J1614">
        <v>0</v>
      </c>
      <c r="M1614">
        <v>0</v>
      </c>
      <c r="N1614">
        <v>0</v>
      </c>
      <c r="P1614">
        <v>0</v>
      </c>
      <c r="R1614">
        <v>0</v>
      </c>
      <c r="U1614">
        <v>0</v>
      </c>
      <c r="V1614">
        <v>0</v>
      </c>
      <c r="W1614" s="1">
        <v>44160</v>
      </c>
      <c r="X1614" t="s">
        <v>56</v>
      </c>
      <c r="AB1614" t="s">
        <v>40</v>
      </c>
      <c r="AC1614" t="s">
        <v>40</v>
      </c>
      <c r="AF1614" t="s">
        <v>40</v>
      </c>
      <c r="AH1614" t="s">
        <v>40</v>
      </c>
      <c r="AJ1614" t="s">
        <v>40</v>
      </c>
      <c r="AK1614" t="s">
        <v>40</v>
      </c>
    </row>
    <row r="1615" spans="1:39" x14ac:dyDescent="0.3">
      <c r="A1615">
        <v>2020</v>
      </c>
      <c r="B1615">
        <v>2</v>
      </c>
      <c r="C1615" t="str">
        <f t="shared" si="50"/>
        <v>2/01/2020</v>
      </c>
      <c r="D1615" s="1" t="str">
        <f t="shared" si="51"/>
        <v>2/01/2020</v>
      </c>
      <c r="E1615" t="s">
        <v>37</v>
      </c>
      <c r="F1615" t="s">
        <v>54</v>
      </c>
      <c r="G1615" t="s">
        <v>43</v>
      </c>
      <c r="H1615">
        <v>46</v>
      </c>
      <c r="I1615">
        <v>36</v>
      </c>
      <c r="J1615">
        <v>0</v>
      </c>
      <c r="K1615">
        <v>15</v>
      </c>
      <c r="L1615">
        <v>0</v>
      </c>
      <c r="M1615">
        <v>0</v>
      </c>
      <c r="P1615">
        <v>0</v>
      </c>
      <c r="Q1615">
        <v>0</v>
      </c>
      <c r="U1615">
        <v>0</v>
      </c>
      <c r="V1615">
        <v>0</v>
      </c>
      <c r="W1615" s="1">
        <v>44160</v>
      </c>
      <c r="X1615" t="s">
        <v>56</v>
      </c>
      <c r="AE1615" t="s">
        <v>40</v>
      </c>
      <c r="AF1615" t="s">
        <v>40</v>
      </c>
      <c r="AI1615" t="s">
        <v>40</v>
      </c>
      <c r="AJ1615" t="s">
        <v>40</v>
      </c>
      <c r="AK1615" t="s">
        <v>40</v>
      </c>
    </row>
    <row r="1616" spans="1:39" x14ac:dyDescent="0.3">
      <c r="A1616">
        <v>2020</v>
      </c>
      <c r="B1616">
        <v>2</v>
      </c>
      <c r="C1616" t="str">
        <f t="shared" si="50"/>
        <v>2/01/2020</v>
      </c>
      <c r="D1616" s="1" t="str">
        <f t="shared" si="51"/>
        <v>2/01/2020</v>
      </c>
      <c r="E1616" t="s">
        <v>37</v>
      </c>
      <c r="F1616" t="s">
        <v>54</v>
      </c>
      <c r="G1616" t="s">
        <v>44</v>
      </c>
      <c r="H1616">
        <v>49</v>
      </c>
      <c r="I1616">
        <v>37</v>
      </c>
      <c r="J1616">
        <v>0</v>
      </c>
      <c r="K1616">
        <v>12</v>
      </c>
      <c r="M1616">
        <v>0</v>
      </c>
      <c r="P1616">
        <v>0</v>
      </c>
      <c r="U1616">
        <v>0</v>
      </c>
      <c r="V1616">
        <v>0</v>
      </c>
      <c r="W1616" s="1">
        <v>44160</v>
      </c>
      <c r="X1616" t="s">
        <v>56</v>
      </c>
      <c r="AC1616" t="s">
        <v>40</v>
      </c>
      <c r="AE1616" t="s">
        <v>40</v>
      </c>
      <c r="AF1616" t="s">
        <v>40</v>
      </c>
      <c r="AH1616" t="s">
        <v>40</v>
      </c>
      <c r="AI1616" t="s">
        <v>40</v>
      </c>
      <c r="AJ1616" t="s">
        <v>40</v>
      </c>
      <c r="AK1616" t="s">
        <v>40</v>
      </c>
    </row>
    <row r="1617" spans="1:39" x14ac:dyDescent="0.3">
      <c r="A1617">
        <v>2020</v>
      </c>
      <c r="B1617">
        <v>2</v>
      </c>
      <c r="C1617" t="str">
        <f t="shared" si="50"/>
        <v>2/01/2020</v>
      </c>
      <c r="D1617" s="1" t="str">
        <f t="shared" si="51"/>
        <v>2/01/2020</v>
      </c>
      <c r="E1617" t="s">
        <v>37</v>
      </c>
      <c r="F1617" t="s">
        <v>54</v>
      </c>
      <c r="G1617" t="s">
        <v>45</v>
      </c>
      <c r="J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 s="1">
        <v>44160</v>
      </c>
      <c r="X1617" t="s">
        <v>56</v>
      </c>
      <c r="Y1617" t="s">
        <v>40</v>
      </c>
      <c r="Z1617" t="s">
        <v>40</v>
      </c>
      <c r="AB1617" t="s">
        <v>40</v>
      </c>
    </row>
    <row r="1618" spans="1:39" x14ac:dyDescent="0.3">
      <c r="A1618">
        <v>2020</v>
      </c>
      <c r="B1618">
        <v>2</v>
      </c>
      <c r="C1618" t="str">
        <f t="shared" si="50"/>
        <v>2/01/2020</v>
      </c>
      <c r="D1618" s="1" t="str">
        <f t="shared" si="51"/>
        <v>2/01/2020</v>
      </c>
      <c r="E1618" t="s">
        <v>37</v>
      </c>
      <c r="F1618" t="s">
        <v>54</v>
      </c>
      <c r="G1618" t="s">
        <v>46</v>
      </c>
      <c r="H1618">
        <v>147</v>
      </c>
      <c r="I1618">
        <v>136</v>
      </c>
      <c r="K1618">
        <v>40</v>
      </c>
      <c r="M1618">
        <v>0</v>
      </c>
      <c r="O1618">
        <v>16</v>
      </c>
      <c r="S1618">
        <v>28</v>
      </c>
      <c r="U1618">
        <v>0</v>
      </c>
      <c r="V1618">
        <v>0</v>
      </c>
      <c r="W1618" s="1">
        <v>44160</v>
      </c>
      <c r="X1618" t="s">
        <v>56</v>
      </c>
      <c r="AA1618" t="s">
        <v>40</v>
      </c>
      <c r="AC1618" t="s">
        <v>40</v>
      </c>
      <c r="AE1618" t="s">
        <v>40</v>
      </c>
      <c r="AG1618" t="s">
        <v>40</v>
      </c>
      <c r="AH1618" t="s">
        <v>40</v>
      </c>
      <c r="AI1618" t="s">
        <v>40</v>
      </c>
      <c r="AK1618" t="s">
        <v>40</v>
      </c>
    </row>
    <row r="1619" spans="1:39" x14ac:dyDescent="0.3">
      <c r="A1619">
        <v>2020</v>
      </c>
      <c r="B1619">
        <v>2</v>
      </c>
      <c r="C1619" t="str">
        <f t="shared" si="50"/>
        <v>2/01/2020</v>
      </c>
      <c r="D1619" s="1" t="str">
        <f t="shared" si="51"/>
        <v>2/01/2020</v>
      </c>
      <c r="E1619" t="s">
        <v>37</v>
      </c>
      <c r="F1619" t="s">
        <v>54</v>
      </c>
      <c r="G1619" t="s">
        <v>47</v>
      </c>
      <c r="H1619">
        <v>173</v>
      </c>
      <c r="I1619">
        <v>168</v>
      </c>
      <c r="K1619">
        <v>49</v>
      </c>
      <c r="O1619">
        <v>15</v>
      </c>
      <c r="S1619">
        <v>43</v>
      </c>
      <c r="U1619">
        <v>0</v>
      </c>
      <c r="V1619">
        <v>0</v>
      </c>
      <c r="W1619" s="1">
        <v>44160</v>
      </c>
      <c r="X1619" t="s">
        <v>56</v>
      </c>
      <c r="AA1619" t="s">
        <v>40</v>
      </c>
      <c r="AC1619" t="s">
        <v>40</v>
      </c>
      <c r="AD1619" t="s">
        <v>40</v>
      </c>
      <c r="AE1619" t="s">
        <v>40</v>
      </c>
      <c r="AG1619" t="s">
        <v>40</v>
      </c>
      <c r="AH1619" t="s">
        <v>40</v>
      </c>
      <c r="AI1619" t="s">
        <v>40</v>
      </c>
      <c r="AK1619" t="s">
        <v>40</v>
      </c>
    </row>
    <row r="1620" spans="1:39" x14ac:dyDescent="0.3">
      <c r="A1620">
        <v>2020</v>
      </c>
      <c r="B1620">
        <v>2</v>
      </c>
      <c r="C1620" t="str">
        <f t="shared" si="50"/>
        <v>2/01/2020</v>
      </c>
      <c r="D1620" s="1" t="str">
        <f t="shared" si="51"/>
        <v>2/01/2020</v>
      </c>
      <c r="E1620" t="s">
        <v>37</v>
      </c>
      <c r="F1620" t="s">
        <v>54</v>
      </c>
      <c r="G1620" t="s">
        <v>48</v>
      </c>
      <c r="H1620">
        <v>168</v>
      </c>
      <c r="I1620">
        <v>161</v>
      </c>
      <c r="K1620">
        <v>29</v>
      </c>
      <c r="O1620">
        <v>10</v>
      </c>
      <c r="P1620">
        <v>0</v>
      </c>
      <c r="S1620">
        <v>49</v>
      </c>
      <c r="T1620">
        <v>10</v>
      </c>
      <c r="U1620">
        <v>0</v>
      </c>
      <c r="V1620">
        <v>0</v>
      </c>
      <c r="W1620" s="1">
        <v>44160</v>
      </c>
      <c r="X1620" t="s">
        <v>56</v>
      </c>
      <c r="AA1620" t="s">
        <v>40</v>
      </c>
      <c r="AC1620" t="s">
        <v>40</v>
      </c>
      <c r="AD1620" t="s">
        <v>40</v>
      </c>
      <c r="AE1620" t="s">
        <v>40</v>
      </c>
      <c r="AH1620" t="s">
        <v>40</v>
      </c>
      <c r="AI1620" t="s">
        <v>40</v>
      </c>
    </row>
    <row r="1621" spans="1:39" x14ac:dyDescent="0.3">
      <c r="A1621">
        <v>2020</v>
      </c>
      <c r="B1621">
        <v>2</v>
      </c>
      <c r="C1621" t="str">
        <f t="shared" si="50"/>
        <v>2/01/2020</v>
      </c>
      <c r="D1621" s="1" t="str">
        <f t="shared" si="51"/>
        <v>2/01/2020</v>
      </c>
      <c r="E1621" t="s">
        <v>37</v>
      </c>
      <c r="F1621" t="s">
        <v>54</v>
      </c>
      <c r="G1621" t="s">
        <v>49</v>
      </c>
      <c r="H1621">
        <v>196</v>
      </c>
      <c r="I1621">
        <v>191</v>
      </c>
      <c r="K1621">
        <v>16</v>
      </c>
      <c r="M1621">
        <v>30</v>
      </c>
      <c r="O1621">
        <v>10</v>
      </c>
      <c r="P1621">
        <v>0</v>
      </c>
      <c r="S1621">
        <v>57</v>
      </c>
      <c r="T1621">
        <v>14</v>
      </c>
      <c r="U1621">
        <v>0</v>
      </c>
      <c r="V1621">
        <v>0</v>
      </c>
      <c r="W1621" s="1">
        <v>44160</v>
      </c>
      <c r="X1621" t="s">
        <v>56</v>
      </c>
      <c r="AA1621" t="s">
        <v>40</v>
      </c>
      <c r="AC1621" t="s">
        <v>40</v>
      </c>
      <c r="AE1621" t="s">
        <v>40</v>
      </c>
      <c r="AH1621" t="s">
        <v>40</v>
      </c>
      <c r="AI1621" t="s">
        <v>40</v>
      </c>
    </row>
    <row r="1622" spans="1:39" x14ac:dyDescent="0.3">
      <c r="A1622">
        <v>2020</v>
      </c>
      <c r="B1622">
        <v>2</v>
      </c>
      <c r="C1622" t="str">
        <f t="shared" si="50"/>
        <v>2/01/2020</v>
      </c>
      <c r="D1622" s="1" t="str">
        <f t="shared" si="51"/>
        <v>2/01/2020</v>
      </c>
      <c r="E1622" t="s">
        <v>55</v>
      </c>
      <c r="F1622" t="s">
        <v>38</v>
      </c>
      <c r="G1622" t="s">
        <v>39</v>
      </c>
      <c r="H1622">
        <v>241</v>
      </c>
      <c r="I1622">
        <v>208</v>
      </c>
      <c r="L1622">
        <v>0</v>
      </c>
      <c r="M1622">
        <v>0</v>
      </c>
      <c r="O1622">
        <v>0</v>
      </c>
      <c r="R1622">
        <v>30</v>
      </c>
      <c r="U1622">
        <v>0</v>
      </c>
      <c r="V1622">
        <v>0</v>
      </c>
      <c r="W1622" s="1">
        <v>44160</v>
      </c>
      <c r="X1622" t="s">
        <v>56</v>
      </c>
      <c r="AA1622" t="s">
        <v>40</v>
      </c>
      <c r="AB1622" t="s">
        <v>40</v>
      </c>
      <c r="AE1622" t="s">
        <v>40</v>
      </c>
      <c r="AG1622" t="s">
        <v>40</v>
      </c>
      <c r="AH1622" t="s">
        <v>40</v>
      </c>
      <c r="AJ1622" t="s">
        <v>40</v>
      </c>
      <c r="AK1622" t="s">
        <v>40</v>
      </c>
    </row>
    <row r="1623" spans="1:39" x14ac:dyDescent="0.3">
      <c r="A1623">
        <v>2020</v>
      </c>
      <c r="B1623">
        <v>2</v>
      </c>
      <c r="C1623" t="str">
        <f t="shared" si="50"/>
        <v>2/01/2020</v>
      </c>
      <c r="D1623" s="1" t="str">
        <f t="shared" si="51"/>
        <v>2/01/2020</v>
      </c>
      <c r="E1623" t="s">
        <v>55</v>
      </c>
      <c r="F1623" t="s">
        <v>38</v>
      </c>
      <c r="G1623" t="s">
        <v>41</v>
      </c>
      <c r="H1623">
        <v>391</v>
      </c>
      <c r="I1623">
        <v>74</v>
      </c>
      <c r="J1623">
        <v>0</v>
      </c>
      <c r="K1623">
        <v>15</v>
      </c>
      <c r="M1623">
        <v>0</v>
      </c>
      <c r="Q1623">
        <v>0</v>
      </c>
      <c r="U1623">
        <v>0</v>
      </c>
      <c r="V1623">
        <v>0</v>
      </c>
      <c r="W1623" s="1">
        <v>44160</v>
      </c>
      <c r="X1623" t="s">
        <v>56</v>
      </c>
      <c r="AC1623" t="s">
        <v>40</v>
      </c>
      <c r="AE1623" t="s">
        <v>40</v>
      </c>
      <c r="AF1623" t="s">
        <v>40</v>
      </c>
      <c r="AG1623" t="s">
        <v>40</v>
      </c>
      <c r="AI1623" t="s">
        <v>40</v>
      </c>
      <c r="AJ1623" t="s">
        <v>40</v>
      </c>
      <c r="AK1623" t="s">
        <v>40</v>
      </c>
    </row>
    <row r="1624" spans="1:39" x14ac:dyDescent="0.3">
      <c r="A1624">
        <v>2020</v>
      </c>
      <c r="B1624">
        <v>2</v>
      </c>
      <c r="C1624" t="str">
        <f t="shared" si="50"/>
        <v>2/01/2020</v>
      </c>
      <c r="D1624" s="1" t="str">
        <f t="shared" si="51"/>
        <v>2/01/2020</v>
      </c>
      <c r="E1624" t="s">
        <v>55</v>
      </c>
      <c r="F1624" t="s">
        <v>38</v>
      </c>
      <c r="G1624" t="s">
        <v>42</v>
      </c>
      <c r="H1624">
        <v>608</v>
      </c>
      <c r="I1624">
        <v>185</v>
      </c>
      <c r="K1624">
        <v>27</v>
      </c>
      <c r="L1624">
        <v>10</v>
      </c>
      <c r="M1624">
        <v>0</v>
      </c>
      <c r="R1624">
        <v>21</v>
      </c>
      <c r="S1624">
        <v>27</v>
      </c>
      <c r="U1624">
        <v>0</v>
      </c>
      <c r="V1624">
        <v>0</v>
      </c>
      <c r="W1624" s="1">
        <v>44160</v>
      </c>
      <c r="X1624" t="s">
        <v>56</v>
      </c>
      <c r="AA1624" t="s">
        <v>40</v>
      </c>
      <c r="AE1624" t="s">
        <v>40</v>
      </c>
      <c r="AF1624" t="s">
        <v>40</v>
      </c>
      <c r="AG1624" t="s">
        <v>40</v>
      </c>
      <c r="AH1624" t="s">
        <v>40</v>
      </c>
      <c r="AK1624" t="s">
        <v>40</v>
      </c>
    </row>
    <row r="1625" spans="1:39" x14ac:dyDescent="0.3">
      <c r="A1625">
        <v>2020</v>
      </c>
      <c r="B1625">
        <v>2</v>
      </c>
      <c r="C1625" t="str">
        <f t="shared" si="50"/>
        <v>2/01/2020</v>
      </c>
      <c r="D1625" s="1" t="str">
        <f t="shared" si="51"/>
        <v>2/01/2020</v>
      </c>
      <c r="E1625" t="s">
        <v>55</v>
      </c>
      <c r="F1625" t="s">
        <v>38</v>
      </c>
      <c r="G1625" t="s">
        <v>43</v>
      </c>
      <c r="H1625">
        <v>684</v>
      </c>
      <c r="I1625">
        <v>383</v>
      </c>
      <c r="K1625">
        <v>56</v>
      </c>
      <c r="L1625">
        <v>22</v>
      </c>
      <c r="M1625">
        <v>0</v>
      </c>
      <c r="N1625">
        <v>15</v>
      </c>
      <c r="R1625">
        <v>24</v>
      </c>
      <c r="S1625">
        <v>77</v>
      </c>
      <c r="T1625">
        <v>24</v>
      </c>
      <c r="U1625">
        <v>0</v>
      </c>
      <c r="V1625">
        <v>0</v>
      </c>
      <c r="W1625" s="1">
        <v>44160</v>
      </c>
      <c r="X1625" t="s">
        <v>56</v>
      </c>
      <c r="AA1625" t="s">
        <v>40</v>
      </c>
      <c r="AF1625" t="s">
        <v>40</v>
      </c>
      <c r="AG1625" t="s">
        <v>40</v>
      </c>
      <c r="AH1625" t="s">
        <v>40</v>
      </c>
    </row>
    <row r="1626" spans="1:39" x14ac:dyDescent="0.3">
      <c r="A1626">
        <v>2020</v>
      </c>
      <c r="B1626">
        <v>2</v>
      </c>
      <c r="C1626" t="str">
        <f t="shared" si="50"/>
        <v>2/01/2020</v>
      </c>
      <c r="D1626" s="1" t="str">
        <f t="shared" si="51"/>
        <v>2/01/2020</v>
      </c>
      <c r="E1626" t="s">
        <v>55</v>
      </c>
      <c r="F1626" t="s">
        <v>38</v>
      </c>
      <c r="G1626" t="s">
        <v>44</v>
      </c>
      <c r="H1626" s="2">
        <v>1061</v>
      </c>
      <c r="I1626">
        <v>823</v>
      </c>
      <c r="J1626">
        <v>19</v>
      </c>
      <c r="K1626">
        <v>153</v>
      </c>
      <c r="L1626">
        <v>75</v>
      </c>
      <c r="M1626">
        <v>0</v>
      </c>
      <c r="N1626">
        <v>39</v>
      </c>
      <c r="P1626">
        <v>11</v>
      </c>
      <c r="Q1626">
        <v>22</v>
      </c>
      <c r="R1626">
        <v>13</v>
      </c>
      <c r="S1626">
        <v>206</v>
      </c>
      <c r="T1626">
        <v>42</v>
      </c>
      <c r="U1626">
        <v>0</v>
      </c>
      <c r="V1626">
        <v>0</v>
      </c>
      <c r="W1626" s="1">
        <v>44160</v>
      </c>
      <c r="X1626" t="s">
        <v>56</v>
      </c>
      <c r="AF1626" t="s">
        <v>40</v>
      </c>
    </row>
    <row r="1627" spans="1:39" x14ac:dyDescent="0.3">
      <c r="A1627">
        <v>2020</v>
      </c>
      <c r="B1627">
        <v>2</v>
      </c>
      <c r="C1627" t="str">
        <f t="shared" si="50"/>
        <v>2/01/2020</v>
      </c>
      <c r="D1627" s="1" t="str">
        <f t="shared" si="51"/>
        <v>2/01/2020</v>
      </c>
      <c r="E1627" t="s">
        <v>55</v>
      </c>
      <c r="F1627" t="s">
        <v>38</v>
      </c>
      <c r="G1627" t="s">
        <v>45</v>
      </c>
      <c r="H1627">
        <v>55</v>
      </c>
      <c r="I1627">
        <v>35</v>
      </c>
      <c r="L1627">
        <v>0</v>
      </c>
      <c r="M1627">
        <v>0</v>
      </c>
      <c r="Q1627">
        <v>0</v>
      </c>
      <c r="R1627">
        <v>0</v>
      </c>
      <c r="T1627">
        <v>0</v>
      </c>
      <c r="U1627">
        <v>0</v>
      </c>
      <c r="V1627">
        <v>0</v>
      </c>
      <c r="W1627" s="1">
        <v>44160</v>
      </c>
      <c r="X1627" t="s">
        <v>56</v>
      </c>
      <c r="AA1627" t="s">
        <v>40</v>
      </c>
      <c r="AB1627" t="s">
        <v>40</v>
      </c>
      <c r="AE1627" t="s">
        <v>40</v>
      </c>
      <c r="AF1627" t="s">
        <v>40</v>
      </c>
      <c r="AG1627" t="s">
        <v>40</v>
      </c>
      <c r="AJ1627" t="s">
        <v>40</v>
      </c>
    </row>
    <row r="1628" spans="1:39" x14ac:dyDescent="0.3">
      <c r="A1628">
        <v>2020</v>
      </c>
      <c r="B1628">
        <v>2</v>
      </c>
      <c r="C1628" t="str">
        <f t="shared" si="50"/>
        <v>2/01/2020</v>
      </c>
      <c r="D1628" s="1" t="str">
        <f t="shared" si="51"/>
        <v>2/01/2020</v>
      </c>
      <c r="E1628" t="s">
        <v>55</v>
      </c>
      <c r="F1628" t="s">
        <v>38</v>
      </c>
      <c r="G1628" t="s">
        <v>46</v>
      </c>
      <c r="H1628" s="2">
        <v>1705</v>
      </c>
      <c r="I1628" s="2">
        <v>1496</v>
      </c>
      <c r="J1628">
        <v>22</v>
      </c>
      <c r="K1628">
        <v>399</v>
      </c>
      <c r="L1628">
        <v>111</v>
      </c>
      <c r="N1628">
        <v>54</v>
      </c>
      <c r="O1628">
        <v>25</v>
      </c>
      <c r="P1628">
        <v>20</v>
      </c>
      <c r="Q1628">
        <v>46</v>
      </c>
      <c r="R1628">
        <v>12</v>
      </c>
      <c r="S1628">
        <v>342</v>
      </c>
      <c r="T1628">
        <v>68</v>
      </c>
      <c r="W1628" s="1">
        <v>44160</v>
      </c>
      <c r="X1628" t="s">
        <v>56</v>
      </c>
      <c r="AD1628" t="s">
        <v>40</v>
      </c>
      <c r="AL1628" t="s">
        <v>40</v>
      </c>
      <c r="AM1628" t="s">
        <v>40</v>
      </c>
    </row>
    <row r="1629" spans="1:39" x14ac:dyDescent="0.3">
      <c r="A1629">
        <v>2020</v>
      </c>
      <c r="B1629">
        <v>2</v>
      </c>
      <c r="C1629" t="str">
        <f t="shared" si="50"/>
        <v>2/01/2020</v>
      </c>
      <c r="D1629" s="1" t="str">
        <f t="shared" si="51"/>
        <v>2/01/2020</v>
      </c>
      <c r="E1629" t="s">
        <v>55</v>
      </c>
      <c r="F1629" t="s">
        <v>38</v>
      </c>
      <c r="G1629" t="s">
        <v>47</v>
      </c>
      <c r="H1629" s="2">
        <v>1865</v>
      </c>
      <c r="I1629" s="2">
        <v>1776</v>
      </c>
      <c r="J1629">
        <v>22</v>
      </c>
      <c r="K1629">
        <v>512</v>
      </c>
      <c r="L1629">
        <v>127</v>
      </c>
      <c r="M1629">
        <v>20</v>
      </c>
      <c r="N1629">
        <v>51</v>
      </c>
      <c r="O1629">
        <v>57</v>
      </c>
      <c r="P1629">
        <v>47</v>
      </c>
      <c r="Q1629">
        <v>46</v>
      </c>
      <c r="R1629">
        <v>11</v>
      </c>
      <c r="S1629">
        <v>444</v>
      </c>
      <c r="T1629">
        <v>96</v>
      </c>
      <c r="W1629" s="1">
        <v>44160</v>
      </c>
      <c r="X1629" t="s">
        <v>56</v>
      </c>
      <c r="AL1629" t="s">
        <v>40</v>
      </c>
      <c r="AM1629" t="s">
        <v>40</v>
      </c>
    </row>
    <row r="1630" spans="1:39" x14ac:dyDescent="0.3">
      <c r="A1630">
        <v>2020</v>
      </c>
      <c r="B1630">
        <v>2</v>
      </c>
      <c r="C1630" t="str">
        <f t="shared" si="50"/>
        <v>2/01/2020</v>
      </c>
      <c r="D1630" s="1" t="str">
        <f t="shared" si="51"/>
        <v>2/01/2020</v>
      </c>
      <c r="E1630" t="s">
        <v>55</v>
      </c>
      <c r="F1630" t="s">
        <v>38</v>
      </c>
      <c r="G1630" t="s">
        <v>48</v>
      </c>
      <c r="H1630" s="2">
        <v>1927</v>
      </c>
      <c r="I1630" s="2">
        <v>1878</v>
      </c>
      <c r="J1630">
        <v>27</v>
      </c>
      <c r="K1630">
        <v>414</v>
      </c>
      <c r="L1630">
        <v>111</v>
      </c>
      <c r="M1630">
        <v>57</v>
      </c>
      <c r="N1630">
        <v>65</v>
      </c>
      <c r="O1630">
        <v>86</v>
      </c>
      <c r="P1630">
        <v>51</v>
      </c>
      <c r="Q1630">
        <v>45</v>
      </c>
      <c r="R1630">
        <v>12</v>
      </c>
      <c r="S1630">
        <v>458</v>
      </c>
      <c r="T1630">
        <v>132</v>
      </c>
      <c r="U1630">
        <v>0</v>
      </c>
      <c r="V1630">
        <v>0</v>
      </c>
      <c r="W1630" s="1">
        <v>44160</v>
      </c>
      <c r="X1630" t="s">
        <v>56</v>
      </c>
    </row>
    <row r="1631" spans="1:39" x14ac:dyDescent="0.3">
      <c r="A1631">
        <v>2020</v>
      </c>
      <c r="B1631">
        <v>2</v>
      </c>
      <c r="C1631" t="str">
        <f t="shared" si="50"/>
        <v>2/01/2020</v>
      </c>
      <c r="D1631" s="1" t="str">
        <f t="shared" si="51"/>
        <v>2/01/2020</v>
      </c>
      <c r="E1631" t="s">
        <v>55</v>
      </c>
      <c r="F1631" t="s">
        <v>38</v>
      </c>
      <c r="G1631" t="s">
        <v>49</v>
      </c>
      <c r="H1631" s="2">
        <v>1727</v>
      </c>
      <c r="I1631" s="2">
        <v>1682</v>
      </c>
      <c r="J1631">
        <v>20</v>
      </c>
      <c r="K1631">
        <v>232</v>
      </c>
      <c r="L1631">
        <v>53</v>
      </c>
      <c r="M1631">
        <v>131</v>
      </c>
      <c r="N1631">
        <v>55</v>
      </c>
      <c r="O1631">
        <v>75</v>
      </c>
      <c r="P1631">
        <v>36</v>
      </c>
      <c r="Q1631">
        <v>47</v>
      </c>
      <c r="R1631">
        <v>15</v>
      </c>
      <c r="S1631">
        <v>484</v>
      </c>
      <c r="T1631">
        <v>127</v>
      </c>
      <c r="U1631">
        <v>0</v>
      </c>
      <c r="V1631">
        <v>0</v>
      </c>
      <c r="W1631" s="1">
        <v>44160</v>
      </c>
      <c r="X1631" t="s">
        <v>56</v>
      </c>
    </row>
    <row r="1632" spans="1:39" x14ac:dyDescent="0.3">
      <c r="A1632">
        <v>2020</v>
      </c>
      <c r="B1632">
        <v>2</v>
      </c>
      <c r="C1632" t="str">
        <f t="shared" si="50"/>
        <v>2/01/2020</v>
      </c>
      <c r="D1632" s="1" t="str">
        <f t="shared" si="51"/>
        <v>2/01/2020</v>
      </c>
      <c r="E1632" t="s">
        <v>55</v>
      </c>
      <c r="F1632" t="s">
        <v>50</v>
      </c>
      <c r="G1632" t="s">
        <v>39</v>
      </c>
      <c r="H1632">
        <v>17</v>
      </c>
      <c r="I1632">
        <v>16</v>
      </c>
      <c r="J1632">
        <v>0</v>
      </c>
      <c r="K1632">
        <v>0</v>
      </c>
      <c r="L1632">
        <v>0</v>
      </c>
      <c r="M1632">
        <v>0</v>
      </c>
      <c r="O1632">
        <v>0</v>
      </c>
      <c r="P1632">
        <v>0</v>
      </c>
      <c r="Q1632">
        <v>0</v>
      </c>
      <c r="S1632">
        <v>0</v>
      </c>
      <c r="T1632">
        <v>0</v>
      </c>
      <c r="U1632">
        <v>0</v>
      </c>
      <c r="V1632">
        <v>0</v>
      </c>
      <c r="W1632" s="1">
        <v>44160</v>
      </c>
      <c r="X1632" t="s">
        <v>56</v>
      </c>
      <c r="AE1632" t="s">
        <v>40</v>
      </c>
      <c r="AI1632" t="s">
        <v>40</v>
      </c>
    </row>
    <row r="1633" spans="1:37" x14ac:dyDescent="0.3">
      <c r="A1633">
        <v>2020</v>
      </c>
      <c r="B1633">
        <v>2</v>
      </c>
      <c r="C1633" t="str">
        <f t="shared" si="50"/>
        <v>2/01/2020</v>
      </c>
      <c r="D1633" s="1" t="str">
        <f t="shared" si="51"/>
        <v>2/01/2020</v>
      </c>
      <c r="E1633" t="s">
        <v>55</v>
      </c>
      <c r="F1633" t="s">
        <v>50</v>
      </c>
      <c r="G1633" t="s">
        <v>41</v>
      </c>
      <c r="H1633">
        <v>32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T1633">
        <v>0</v>
      </c>
      <c r="U1633">
        <v>0</v>
      </c>
      <c r="V1633">
        <v>0</v>
      </c>
      <c r="W1633" s="1">
        <v>44160</v>
      </c>
      <c r="X1633" t="s">
        <v>56</v>
      </c>
      <c r="Z1633" t="s">
        <v>40</v>
      </c>
      <c r="AI1633" t="s">
        <v>40</v>
      </c>
      <c r="AJ1633" t="s">
        <v>40</v>
      </c>
    </row>
    <row r="1634" spans="1:37" x14ac:dyDescent="0.3">
      <c r="A1634">
        <v>2020</v>
      </c>
      <c r="B1634">
        <v>2</v>
      </c>
      <c r="C1634" t="str">
        <f t="shared" si="50"/>
        <v>2/01/2020</v>
      </c>
      <c r="D1634" s="1" t="str">
        <f t="shared" si="51"/>
        <v>2/01/2020</v>
      </c>
      <c r="E1634" t="s">
        <v>55</v>
      </c>
      <c r="F1634" t="s">
        <v>50</v>
      </c>
      <c r="G1634" t="s">
        <v>42</v>
      </c>
      <c r="H1634">
        <v>61</v>
      </c>
      <c r="I1634">
        <v>17</v>
      </c>
      <c r="J1634">
        <v>0</v>
      </c>
      <c r="L1634">
        <v>0</v>
      </c>
      <c r="M1634">
        <v>0</v>
      </c>
      <c r="O1634">
        <v>0</v>
      </c>
      <c r="P1634">
        <v>0</v>
      </c>
      <c r="Q1634">
        <v>0</v>
      </c>
      <c r="T1634">
        <v>0</v>
      </c>
      <c r="U1634">
        <v>0</v>
      </c>
      <c r="V1634">
        <v>0</v>
      </c>
      <c r="W1634" s="1">
        <v>44160</v>
      </c>
      <c r="X1634" t="s">
        <v>56</v>
      </c>
      <c r="AB1634" t="s">
        <v>40</v>
      </c>
      <c r="AE1634" t="s">
        <v>40</v>
      </c>
      <c r="AI1634" t="s">
        <v>40</v>
      </c>
      <c r="AJ1634" t="s">
        <v>40</v>
      </c>
    </row>
    <row r="1635" spans="1:37" x14ac:dyDescent="0.3">
      <c r="A1635">
        <v>2020</v>
      </c>
      <c r="B1635">
        <v>2</v>
      </c>
      <c r="C1635" t="str">
        <f t="shared" si="50"/>
        <v>2/01/2020</v>
      </c>
      <c r="D1635" s="1" t="str">
        <f t="shared" si="51"/>
        <v>2/01/2020</v>
      </c>
      <c r="E1635" t="s">
        <v>55</v>
      </c>
      <c r="F1635" t="s">
        <v>50</v>
      </c>
      <c r="G1635" t="s">
        <v>43</v>
      </c>
      <c r="H1635">
        <v>67</v>
      </c>
      <c r="I1635">
        <v>32</v>
      </c>
      <c r="J1635">
        <v>0</v>
      </c>
      <c r="M1635">
        <v>0</v>
      </c>
      <c r="O1635">
        <v>0</v>
      </c>
      <c r="P1635">
        <v>0</v>
      </c>
      <c r="U1635">
        <v>0</v>
      </c>
      <c r="V1635">
        <v>0</v>
      </c>
      <c r="W1635" s="1">
        <v>44160</v>
      </c>
      <c r="X1635" t="s">
        <v>56</v>
      </c>
      <c r="AB1635" t="s">
        <v>40</v>
      </c>
      <c r="AC1635" t="s">
        <v>40</v>
      </c>
      <c r="AE1635" t="s">
        <v>40</v>
      </c>
      <c r="AH1635" t="s">
        <v>40</v>
      </c>
      <c r="AI1635" t="s">
        <v>40</v>
      </c>
      <c r="AJ1635" t="s">
        <v>40</v>
      </c>
      <c r="AK1635" t="s">
        <v>40</v>
      </c>
    </row>
    <row r="1636" spans="1:37" x14ac:dyDescent="0.3">
      <c r="A1636">
        <v>2020</v>
      </c>
      <c r="B1636">
        <v>2</v>
      </c>
      <c r="C1636" t="str">
        <f t="shared" si="50"/>
        <v>2/01/2020</v>
      </c>
      <c r="D1636" s="1" t="str">
        <f t="shared" si="51"/>
        <v>2/01/2020</v>
      </c>
      <c r="E1636" t="s">
        <v>55</v>
      </c>
      <c r="F1636" t="s">
        <v>50</v>
      </c>
      <c r="G1636" t="s">
        <v>44</v>
      </c>
      <c r="H1636">
        <v>120</v>
      </c>
      <c r="I1636">
        <v>91</v>
      </c>
      <c r="L1636">
        <v>10</v>
      </c>
      <c r="M1636">
        <v>0</v>
      </c>
      <c r="P1636">
        <v>0</v>
      </c>
      <c r="S1636">
        <v>20</v>
      </c>
      <c r="U1636">
        <v>0</v>
      </c>
      <c r="V1636">
        <v>0</v>
      </c>
      <c r="W1636" s="1">
        <v>44160</v>
      </c>
      <c r="X1636" t="s">
        <v>56</v>
      </c>
      <c r="AA1636" t="s">
        <v>40</v>
      </c>
      <c r="AB1636" t="s">
        <v>40</v>
      </c>
      <c r="AE1636" t="s">
        <v>40</v>
      </c>
      <c r="AF1636" t="s">
        <v>40</v>
      </c>
      <c r="AH1636" t="s">
        <v>40</v>
      </c>
      <c r="AI1636" t="s">
        <v>40</v>
      </c>
      <c r="AK1636" t="s">
        <v>40</v>
      </c>
    </row>
    <row r="1637" spans="1:37" x14ac:dyDescent="0.3">
      <c r="A1637">
        <v>2020</v>
      </c>
      <c r="B1637">
        <v>2</v>
      </c>
      <c r="C1637" t="str">
        <f t="shared" si="50"/>
        <v>2/01/2020</v>
      </c>
      <c r="D1637" s="1" t="str">
        <f t="shared" si="51"/>
        <v>2/01/2020</v>
      </c>
      <c r="E1637" t="s">
        <v>55</v>
      </c>
      <c r="F1637" t="s">
        <v>50</v>
      </c>
      <c r="G1637" t="s">
        <v>45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U1637">
        <v>0</v>
      </c>
      <c r="V1637">
        <v>0</v>
      </c>
      <c r="W1637" s="1">
        <v>44160</v>
      </c>
      <c r="X1637" t="s">
        <v>56</v>
      </c>
      <c r="Y1637" t="s">
        <v>40</v>
      </c>
      <c r="Z1637" t="s">
        <v>40</v>
      </c>
      <c r="AK1637" t="s">
        <v>40</v>
      </c>
    </row>
    <row r="1638" spans="1:37" x14ac:dyDescent="0.3">
      <c r="A1638">
        <v>2020</v>
      </c>
      <c r="B1638">
        <v>2</v>
      </c>
      <c r="C1638" t="str">
        <f t="shared" si="50"/>
        <v>2/01/2020</v>
      </c>
      <c r="D1638" s="1" t="str">
        <f t="shared" si="51"/>
        <v>2/01/2020</v>
      </c>
      <c r="E1638" t="s">
        <v>55</v>
      </c>
      <c r="F1638" t="s">
        <v>50</v>
      </c>
      <c r="G1638" t="s">
        <v>46</v>
      </c>
      <c r="H1638">
        <v>163</v>
      </c>
      <c r="I1638">
        <v>137</v>
      </c>
      <c r="K1638">
        <v>30</v>
      </c>
      <c r="L1638">
        <v>19</v>
      </c>
      <c r="M1638">
        <v>0</v>
      </c>
      <c r="S1638">
        <v>31</v>
      </c>
      <c r="U1638">
        <v>0</v>
      </c>
      <c r="V1638">
        <v>0</v>
      </c>
      <c r="W1638" s="1">
        <v>44160</v>
      </c>
      <c r="X1638" t="s">
        <v>56</v>
      </c>
      <c r="AA1638" t="s">
        <v>40</v>
      </c>
      <c r="AE1638" t="s">
        <v>40</v>
      </c>
      <c r="AF1638" t="s">
        <v>40</v>
      </c>
      <c r="AG1638" t="s">
        <v>40</v>
      </c>
      <c r="AH1638" t="s">
        <v>40</v>
      </c>
      <c r="AI1638" t="s">
        <v>40</v>
      </c>
      <c r="AK1638" t="s">
        <v>40</v>
      </c>
    </row>
    <row r="1639" spans="1:37" x14ac:dyDescent="0.3">
      <c r="A1639">
        <v>2020</v>
      </c>
      <c r="B1639">
        <v>2</v>
      </c>
      <c r="C1639" t="str">
        <f t="shared" si="50"/>
        <v>2/01/2020</v>
      </c>
      <c r="D1639" s="1" t="str">
        <f t="shared" si="51"/>
        <v>2/01/2020</v>
      </c>
      <c r="E1639" t="s">
        <v>55</v>
      </c>
      <c r="F1639" t="s">
        <v>50</v>
      </c>
      <c r="G1639" t="s">
        <v>47</v>
      </c>
      <c r="H1639">
        <v>192</v>
      </c>
      <c r="I1639">
        <v>180</v>
      </c>
      <c r="K1639">
        <v>45</v>
      </c>
      <c r="L1639">
        <v>18</v>
      </c>
      <c r="O1639">
        <v>15</v>
      </c>
      <c r="R1639">
        <v>0</v>
      </c>
      <c r="S1639">
        <v>46</v>
      </c>
      <c r="U1639">
        <v>0</v>
      </c>
      <c r="V1639">
        <v>0</v>
      </c>
      <c r="W1639" s="1">
        <v>44160</v>
      </c>
      <c r="X1639" t="s">
        <v>56</v>
      </c>
      <c r="AA1639" t="s">
        <v>40</v>
      </c>
      <c r="AD1639" t="s">
        <v>40</v>
      </c>
      <c r="AE1639" t="s">
        <v>40</v>
      </c>
      <c r="AG1639" t="s">
        <v>40</v>
      </c>
      <c r="AH1639" t="s">
        <v>40</v>
      </c>
      <c r="AK1639" t="s">
        <v>40</v>
      </c>
    </row>
    <row r="1640" spans="1:37" x14ac:dyDescent="0.3">
      <c r="A1640">
        <v>2020</v>
      </c>
      <c r="B1640">
        <v>2</v>
      </c>
      <c r="C1640" t="str">
        <f t="shared" si="50"/>
        <v>2/01/2020</v>
      </c>
      <c r="D1640" s="1" t="str">
        <f t="shared" si="51"/>
        <v>2/01/2020</v>
      </c>
      <c r="E1640" t="s">
        <v>55</v>
      </c>
      <c r="F1640" t="s">
        <v>50</v>
      </c>
      <c r="G1640" t="s">
        <v>48</v>
      </c>
      <c r="H1640">
        <v>130</v>
      </c>
      <c r="I1640">
        <v>128</v>
      </c>
      <c r="K1640">
        <v>23</v>
      </c>
      <c r="S1640">
        <v>41</v>
      </c>
      <c r="U1640">
        <v>0</v>
      </c>
      <c r="V1640">
        <v>0</v>
      </c>
      <c r="W1640" s="1">
        <v>44160</v>
      </c>
      <c r="X1640" t="s">
        <v>56</v>
      </c>
      <c r="AA1640" t="s">
        <v>40</v>
      </c>
      <c r="AC1640" t="s">
        <v>40</v>
      </c>
      <c r="AD1640" t="s">
        <v>40</v>
      </c>
      <c r="AE1640" t="s">
        <v>40</v>
      </c>
      <c r="AF1640" t="s">
        <v>40</v>
      </c>
      <c r="AG1640" t="s">
        <v>40</v>
      </c>
      <c r="AH1640" t="s">
        <v>40</v>
      </c>
      <c r="AI1640" t="s">
        <v>40</v>
      </c>
      <c r="AK1640" t="s">
        <v>40</v>
      </c>
    </row>
    <row r="1641" spans="1:37" x14ac:dyDescent="0.3">
      <c r="A1641">
        <v>2020</v>
      </c>
      <c r="B1641">
        <v>2</v>
      </c>
      <c r="C1641" t="str">
        <f t="shared" si="50"/>
        <v>2/01/2020</v>
      </c>
      <c r="D1641" s="1" t="str">
        <f t="shared" si="51"/>
        <v>2/01/2020</v>
      </c>
      <c r="E1641" t="s">
        <v>55</v>
      </c>
      <c r="F1641" t="s">
        <v>50</v>
      </c>
      <c r="G1641" t="s">
        <v>49</v>
      </c>
      <c r="H1641">
        <v>76</v>
      </c>
      <c r="I1641">
        <v>74</v>
      </c>
      <c r="J1641">
        <v>0</v>
      </c>
      <c r="R1641">
        <v>0</v>
      </c>
      <c r="S1641">
        <v>22</v>
      </c>
      <c r="U1641">
        <v>0</v>
      </c>
      <c r="V1641">
        <v>0</v>
      </c>
      <c r="W1641" s="1">
        <v>44160</v>
      </c>
      <c r="X1641" t="s">
        <v>56</v>
      </c>
      <c r="AB1641" t="s">
        <v>40</v>
      </c>
      <c r="AC1641" t="s">
        <v>40</v>
      </c>
      <c r="AD1641" t="s">
        <v>40</v>
      </c>
      <c r="AE1641" t="s">
        <v>40</v>
      </c>
      <c r="AF1641" t="s">
        <v>40</v>
      </c>
      <c r="AG1641" t="s">
        <v>40</v>
      </c>
      <c r="AH1641" t="s">
        <v>40</v>
      </c>
      <c r="AK1641" t="s">
        <v>40</v>
      </c>
    </row>
    <row r="1642" spans="1:37" x14ac:dyDescent="0.3">
      <c r="A1642">
        <v>2020</v>
      </c>
      <c r="B1642">
        <v>2</v>
      </c>
      <c r="C1642" t="str">
        <f t="shared" si="50"/>
        <v>2/01/2020</v>
      </c>
      <c r="D1642" s="1" t="str">
        <f t="shared" si="51"/>
        <v>2/01/2020</v>
      </c>
      <c r="E1642" t="s">
        <v>55</v>
      </c>
      <c r="F1642" t="s">
        <v>51</v>
      </c>
      <c r="G1642" t="s">
        <v>39</v>
      </c>
      <c r="H1642">
        <v>35</v>
      </c>
      <c r="I1642">
        <v>34</v>
      </c>
      <c r="J1642">
        <v>0</v>
      </c>
      <c r="K1642">
        <v>0</v>
      </c>
      <c r="L1642">
        <v>0</v>
      </c>
      <c r="M1642">
        <v>0</v>
      </c>
      <c r="O1642">
        <v>0</v>
      </c>
      <c r="P1642">
        <v>0</v>
      </c>
      <c r="Q1642">
        <v>0</v>
      </c>
      <c r="T1642">
        <v>0</v>
      </c>
      <c r="U1642">
        <v>0</v>
      </c>
      <c r="V1642">
        <v>0</v>
      </c>
      <c r="W1642" s="1">
        <v>44160</v>
      </c>
      <c r="X1642" t="s">
        <v>56</v>
      </c>
      <c r="AE1642" t="s">
        <v>40</v>
      </c>
      <c r="AI1642" t="s">
        <v>40</v>
      </c>
      <c r="AJ1642" t="s">
        <v>40</v>
      </c>
    </row>
    <row r="1643" spans="1:37" x14ac:dyDescent="0.3">
      <c r="A1643">
        <v>2020</v>
      </c>
      <c r="B1643">
        <v>2</v>
      </c>
      <c r="C1643" t="str">
        <f t="shared" si="50"/>
        <v>2/01/2020</v>
      </c>
      <c r="D1643" s="1" t="str">
        <f t="shared" si="51"/>
        <v>2/01/2020</v>
      </c>
      <c r="E1643" t="s">
        <v>55</v>
      </c>
      <c r="F1643" t="s">
        <v>51</v>
      </c>
      <c r="G1643" t="s">
        <v>41</v>
      </c>
      <c r="H1643">
        <v>41</v>
      </c>
      <c r="I1643">
        <v>12</v>
      </c>
      <c r="J1643">
        <v>0</v>
      </c>
      <c r="M1643">
        <v>0</v>
      </c>
      <c r="N1643">
        <v>0</v>
      </c>
      <c r="O1643">
        <v>0</v>
      </c>
      <c r="Q1643">
        <v>0</v>
      </c>
      <c r="S1643">
        <v>0</v>
      </c>
      <c r="U1643">
        <v>0</v>
      </c>
      <c r="V1643">
        <v>0</v>
      </c>
      <c r="W1643" s="1">
        <v>44160</v>
      </c>
      <c r="X1643" t="s">
        <v>56</v>
      </c>
      <c r="AB1643" t="s">
        <v>40</v>
      </c>
      <c r="AC1643" t="s">
        <v>40</v>
      </c>
      <c r="AG1643" t="s">
        <v>40</v>
      </c>
      <c r="AI1643" t="s">
        <v>40</v>
      </c>
      <c r="AK1643" t="s">
        <v>40</v>
      </c>
    </row>
    <row r="1644" spans="1:37" x14ac:dyDescent="0.3">
      <c r="A1644">
        <v>2020</v>
      </c>
      <c r="B1644">
        <v>2</v>
      </c>
      <c r="C1644" t="str">
        <f t="shared" si="50"/>
        <v>2/01/2020</v>
      </c>
      <c r="D1644" s="1" t="str">
        <f t="shared" si="51"/>
        <v>2/01/2020</v>
      </c>
      <c r="E1644" t="s">
        <v>55</v>
      </c>
      <c r="F1644" t="s">
        <v>51</v>
      </c>
      <c r="G1644" t="s">
        <v>42</v>
      </c>
      <c r="H1644">
        <v>91</v>
      </c>
      <c r="I1644">
        <v>39</v>
      </c>
      <c r="K1644">
        <v>11</v>
      </c>
      <c r="L1644">
        <v>0</v>
      </c>
      <c r="M1644">
        <v>0</v>
      </c>
      <c r="P1644">
        <v>0</v>
      </c>
      <c r="T1644">
        <v>0</v>
      </c>
      <c r="U1644">
        <v>0</v>
      </c>
      <c r="V1644">
        <v>0</v>
      </c>
      <c r="W1644" s="1">
        <v>44160</v>
      </c>
      <c r="X1644" t="s">
        <v>56</v>
      </c>
      <c r="AA1644" t="s">
        <v>40</v>
      </c>
      <c r="AE1644" t="s">
        <v>40</v>
      </c>
      <c r="AF1644" t="s">
        <v>40</v>
      </c>
      <c r="AH1644" t="s">
        <v>40</v>
      </c>
      <c r="AI1644" t="s">
        <v>40</v>
      </c>
      <c r="AJ1644" t="s">
        <v>40</v>
      </c>
    </row>
    <row r="1645" spans="1:37" x14ac:dyDescent="0.3">
      <c r="A1645">
        <v>2020</v>
      </c>
      <c r="B1645">
        <v>2</v>
      </c>
      <c r="C1645" t="str">
        <f t="shared" si="50"/>
        <v>2/01/2020</v>
      </c>
      <c r="D1645" s="1" t="str">
        <f t="shared" si="51"/>
        <v>2/01/2020</v>
      </c>
      <c r="E1645" t="s">
        <v>55</v>
      </c>
      <c r="F1645" t="s">
        <v>51</v>
      </c>
      <c r="G1645" t="s">
        <v>43</v>
      </c>
      <c r="H1645">
        <v>114</v>
      </c>
      <c r="I1645">
        <v>71</v>
      </c>
      <c r="J1645">
        <v>0</v>
      </c>
      <c r="K1645">
        <v>21</v>
      </c>
      <c r="M1645">
        <v>0</v>
      </c>
      <c r="O1645">
        <v>0</v>
      </c>
      <c r="S1645">
        <v>12</v>
      </c>
      <c r="U1645">
        <v>0</v>
      </c>
      <c r="V1645">
        <v>0</v>
      </c>
      <c r="W1645" s="1">
        <v>44160</v>
      </c>
      <c r="X1645" t="s">
        <v>56</v>
      </c>
      <c r="AC1645" t="s">
        <v>40</v>
      </c>
      <c r="AE1645" t="s">
        <v>40</v>
      </c>
      <c r="AG1645" t="s">
        <v>40</v>
      </c>
      <c r="AH1645" t="s">
        <v>40</v>
      </c>
      <c r="AI1645" t="s">
        <v>40</v>
      </c>
      <c r="AK1645" t="s">
        <v>40</v>
      </c>
    </row>
    <row r="1646" spans="1:37" x14ac:dyDescent="0.3">
      <c r="A1646">
        <v>2020</v>
      </c>
      <c r="B1646">
        <v>2</v>
      </c>
      <c r="C1646" t="str">
        <f t="shared" si="50"/>
        <v>2/01/2020</v>
      </c>
      <c r="D1646" s="1" t="str">
        <f t="shared" si="51"/>
        <v>2/01/2020</v>
      </c>
      <c r="E1646" t="s">
        <v>55</v>
      </c>
      <c r="F1646" t="s">
        <v>51</v>
      </c>
      <c r="G1646" t="s">
        <v>44</v>
      </c>
      <c r="H1646">
        <v>212</v>
      </c>
      <c r="I1646">
        <v>175</v>
      </c>
      <c r="J1646">
        <v>0</v>
      </c>
      <c r="K1646">
        <v>44</v>
      </c>
      <c r="L1646">
        <v>15</v>
      </c>
      <c r="M1646">
        <v>0</v>
      </c>
      <c r="P1646">
        <v>0</v>
      </c>
      <c r="S1646">
        <v>57</v>
      </c>
      <c r="T1646">
        <v>13</v>
      </c>
      <c r="U1646">
        <v>0</v>
      </c>
      <c r="V1646">
        <v>0</v>
      </c>
      <c r="W1646" s="1">
        <v>44160</v>
      </c>
      <c r="X1646" t="s">
        <v>56</v>
      </c>
      <c r="AE1646" t="s">
        <v>40</v>
      </c>
      <c r="AF1646" t="s">
        <v>40</v>
      </c>
      <c r="AH1646" t="s">
        <v>40</v>
      </c>
      <c r="AI1646" t="s">
        <v>40</v>
      </c>
    </row>
    <row r="1647" spans="1:37" x14ac:dyDescent="0.3">
      <c r="A1647">
        <v>2020</v>
      </c>
      <c r="B1647">
        <v>2</v>
      </c>
      <c r="C1647" t="str">
        <f t="shared" si="50"/>
        <v>2/01/2020</v>
      </c>
      <c r="D1647" s="1" t="str">
        <f t="shared" si="51"/>
        <v>2/01/2020</v>
      </c>
      <c r="E1647" t="s">
        <v>55</v>
      </c>
      <c r="F1647" t="s">
        <v>51</v>
      </c>
      <c r="G1647" t="s">
        <v>45</v>
      </c>
      <c r="H1647">
        <v>11</v>
      </c>
      <c r="I1647">
        <v>10</v>
      </c>
      <c r="J1647">
        <v>0</v>
      </c>
      <c r="L1647">
        <v>0</v>
      </c>
      <c r="M1647">
        <v>0</v>
      </c>
      <c r="Q1647">
        <v>0</v>
      </c>
      <c r="R1647">
        <v>0</v>
      </c>
      <c r="T1647">
        <v>0</v>
      </c>
      <c r="U1647">
        <v>0</v>
      </c>
      <c r="V1647">
        <v>0</v>
      </c>
      <c r="W1647" s="1">
        <v>44160</v>
      </c>
      <c r="X1647" t="s">
        <v>56</v>
      </c>
      <c r="AB1647" t="s">
        <v>40</v>
      </c>
      <c r="AE1647" t="s">
        <v>40</v>
      </c>
      <c r="AF1647" t="s">
        <v>40</v>
      </c>
      <c r="AG1647" t="s">
        <v>40</v>
      </c>
      <c r="AJ1647" t="s">
        <v>40</v>
      </c>
    </row>
    <row r="1648" spans="1:37" x14ac:dyDescent="0.3">
      <c r="A1648">
        <v>2020</v>
      </c>
      <c r="B1648">
        <v>2</v>
      </c>
      <c r="C1648" t="str">
        <f t="shared" si="50"/>
        <v>2/01/2020</v>
      </c>
      <c r="D1648" s="1" t="str">
        <f t="shared" si="51"/>
        <v>2/01/2020</v>
      </c>
      <c r="E1648" t="s">
        <v>55</v>
      </c>
      <c r="F1648" t="s">
        <v>51</v>
      </c>
      <c r="G1648" t="s">
        <v>46</v>
      </c>
      <c r="H1648">
        <v>413</v>
      </c>
      <c r="I1648">
        <v>388</v>
      </c>
      <c r="K1648">
        <v>140</v>
      </c>
      <c r="L1648">
        <v>19</v>
      </c>
      <c r="P1648">
        <v>11</v>
      </c>
      <c r="S1648">
        <v>99</v>
      </c>
      <c r="T1648">
        <v>24</v>
      </c>
      <c r="U1648">
        <v>0</v>
      </c>
      <c r="V1648">
        <v>0</v>
      </c>
      <c r="W1648" s="1">
        <v>44160</v>
      </c>
      <c r="X1648" t="s">
        <v>56</v>
      </c>
      <c r="AA1648" t="s">
        <v>40</v>
      </c>
      <c r="AD1648" t="s">
        <v>40</v>
      </c>
      <c r="AE1648" t="s">
        <v>40</v>
      </c>
      <c r="AF1648" t="s">
        <v>40</v>
      </c>
      <c r="AH1648" t="s">
        <v>40</v>
      </c>
      <c r="AI1648" t="s">
        <v>40</v>
      </c>
    </row>
    <row r="1649" spans="1:39" x14ac:dyDescent="0.3">
      <c r="A1649">
        <v>2020</v>
      </c>
      <c r="B1649">
        <v>2</v>
      </c>
      <c r="C1649" t="str">
        <f t="shared" si="50"/>
        <v>2/01/2020</v>
      </c>
      <c r="D1649" s="1" t="str">
        <f t="shared" si="51"/>
        <v>2/01/2020</v>
      </c>
      <c r="E1649" t="s">
        <v>55</v>
      </c>
      <c r="F1649" t="s">
        <v>51</v>
      </c>
      <c r="G1649" t="s">
        <v>47</v>
      </c>
      <c r="H1649">
        <v>633</v>
      </c>
      <c r="I1649">
        <v>609</v>
      </c>
      <c r="J1649">
        <v>14</v>
      </c>
      <c r="K1649">
        <v>203</v>
      </c>
      <c r="L1649">
        <v>40</v>
      </c>
      <c r="N1649">
        <v>15</v>
      </c>
      <c r="O1649">
        <v>20</v>
      </c>
      <c r="P1649">
        <v>11</v>
      </c>
      <c r="Q1649">
        <v>14</v>
      </c>
      <c r="S1649">
        <v>157</v>
      </c>
      <c r="T1649">
        <v>37</v>
      </c>
      <c r="W1649" s="1">
        <v>44160</v>
      </c>
      <c r="X1649" t="s">
        <v>56</v>
      </c>
      <c r="AD1649" t="s">
        <v>40</v>
      </c>
      <c r="AI1649" t="s">
        <v>40</v>
      </c>
      <c r="AL1649" t="s">
        <v>40</v>
      </c>
      <c r="AM1649" t="s">
        <v>40</v>
      </c>
    </row>
    <row r="1650" spans="1:39" x14ac:dyDescent="0.3">
      <c r="A1650">
        <v>2020</v>
      </c>
      <c r="B1650">
        <v>2</v>
      </c>
      <c r="C1650" t="str">
        <f t="shared" si="50"/>
        <v>2/01/2020</v>
      </c>
      <c r="D1650" s="1" t="str">
        <f t="shared" si="51"/>
        <v>2/01/2020</v>
      </c>
      <c r="E1650" t="s">
        <v>55</v>
      </c>
      <c r="F1650" t="s">
        <v>51</v>
      </c>
      <c r="G1650" t="s">
        <v>48</v>
      </c>
      <c r="H1650">
        <v>840</v>
      </c>
      <c r="I1650">
        <v>812</v>
      </c>
      <c r="K1650">
        <v>189</v>
      </c>
      <c r="L1650">
        <v>42</v>
      </c>
      <c r="M1650">
        <v>15</v>
      </c>
      <c r="N1650">
        <v>34</v>
      </c>
      <c r="O1650">
        <v>36</v>
      </c>
      <c r="P1650">
        <v>10</v>
      </c>
      <c r="Q1650">
        <v>26</v>
      </c>
      <c r="S1650">
        <v>211</v>
      </c>
      <c r="T1650">
        <v>66</v>
      </c>
      <c r="U1650">
        <v>0</v>
      </c>
      <c r="V1650">
        <v>0</v>
      </c>
      <c r="W1650" s="1">
        <v>44160</v>
      </c>
      <c r="X1650" t="s">
        <v>56</v>
      </c>
      <c r="AA1650" t="s">
        <v>40</v>
      </c>
      <c r="AI1650" t="s">
        <v>40</v>
      </c>
    </row>
    <row r="1651" spans="1:39" x14ac:dyDescent="0.3">
      <c r="A1651">
        <v>2020</v>
      </c>
      <c r="B1651">
        <v>2</v>
      </c>
      <c r="C1651" t="str">
        <f t="shared" si="50"/>
        <v>2/01/2020</v>
      </c>
      <c r="D1651" s="1" t="str">
        <f t="shared" si="51"/>
        <v>2/01/2020</v>
      </c>
      <c r="E1651" t="s">
        <v>55</v>
      </c>
      <c r="F1651" t="s">
        <v>51</v>
      </c>
      <c r="G1651" t="s">
        <v>49</v>
      </c>
      <c r="H1651">
        <v>908</v>
      </c>
      <c r="I1651">
        <v>873</v>
      </c>
      <c r="K1651">
        <v>131</v>
      </c>
      <c r="L1651">
        <v>32</v>
      </c>
      <c r="M1651">
        <v>59</v>
      </c>
      <c r="N1651">
        <v>40</v>
      </c>
      <c r="O1651">
        <v>42</v>
      </c>
      <c r="P1651">
        <v>12</v>
      </c>
      <c r="Q1651">
        <v>23</v>
      </c>
      <c r="S1651">
        <v>238</v>
      </c>
      <c r="T1651">
        <v>75</v>
      </c>
      <c r="U1651">
        <v>0</v>
      </c>
      <c r="V1651">
        <v>0</v>
      </c>
      <c r="W1651" s="1">
        <v>44160</v>
      </c>
      <c r="X1651" t="s">
        <v>56</v>
      </c>
      <c r="AA1651" t="s">
        <v>40</v>
      </c>
      <c r="AI1651" t="s">
        <v>40</v>
      </c>
    </row>
    <row r="1652" spans="1:39" x14ac:dyDescent="0.3">
      <c r="A1652">
        <v>2020</v>
      </c>
      <c r="B1652">
        <v>2</v>
      </c>
      <c r="C1652" t="str">
        <f t="shared" si="50"/>
        <v>2/01/2020</v>
      </c>
      <c r="D1652" s="1" t="str">
        <f t="shared" si="51"/>
        <v>2/01/2020</v>
      </c>
      <c r="E1652" t="s">
        <v>55</v>
      </c>
      <c r="F1652" t="s">
        <v>52</v>
      </c>
      <c r="G1652" t="s">
        <v>39</v>
      </c>
      <c r="H1652">
        <v>308</v>
      </c>
      <c r="I1652">
        <v>267</v>
      </c>
      <c r="J1652">
        <v>0</v>
      </c>
      <c r="L1652">
        <v>0</v>
      </c>
      <c r="M1652">
        <v>0</v>
      </c>
      <c r="R1652">
        <v>44</v>
      </c>
      <c r="U1652">
        <v>0</v>
      </c>
      <c r="V1652">
        <v>0</v>
      </c>
      <c r="W1652" s="1">
        <v>44160</v>
      </c>
      <c r="X1652" t="s">
        <v>56</v>
      </c>
      <c r="AB1652" t="s">
        <v>40</v>
      </c>
      <c r="AE1652" t="s">
        <v>40</v>
      </c>
      <c r="AF1652" t="s">
        <v>40</v>
      </c>
      <c r="AG1652" t="s">
        <v>40</v>
      </c>
      <c r="AH1652" t="s">
        <v>40</v>
      </c>
      <c r="AJ1652" t="s">
        <v>40</v>
      </c>
      <c r="AK1652" t="s">
        <v>40</v>
      </c>
    </row>
    <row r="1653" spans="1:39" x14ac:dyDescent="0.3">
      <c r="A1653">
        <v>2020</v>
      </c>
      <c r="B1653">
        <v>2</v>
      </c>
      <c r="C1653" t="str">
        <f t="shared" si="50"/>
        <v>2/01/2020</v>
      </c>
      <c r="D1653" s="1" t="str">
        <f t="shared" si="51"/>
        <v>2/01/2020</v>
      </c>
      <c r="E1653" t="s">
        <v>55</v>
      </c>
      <c r="F1653" t="s">
        <v>52</v>
      </c>
      <c r="G1653" t="s">
        <v>41</v>
      </c>
      <c r="H1653">
        <v>423</v>
      </c>
      <c r="I1653">
        <v>72</v>
      </c>
      <c r="M1653">
        <v>0</v>
      </c>
      <c r="N1653">
        <v>0</v>
      </c>
      <c r="S1653">
        <v>13</v>
      </c>
      <c r="U1653">
        <v>0</v>
      </c>
      <c r="V1653">
        <v>0</v>
      </c>
      <c r="W1653" s="1">
        <v>44160</v>
      </c>
      <c r="X1653" t="s">
        <v>56</v>
      </c>
      <c r="AA1653" t="s">
        <v>40</v>
      </c>
      <c r="AB1653" t="s">
        <v>40</v>
      </c>
      <c r="AC1653" t="s">
        <v>40</v>
      </c>
      <c r="AF1653" t="s">
        <v>40</v>
      </c>
      <c r="AG1653" t="s">
        <v>40</v>
      </c>
      <c r="AH1653" t="s">
        <v>40</v>
      </c>
      <c r="AI1653" t="s">
        <v>40</v>
      </c>
      <c r="AK1653" t="s">
        <v>40</v>
      </c>
    </row>
    <row r="1654" spans="1:39" x14ac:dyDescent="0.3">
      <c r="A1654">
        <v>2020</v>
      </c>
      <c r="B1654">
        <v>2</v>
      </c>
      <c r="C1654" t="str">
        <f t="shared" si="50"/>
        <v>2/01/2020</v>
      </c>
      <c r="D1654" s="1" t="str">
        <f t="shared" si="51"/>
        <v>2/01/2020</v>
      </c>
      <c r="E1654" t="s">
        <v>55</v>
      </c>
      <c r="F1654" t="s">
        <v>52</v>
      </c>
      <c r="G1654" t="s">
        <v>42</v>
      </c>
      <c r="H1654">
        <v>724</v>
      </c>
      <c r="I1654">
        <v>235</v>
      </c>
      <c r="K1654">
        <v>14</v>
      </c>
      <c r="L1654">
        <v>12</v>
      </c>
      <c r="M1654">
        <v>0</v>
      </c>
      <c r="N1654">
        <v>15</v>
      </c>
      <c r="R1654">
        <v>18</v>
      </c>
      <c r="S1654">
        <v>52</v>
      </c>
      <c r="U1654">
        <v>0</v>
      </c>
      <c r="V1654">
        <v>0</v>
      </c>
      <c r="W1654" s="1">
        <v>44160</v>
      </c>
      <c r="X1654" t="s">
        <v>56</v>
      </c>
      <c r="AA1654" t="s">
        <v>40</v>
      </c>
      <c r="AF1654" t="s">
        <v>40</v>
      </c>
      <c r="AG1654" t="s">
        <v>40</v>
      </c>
      <c r="AH1654" t="s">
        <v>40</v>
      </c>
      <c r="AK1654" t="s">
        <v>40</v>
      </c>
    </row>
    <row r="1655" spans="1:39" x14ac:dyDescent="0.3">
      <c r="A1655">
        <v>2020</v>
      </c>
      <c r="B1655">
        <v>2</v>
      </c>
      <c r="C1655" t="str">
        <f t="shared" si="50"/>
        <v>2/01/2020</v>
      </c>
      <c r="D1655" s="1" t="str">
        <f t="shared" si="51"/>
        <v>2/01/2020</v>
      </c>
      <c r="E1655" t="s">
        <v>55</v>
      </c>
      <c r="F1655" t="s">
        <v>52</v>
      </c>
      <c r="G1655" t="s">
        <v>43</v>
      </c>
      <c r="H1655">
        <v>901</v>
      </c>
      <c r="I1655">
        <v>525</v>
      </c>
      <c r="K1655">
        <v>64</v>
      </c>
      <c r="L1655">
        <v>35</v>
      </c>
      <c r="M1655">
        <v>0</v>
      </c>
      <c r="N1655">
        <v>11</v>
      </c>
      <c r="Q1655">
        <v>14</v>
      </c>
      <c r="R1655">
        <v>19</v>
      </c>
      <c r="S1655">
        <v>171</v>
      </c>
      <c r="T1655">
        <v>27</v>
      </c>
      <c r="U1655">
        <v>0</v>
      </c>
      <c r="V1655">
        <v>0</v>
      </c>
      <c r="W1655" s="1">
        <v>44160</v>
      </c>
      <c r="X1655" t="s">
        <v>56</v>
      </c>
      <c r="AA1655" t="s">
        <v>40</v>
      </c>
      <c r="AF1655" t="s">
        <v>40</v>
      </c>
      <c r="AG1655" t="s">
        <v>40</v>
      </c>
    </row>
    <row r="1656" spans="1:39" x14ac:dyDescent="0.3">
      <c r="A1656">
        <v>2020</v>
      </c>
      <c r="B1656">
        <v>2</v>
      </c>
      <c r="C1656" t="str">
        <f t="shared" si="50"/>
        <v>2/01/2020</v>
      </c>
      <c r="D1656" s="1" t="str">
        <f t="shared" si="51"/>
        <v>2/01/2020</v>
      </c>
      <c r="E1656" t="s">
        <v>55</v>
      </c>
      <c r="F1656" t="s">
        <v>52</v>
      </c>
      <c r="G1656" t="s">
        <v>44</v>
      </c>
      <c r="H1656" s="2">
        <v>1523</v>
      </c>
      <c r="I1656" s="2">
        <v>1167</v>
      </c>
      <c r="J1656">
        <v>30</v>
      </c>
      <c r="K1656">
        <v>181</v>
      </c>
      <c r="L1656">
        <v>73</v>
      </c>
      <c r="M1656">
        <v>0</v>
      </c>
      <c r="N1656">
        <v>38</v>
      </c>
      <c r="O1656">
        <v>22</v>
      </c>
      <c r="P1656">
        <v>12</v>
      </c>
      <c r="Q1656">
        <v>29</v>
      </c>
      <c r="R1656">
        <v>24</v>
      </c>
      <c r="S1656">
        <v>411</v>
      </c>
      <c r="T1656">
        <v>62</v>
      </c>
      <c r="U1656">
        <v>0</v>
      </c>
      <c r="V1656">
        <v>0</v>
      </c>
      <c r="W1656" s="1">
        <v>44160</v>
      </c>
      <c r="X1656" t="s">
        <v>56</v>
      </c>
    </row>
    <row r="1657" spans="1:39" x14ac:dyDescent="0.3">
      <c r="A1657">
        <v>2020</v>
      </c>
      <c r="B1657">
        <v>2</v>
      </c>
      <c r="C1657" t="str">
        <f t="shared" si="50"/>
        <v>2/01/2020</v>
      </c>
      <c r="D1657" s="1" t="str">
        <f t="shared" si="51"/>
        <v>2/01/2020</v>
      </c>
      <c r="E1657" t="s">
        <v>55</v>
      </c>
      <c r="F1657" t="s">
        <v>52</v>
      </c>
      <c r="G1657" t="s">
        <v>45</v>
      </c>
      <c r="H1657">
        <v>62</v>
      </c>
      <c r="I1657">
        <v>42</v>
      </c>
      <c r="L1657">
        <v>0</v>
      </c>
      <c r="M1657">
        <v>0</v>
      </c>
      <c r="P1657">
        <v>0</v>
      </c>
      <c r="Q1657">
        <v>0</v>
      </c>
      <c r="T1657">
        <v>0</v>
      </c>
      <c r="U1657">
        <v>0</v>
      </c>
      <c r="V1657">
        <v>0</v>
      </c>
      <c r="W1657" s="1">
        <v>44160</v>
      </c>
      <c r="X1657" t="s">
        <v>56</v>
      </c>
      <c r="AA1657" t="s">
        <v>40</v>
      </c>
      <c r="AB1657" t="s">
        <v>40</v>
      </c>
      <c r="AE1657" t="s">
        <v>40</v>
      </c>
      <c r="AF1657" t="s">
        <v>40</v>
      </c>
      <c r="AI1657" t="s">
        <v>40</v>
      </c>
      <c r="AJ1657" t="s">
        <v>40</v>
      </c>
    </row>
    <row r="1658" spans="1:39" x14ac:dyDescent="0.3">
      <c r="A1658">
        <v>2020</v>
      </c>
      <c r="B1658">
        <v>2</v>
      </c>
      <c r="C1658" t="str">
        <f t="shared" si="50"/>
        <v>2/01/2020</v>
      </c>
      <c r="D1658" s="1" t="str">
        <f t="shared" si="51"/>
        <v>2/01/2020</v>
      </c>
      <c r="E1658" t="s">
        <v>55</v>
      </c>
      <c r="F1658" t="s">
        <v>52</v>
      </c>
      <c r="G1658" t="s">
        <v>46</v>
      </c>
      <c r="H1658" s="2">
        <v>3374</v>
      </c>
      <c r="I1658" s="2">
        <v>2986</v>
      </c>
      <c r="J1658">
        <v>54</v>
      </c>
      <c r="K1658">
        <v>705</v>
      </c>
      <c r="L1658">
        <v>205</v>
      </c>
      <c r="N1658">
        <v>72</v>
      </c>
      <c r="O1658">
        <v>88</v>
      </c>
      <c r="P1658">
        <v>48</v>
      </c>
      <c r="Q1658">
        <v>93</v>
      </c>
      <c r="R1658">
        <v>30</v>
      </c>
      <c r="S1658">
        <v>961</v>
      </c>
      <c r="T1658">
        <v>150</v>
      </c>
      <c r="U1658">
        <v>0</v>
      </c>
      <c r="V1658">
        <v>0</v>
      </c>
      <c r="W1658" s="1">
        <v>44160</v>
      </c>
      <c r="X1658" t="s">
        <v>56</v>
      </c>
      <c r="AD1658" t="s">
        <v>40</v>
      </c>
    </row>
    <row r="1659" spans="1:39" x14ac:dyDescent="0.3">
      <c r="A1659">
        <v>2020</v>
      </c>
      <c r="B1659">
        <v>2</v>
      </c>
      <c r="C1659" t="str">
        <f t="shared" si="50"/>
        <v>2/01/2020</v>
      </c>
      <c r="D1659" s="1" t="str">
        <f t="shared" si="51"/>
        <v>2/01/2020</v>
      </c>
      <c r="E1659" t="s">
        <v>55</v>
      </c>
      <c r="F1659" t="s">
        <v>52</v>
      </c>
      <c r="G1659" t="s">
        <v>47</v>
      </c>
      <c r="H1659" s="2">
        <v>3850</v>
      </c>
      <c r="I1659" s="2">
        <v>3646</v>
      </c>
      <c r="J1659">
        <v>68</v>
      </c>
      <c r="K1659">
        <v>984</v>
      </c>
      <c r="L1659">
        <v>207</v>
      </c>
      <c r="M1659">
        <v>25</v>
      </c>
      <c r="N1659">
        <v>94</v>
      </c>
      <c r="O1659">
        <v>161</v>
      </c>
      <c r="P1659">
        <v>67</v>
      </c>
      <c r="Q1659">
        <v>116</v>
      </c>
      <c r="R1659">
        <v>44</v>
      </c>
      <c r="S1659" s="2">
        <v>1014</v>
      </c>
      <c r="T1659">
        <v>232</v>
      </c>
      <c r="U1659">
        <v>0</v>
      </c>
      <c r="V1659">
        <v>0</v>
      </c>
      <c r="W1659" s="1">
        <v>44160</v>
      </c>
      <c r="X1659" t="s">
        <v>56</v>
      </c>
    </row>
    <row r="1660" spans="1:39" x14ac:dyDescent="0.3">
      <c r="A1660">
        <v>2020</v>
      </c>
      <c r="B1660">
        <v>2</v>
      </c>
      <c r="C1660" t="str">
        <f t="shared" si="50"/>
        <v>2/01/2020</v>
      </c>
      <c r="D1660" s="1" t="str">
        <f t="shared" si="51"/>
        <v>2/01/2020</v>
      </c>
      <c r="E1660" t="s">
        <v>55</v>
      </c>
      <c r="F1660" t="s">
        <v>52</v>
      </c>
      <c r="G1660" t="s">
        <v>48</v>
      </c>
      <c r="H1660" s="2">
        <v>2853</v>
      </c>
      <c r="I1660" s="2">
        <v>2781</v>
      </c>
      <c r="J1660">
        <v>58</v>
      </c>
      <c r="K1660">
        <v>652</v>
      </c>
      <c r="L1660">
        <v>140</v>
      </c>
      <c r="M1660">
        <v>90</v>
      </c>
      <c r="N1660">
        <v>46</v>
      </c>
      <c r="O1660">
        <v>140</v>
      </c>
      <c r="P1660">
        <v>40</v>
      </c>
      <c r="Q1660">
        <v>95</v>
      </c>
      <c r="R1660">
        <v>25</v>
      </c>
      <c r="S1660">
        <v>752</v>
      </c>
      <c r="T1660">
        <v>179</v>
      </c>
      <c r="U1660">
        <v>0</v>
      </c>
      <c r="V1660">
        <v>0</v>
      </c>
      <c r="W1660" s="1">
        <v>44160</v>
      </c>
      <c r="X1660" t="s">
        <v>56</v>
      </c>
    </row>
    <row r="1661" spans="1:39" x14ac:dyDescent="0.3">
      <c r="A1661">
        <v>2020</v>
      </c>
      <c r="B1661">
        <v>2</v>
      </c>
      <c r="C1661" t="str">
        <f t="shared" si="50"/>
        <v>2/01/2020</v>
      </c>
      <c r="D1661" s="1" t="str">
        <f t="shared" si="51"/>
        <v>2/01/2020</v>
      </c>
      <c r="E1661" t="s">
        <v>55</v>
      </c>
      <c r="F1661" t="s">
        <v>52</v>
      </c>
      <c r="G1661" t="s">
        <v>49</v>
      </c>
      <c r="H1661" s="2">
        <v>1776</v>
      </c>
      <c r="I1661" s="2">
        <v>1738</v>
      </c>
      <c r="J1661">
        <v>35</v>
      </c>
      <c r="K1661">
        <v>282</v>
      </c>
      <c r="L1661">
        <v>75</v>
      </c>
      <c r="M1661">
        <v>69</v>
      </c>
      <c r="N1661">
        <v>50</v>
      </c>
      <c r="O1661">
        <v>87</v>
      </c>
      <c r="P1661">
        <v>18</v>
      </c>
      <c r="Q1661">
        <v>60</v>
      </c>
      <c r="R1661">
        <v>13</v>
      </c>
      <c r="S1661">
        <v>492</v>
      </c>
      <c r="T1661">
        <v>125</v>
      </c>
      <c r="U1661">
        <v>0</v>
      </c>
      <c r="V1661">
        <v>0</v>
      </c>
      <c r="W1661" s="1">
        <v>44160</v>
      </c>
      <c r="X1661" t="s">
        <v>56</v>
      </c>
    </row>
    <row r="1662" spans="1:39" x14ac:dyDescent="0.3">
      <c r="A1662">
        <v>2020</v>
      </c>
      <c r="B1662">
        <v>2</v>
      </c>
      <c r="C1662" t="str">
        <f t="shared" si="50"/>
        <v>2/01/2020</v>
      </c>
      <c r="D1662" s="1" t="str">
        <f t="shared" si="51"/>
        <v>2/01/2020</v>
      </c>
      <c r="E1662" t="s">
        <v>55</v>
      </c>
      <c r="F1662" t="s">
        <v>53</v>
      </c>
      <c r="G1662" t="s">
        <v>39</v>
      </c>
      <c r="H1662">
        <v>433</v>
      </c>
      <c r="I1662">
        <v>386</v>
      </c>
      <c r="K1662">
        <v>12</v>
      </c>
      <c r="L1662">
        <v>0</v>
      </c>
      <c r="M1662">
        <v>0</v>
      </c>
      <c r="N1662">
        <v>10</v>
      </c>
      <c r="P1662">
        <v>11</v>
      </c>
      <c r="R1662">
        <v>46</v>
      </c>
      <c r="U1662">
        <v>0</v>
      </c>
      <c r="V1662">
        <v>0</v>
      </c>
      <c r="W1662" s="1">
        <v>44160</v>
      </c>
      <c r="X1662" t="s">
        <v>56</v>
      </c>
      <c r="AA1662" t="s">
        <v>40</v>
      </c>
      <c r="AF1662" t="s">
        <v>40</v>
      </c>
      <c r="AH1662" t="s">
        <v>40</v>
      </c>
      <c r="AJ1662" t="s">
        <v>40</v>
      </c>
      <c r="AK1662" t="s">
        <v>40</v>
      </c>
    </row>
    <row r="1663" spans="1:39" x14ac:dyDescent="0.3">
      <c r="A1663">
        <v>2020</v>
      </c>
      <c r="B1663">
        <v>2</v>
      </c>
      <c r="C1663" t="str">
        <f t="shared" si="50"/>
        <v>2/01/2020</v>
      </c>
      <c r="D1663" s="1" t="str">
        <f t="shared" si="51"/>
        <v>2/01/2020</v>
      </c>
      <c r="E1663" t="s">
        <v>55</v>
      </c>
      <c r="F1663" t="s">
        <v>53</v>
      </c>
      <c r="G1663" t="s">
        <v>41</v>
      </c>
      <c r="H1663">
        <v>810</v>
      </c>
      <c r="I1663">
        <v>149</v>
      </c>
      <c r="K1663">
        <v>22</v>
      </c>
      <c r="M1663">
        <v>0</v>
      </c>
      <c r="N1663">
        <v>11</v>
      </c>
      <c r="R1663">
        <v>16</v>
      </c>
      <c r="S1663">
        <v>16</v>
      </c>
      <c r="U1663">
        <v>0</v>
      </c>
      <c r="V1663">
        <v>0</v>
      </c>
      <c r="W1663" s="1">
        <v>44160</v>
      </c>
      <c r="X1663" t="s">
        <v>56</v>
      </c>
      <c r="AA1663" t="s">
        <v>40</v>
      </c>
      <c r="AC1663" t="s">
        <v>40</v>
      </c>
      <c r="AF1663" t="s">
        <v>40</v>
      </c>
      <c r="AG1663" t="s">
        <v>40</v>
      </c>
      <c r="AH1663" t="s">
        <v>40</v>
      </c>
      <c r="AK1663" t="s">
        <v>40</v>
      </c>
    </row>
    <row r="1664" spans="1:39" x14ac:dyDescent="0.3">
      <c r="A1664">
        <v>2020</v>
      </c>
      <c r="B1664">
        <v>2</v>
      </c>
      <c r="C1664" t="str">
        <f t="shared" si="50"/>
        <v>2/01/2020</v>
      </c>
      <c r="D1664" s="1" t="str">
        <f t="shared" si="51"/>
        <v>2/01/2020</v>
      </c>
      <c r="E1664" t="s">
        <v>55</v>
      </c>
      <c r="F1664" t="s">
        <v>53</v>
      </c>
      <c r="G1664" t="s">
        <v>42</v>
      </c>
      <c r="H1664" s="2">
        <v>1938</v>
      </c>
      <c r="I1664">
        <v>528</v>
      </c>
      <c r="K1664">
        <v>74</v>
      </c>
      <c r="L1664">
        <v>36</v>
      </c>
      <c r="M1664">
        <v>0</v>
      </c>
      <c r="N1664">
        <v>29</v>
      </c>
      <c r="R1664">
        <v>57</v>
      </c>
      <c r="S1664">
        <v>88</v>
      </c>
      <c r="U1664">
        <v>0</v>
      </c>
      <c r="V1664">
        <v>0</v>
      </c>
      <c r="W1664" s="1">
        <v>44160</v>
      </c>
      <c r="X1664" t="s">
        <v>56</v>
      </c>
      <c r="AA1664" t="s">
        <v>40</v>
      </c>
      <c r="AF1664" t="s">
        <v>40</v>
      </c>
      <c r="AG1664" t="s">
        <v>40</v>
      </c>
      <c r="AH1664" t="s">
        <v>40</v>
      </c>
      <c r="AK1664" t="s">
        <v>40</v>
      </c>
    </row>
    <row r="1665" spans="1:39" x14ac:dyDescent="0.3">
      <c r="A1665">
        <v>2020</v>
      </c>
      <c r="B1665">
        <v>2</v>
      </c>
      <c r="C1665" t="str">
        <f t="shared" si="50"/>
        <v>2/01/2020</v>
      </c>
      <c r="D1665" s="1" t="str">
        <f t="shared" si="51"/>
        <v>2/01/2020</v>
      </c>
      <c r="E1665" t="s">
        <v>55</v>
      </c>
      <c r="F1665" t="s">
        <v>53</v>
      </c>
      <c r="G1665" t="s">
        <v>43</v>
      </c>
      <c r="H1665" s="2">
        <v>2632</v>
      </c>
      <c r="I1665" s="2">
        <v>1266</v>
      </c>
      <c r="J1665">
        <v>17</v>
      </c>
      <c r="K1665">
        <v>219</v>
      </c>
      <c r="L1665">
        <v>51</v>
      </c>
      <c r="M1665">
        <v>0</v>
      </c>
      <c r="N1665">
        <v>62</v>
      </c>
      <c r="O1665">
        <v>18</v>
      </c>
      <c r="P1665">
        <v>14</v>
      </c>
      <c r="Q1665">
        <v>14</v>
      </c>
      <c r="R1665">
        <v>59</v>
      </c>
      <c r="S1665">
        <v>314</v>
      </c>
      <c r="T1665">
        <v>38</v>
      </c>
      <c r="U1665">
        <v>0</v>
      </c>
      <c r="V1665">
        <v>0</v>
      </c>
      <c r="W1665" s="1">
        <v>44160</v>
      </c>
      <c r="X1665" t="s">
        <v>56</v>
      </c>
    </row>
    <row r="1666" spans="1:39" x14ac:dyDescent="0.3">
      <c r="A1666">
        <v>2020</v>
      </c>
      <c r="B1666">
        <v>2</v>
      </c>
      <c r="C1666" t="str">
        <f t="shared" si="50"/>
        <v>2/01/2020</v>
      </c>
      <c r="D1666" s="1" t="str">
        <f t="shared" si="51"/>
        <v>2/01/2020</v>
      </c>
      <c r="E1666" t="s">
        <v>55</v>
      </c>
      <c r="F1666" t="s">
        <v>53</v>
      </c>
      <c r="G1666" t="s">
        <v>44</v>
      </c>
      <c r="H1666" s="2">
        <v>5140</v>
      </c>
      <c r="I1666" s="2">
        <v>3773</v>
      </c>
      <c r="J1666">
        <v>56</v>
      </c>
      <c r="K1666">
        <v>900</v>
      </c>
      <c r="L1666">
        <v>179</v>
      </c>
      <c r="N1666">
        <v>107</v>
      </c>
      <c r="O1666">
        <v>116</v>
      </c>
      <c r="P1666">
        <v>45</v>
      </c>
      <c r="Q1666">
        <v>50</v>
      </c>
      <c r="R1666">
        <v>72</v>
      </c>
      <c r="S1666" s="2">
        <v>1107</v>
      </c>
      <c r="T1666">
        <v>130</v>
      </c>
      <c r="W1666" s="1">
        <v>44160</v>
      </c>
      <c r="X1666" t="s">
        <v>56</v>
      </c>
      <c r="AD1666" t="s">
        <v>40</v>
      </c>
      <c r="AL1666" t="s">
        <v>40</v>
      </c>
      <c r="AM1666" t="s">
        <v>40</v>
      </c>
    </row>
    <row r="1667" spans="1:39" x14ac:dyDescent="0.3">
      <c r="A1667">
        <v>2020</v>
      </c>
      <c r="B1667">
        <v>2</v>
      </c>
      <c r="C1667" t="str">
        <f t="shared" ref="C1667:C1730" si="52">CONCATENATE(B1667,"/01/",A1667)</f>
        <v>2/01/2020</v>
      </c>
      <c r="D1667" s="1" t="str">
        <f t="shared" ref="D1667:D1730" si="53">C1667</f>
        <v>2/01/2020</v>
      </c>
      <c r="E1667" t="s">
        <v>55</v>
      </c>
      <c r="F1667" t="s">
        <v>53</v>
      </c>
      <c r="G1667" t="s">
        <v>45</v>
      </c>
      <c r="H1667">
        <v>125</v>
      </c>
      <c r="I1667">
        <v>75</v>
      </c>
      <c r="K1667">
        <v>19</v>
      </c>
      <c r="L1667">
        <v>0</v>
      </c>
      <c r="M1667">
        <v>0</v>
      </c>
      <c r="Q1667">
        <v>0</v>
      </c>
      <c r="S1667">
        <v>0</v>
      </c>
      <c r="T1667">
        <v>0</v>
      </c>
      <c r="U1667">
        <v>0</v>
      </c>
      <c r="V1667">
        <v>0</v>
      </c>
      <c r="W1667" s="1">
        <v>44160</v>
      </c>
      <c r="X1667" t="s">
        <v>56</v>
      </c>
      <c r="AA1667" t="s">
        <v>40</v>
      </c>
      <c r="AE1667" t="s">
        <v>40</v>
      </c>
      <c r="AF1667" t="s">
        <v>40</v>
      </c>
      <c r="AG1667" t="s">
        <v>40</v>
      </c>
      <c r="AI1667" t="s">
        <v>40</v>
      </c>
    </row>
    <row r="1668" spans="1:39" x14ac:dyDescent="0.3">
      <c r="A1668">
        <v>2020</v>
      </c>
      <c r="B1668">
        <v>2</v>
      </c>
      <c r="C1668" t="str">
        <f t="shared" si="52"/>
        <v>2/01/2020</v>
      </c>
      <c r="D1668" s="1" t="str">
        <f t="shared" si="53"/>
        <v>2/01/2020</v>
      </c>
      <c r="E1668" t="s">
        <v>55</v>
      </c>
      <c r="F1668" t="s">
        <v>53</v>
      </c>
      <c r="G1668" t="s">
        <v>46</v>
      </c>
      <c r="H1668" s="2">
        <v>13511</v>
      </c>
      <c r="I1668" s="2">
        <v>12049</v>
      </c>
      <c r="J1668">
        <v>184</v>
      </c>
      <c r="K1668" s="2">
        <v>3474</v>
      </c>
      <c r="L1668">
        <v>549</v>
      </c>
      <c r="M1668">
        <v>36</v>
      </c>
      <c r="N1668">
        <v>292</v>
      </c>
      <c r="O1668">
        <v>747</v>
      </c>
      <c r="P1668">
        <v>145</v>
      </c>
      <c r="Q1668">
        <v>182</v>
      </c>
      <c r="R1668">
        <v>134</v>
      </c>
      <c r="S1668" s="2">
        <v>3277</v>
      </c>
      <c r="T1668">
        <v>403</v>
      </c>
      <c r="U1668">
        <v>0</v>
      </c>
      <c r="V1668">
        <v>0</v>
      </c>
      <c r="W1668" s="1">
        <v>44160</v>
      </c>
      <c r="X1668" t="s">
        <v>56</v>
      </c>
    </row>
    <row r="1669" spans="1:39" x14ac:dyDescent="0.3">
      <c r="A1669">
        <v>2020</v>
      </c>
      <c r="B1669">
        <v>2</v>
      </c>
      <c r="C1669" t="str">
        <f t="shared" si="52"/>
        <v>2/01/2020</v>
      </c>
      <c r="D1669" s="1" t="str">
        <f t="shared" si="53"/>
        <v>2/01/2020</v>
      </c>
      <c r="E1669" t="s">
        <v>55</v>
      </c>
      <c r="F1669" t="s">
        <v>53</v>
      </c>
      <c r="G1669" t="s">
        <v>47</v>
      </c>
      <c r="H1669" s="2">
        <v>20780</v>
      </c>
      <c r="I1669" s="2">
        <v>19743</v>
      </c>
      <c r="J1669">
        <v>263</v>
      </c>
      <c r="K1669" s="2">
        <v>5990</v>
      </c>
      <c r="L1669">
        <v>794</v>
      </c>
      <c r="M1669">
        <v>227</v>
      </c>
      <c r="N1669">
        <v>429</v>
      </c>
      <c r="O1669" s="2">
        <v>1533</v>
      </c>
      <c r="P1669">
        <v>388</v>
      </c>
      <c r="Q1669">
        <v>349</v>
      </c>
      <c r="R1669">
        <v>189</v>
      </c>
      <c r="S1669" s="2">
        <v>5166</v>
      </c>
      <c r="T1669">
        <v>715</v>
      </c>
      <c r="U1669">
        <v>0</v>
      </c>
      <c r="V1669">
        <v>0</v>
      </c>
      <c r="W1669" s="1">
        <v>44160</v>
      </c>
      <c r="X1669" t="s">
        <v>56</v>
      </c>
    </row>
    <row r="1670" spans="1:39" x14ac:dyDescent="0.3">
      <c r="A1670">
        <v>2020</v>
      </c>
      <c r="B1670">
        <v>2</v>
      </c>
      <c r="C1670" t="str">
        <f t="shared" si="52"/>
        <v>2/01/2020</v>
      </c>
      <c r="D1670" s="1" t="str">
        <f t="shared" si="53"/>
        <v>2/01/2020</v>
      </c>
      <c r="E1670" t="s">
        <v>55</v>
      </c>
      <c r="F1670" t="s">
        <v>53</v>
      </c>
      <c r="G1670" t="s">
        <v>48</v>
      </c>
      <c r="H1670" s="2">
        <v>24609</v>
      </c>
      <c r="I1670" s="2">
        <v>23690</v>
      </c>
      <c r="J1670">
        <v>332</v>
      </c>
      <c r="K1670" s="2">
        <v>5762</v>
      </c>
      <c r="L1670">
        <v>741</v>
      </c>
      <c r="M1670">
        <v>910</v>
      </c>
      <c r="N1670">
        <v>556</v>
      </c>
      <c r="O1670" s="2">
        <v>1900</v>
      </c>
      <c r="P1670">
        <v>608</v>
      </c>
      <c r="Q1670">
        <v>444</v>
      </c>
      <c r="R1670">
        <v>193</v>
      </c>
      <c r="S1670" s="2">
        <v>6119</v>
      </c>
      <c r="T1670" s="2">
        <v>1238</v>
      </c>
      <c r="W1670" s="1">
        <v>44160</v>
      </c>
      <c r="X1670" t="s">
        <v>56</v>
      </c>
      <c r="AL1670" t="s">
        <v>40</v>
      </c>
      <c r="AM1670" t="s">
        <v>40</v>
      </c>
    </row>
    <row r="1671" spans="1:39" x14ac:dyDescent="0.3">
      <c r="A1671">
        <v>2020</v>
      </c>
      <c r="B1671">
        <v>2</v>
      </c>
      <c r="C1671" t="str">
        <f t="shared" si="52"/>
        <v>2/01/2020</v>
      </c>
      <c r="D1671" s="1" t="str">
        <f t="shared" si="53"/>
        <v>2/01/2020</v>
      </c>
      <c r="E1671" t="s">
        <v>55</v>
      </c>
      <c r="F1671" t="s">
        <v>53</v>
      </c>
      <c r="G1671" t="s">
        <v>49</v>
      </c>
      <c r="H1671" s="2">
        <v>24601</v>
      </c>
      <c r="I1671" s="2">
        <v>23670</v>
      </c>
      <c r="J1671">
        <v>291</v>
      </c>
      <c r="K1671" s="2">
        <v>3352</v>
      </c>
      <c r="L1671">
        <v>520</v>
      </c>
      <c r="M1671" s="2">
        <v>1468</v>
      </c>
      <c r="N1671">
        <v>753</v>
      </c>
      <c r="O1671" s="2">
        <v>1310</v>
      </c>
      <c r="P1671">
        <v>428</v>
      </c>
      <c r="Q1671">
        <v>563</v>
      </c>
      <c r="R1671">
        <v>272</v>
      </c>
      <c r="S1671" s="2">
        <v>7599</v>
      </c>
      <c r="T1671" s="2">
        <v>1459</v>
      </c>
      <c r="U1671">
        <v>0</v>
      </c>
      <c r="V1671">
        <v>0</v>
      </c>
      <c r="W1671" s="1">
        <v>44160</v>
      </c>
      <c r="X1671" t="s">
        <v>56</v>
      </c>
    </row>
    <row r="1672" spans="1:39" x14ac:dyDescent="0.3">
      <c r="A1672">
        <v>2020</v>
      </c>
      <c r="B1672">
        <v>2</v>
      </c>
      <c r="C1672" t="str">
        <f t="shared" si="52"/>
        <v>2/01/2020</v>
      </c>
      <c r="D1672" s="1" t="str">
        <f t="shared" si="53"/>
        <v>2/01/2020</v>
      </c>
      <c r="E1672" t="s">
        <v>55</v>
      </c>
      <c r="F1672" t="s">
        <v>54</v>
      </c>
      <c r="G1672" t="s">
        <v>39</v>
      </c>
      <c r="H1672">
        <v>47</v>
      </c>
      <c r="I1672">
        <v>44</v>
      </c>
      <c r="L1672">
        <v>0</v>
      </c>
      <c r="M1672">
        <v>0</v>
      </c>
      <c r="O1672">
        <v>0</v>
      </c>
      <c r="Q1672">
        <v>0</v>
      </c>
      <c r="S1672">
        <v>0</v>
      </c>
      <c r="U1672">
        <v>0</v>
      </c>
      <c r="V1672">
        <v>0</v>
      </c>
      <c r="W1672" s="1">
        <v>44160</v>
      </c>
      <c r="X1672" t="s">
        <v>56</v>
      </c>
      <c r="AA1672" t="s">
        <v>40</v>
      </c>
      <c r="AB1672" t="s">
        <v>40</v>
      </c>
      <c r="AE1672" t="s">
        <v>40</v>
      </c>
      <c r="AG1672" t="s">
        <v>40</v>
      </c>
      <c r="AI1672" t="s">
        <v>40</v>
      </c>
      <c r="AK1672" t="s">
        <v>40</v>
      </c>
    </row>
    <row r="1673" spans="1:39" x14ac:dyDescent="0.3">
      <c r="A1673">
        <v>2020</v>
      </c>
      <c r="B1673">
        <v>2</v>
      </c>
      <c r="C1673" t="str">
        <f t="shared" si="52"/>
        <v>2/01/2020</v>
      </c>
      <c r="D1673" s="1" t="str">
        <f t="shared" si="53"/>
        <v>2/01/2020</v>
      </c>
      <c r="E1673" t="s">
        <v>55</v>
      </c>
      <c r="F1673" t="s">
        <v>54</v>
      </c>
      <c r="G1673" t="s">
        <v>41</v>
      </c>
      <c r="H1673">
        <v>36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U1673">
        <v>0</v>
      </c>
      <c r="V1673">
        <v>0</v>
      </c>
      <c r="W1673" s="1">
        <v>44160</v>
      </c>
      <c r="X1673" t="s">
        <v>56</v>
      </c>
      <c r="Z1673" t="s">
        <v>40</v>
      </c>
      <c r="AA1673" t="s">
        <v>40</v>
      </c>
      <c r="AB1673" t="s">
        <v>40</v>
      </c>
      <c r="AI1673" t="s">
        <v>40</v>
      </c>
      <c r="AJ1673" t="s">
        <v>40</v>
      </c>
      <c r="AK1673" t="s">
        <v>40</v>
      </c>
    </row>
    <row r="1674" spans="1:39" x14ac:dyDescent="0.3">
      <c r="A1674">
        <v>2020</v>
      </c>
      <c r="B1674">
        <v>2</v>
      </c>
      <c r="C1674" t="str">
        <f t="shared" si="52"/>
        <v>2/01/2020</v>
      </c>
      <c r="D1674" s="1" t="str">
        <f t="shared" si="53"/>
        <v>2/01/2020</v>
      </c>
      <c r="E1674" t="s">
        <v>55</v>
      </c>
      <c r="F1674" t="s">
        <v>54</v>
      </c>
      <c r="G1674" t="s">
        <v>42</v>
      </c>
      <c r="H1674">
        <v>60</v>
      </c>
      <c r="I1674">
        <v>18</v>
      </c>
      <c r="J1674">
        <v>0</v>
      </c>
      <c r="L1674">
        <v>0</v>
      </c>
      <c r="M1674">
        <v>0</v>
      </c>
      <c r="N1674">
        <v>0</v>
      </c>
      <c r="P1674">
        <v>0</v>
      </c>
      <c r="Q1674">
        <v>0</v>
      </c>
      <c r="T1674">
        <v>0</v>
      </c>
      <c r="U1674">
        <v>0</v>
      </c>
      <c r="V1674">
        <v>0</v>
      </c>
      <c r="W1674" s="1">
        <v>44160</v>
      </c>
      <c r="X1674" t="s">
        <v>56</v>
      </c>
      <c r="AB1674" t="s">
        <v>40</v>
      </c>
      <c r="AF1674" t="s">
        <v>40</v>
      </c>
      <c r="AI1674" t="s">
        <v>40</v>
      </c>
      <c r="AJ1674" t="s">
        <v>40</v>
      </c>
    </row>
    <row r="1675" spans="1:39" x14ac:dyDescent="0.3">
      <c r="A1675">
        <v>2020</v>
      </c>
      <c r="B1675">
        <v>2</v>
      </c>
      <c r="C1675" t="str">
        <f t="shared" si="52"/>
        <v>2/01/2020</v>
      </c>
      <c r="D1675" s="1" t="str">
        <f t="shared" si="53"/>
        <v>2/01/2020</v>
      </c>
      <c r="E1675" t="s">
        <v>55</v>
      </c>
      <c r="F1675" t="s">
        <v>54</v>
      </c>
      <c r="G1675" t="s">
        <v>43</v>
      </c>
      <c r="H1675">
        <v>61</v>
      </c>
      <c r="I1675">
        <v>30</v>
      </c>
      <c r="M1675">
        <v>0</v>
      </c>
      <c r="O1675">
        <v>0</v>
      </c>
      <c r="Q1675">
        <v>0</v>
      </c>
      <c r="T1675">
        <v>0</v>
      </c>
      <c r="U1675">
        <v>0</v>
      </c>
      <c r="V1675">
        <v>0</v>
      </c>
      <c r="W1675" s="1">
        <v>44160</v>
      </c>
      <c r="X1675" t="s">
        <v>56</v>
      </c>
      <c r="AA1675" t="s">
        <v>40</v>
      </c>
      <c r="AB1675" t="s">
        <v>40</v>
      </c>
      <c r="AC1675" t="s">
        <v>40</v>
      </c>
      <c r="AE1675" t="s">
        <v>40</v>
      </c>
      <c r="AG1675" t="s">
        <v>40</v>
      </c>
      <c r="AI1675" t="s">
        <v>40</v>
      </c>
      <c r="AJ1675" t="s">
        <v>40</v>
      </c>
    </row>
    <row r="1676" spans="1:39" x14ac:dyDescent="0.3">
      <c r="A1676">
        <v>2020</v>
      </c>
      <c r="B1676">
        <v>2</v>
      </c>
      <c r="C1676" t="str">
        <f t="shared" si="52"/>
        <v>2/01/2020</v>
      </c>
      <c r="D1676" s="1" t="str">
        <f t="shared" si="53"/>
        <v>2/01/2020</v>
      </c>
      <c r="E1676" t="s">
        <v>55</v>
      </c>
      <c r="F1676" t="s">
        <v>54</v>
      </c>
      <c r="G1676" t="s">
        <v>44</v>
      </c>
      <c r="H1676">
        <v>111</v>
      </c>
      <c r="I1676">
        <v>82</v>
      </c>
      <c r="J1676">
        <v>0</v>
      </c>
      <c r="L1676">
        <v>10</v>
      </c>
      <c r="M1676">
        <v>0</v>
      </c>
      <c r="S1676">
        <v>28</v>
      </c>
      <c r="U1676">
        <v>0</v>
      </c>
      <c r="V1676">
        <v>0</v>
      </c>
      <c r="W1676" s="1">
        <v>44160</v>
      </c>
      <c r="X1676" t="s">
        <v>56</v>
      </c>
      <c r="AB1676" t="s">
        <v>40</v>
      </c>
      <c r="AE1676" t="s">
        <v>40</v>
      </c>
      <c r="AF1676" t="s">
        <v>40</v>
      </c>
      <c r="AG1676" t="s">
        <v>40</v>
      </c>
      <c r="AH1676" t="s">
        <v>40</v>
      </c>
      <c r="AI1676" t="s">
        <v>40</v>
      </c>
      <c r="AK1676" t="s">
        <v>40</v>
      </c>
    </row>
    <row r="1677" spans="1:39" x14ac:dyDescent="0.3">
      <c r="A1677">
        <v>2020</v>
      </c>
      <c r="B1677">
        <v>2</v>
      </c>
      <c r="C1677" t="str">
        <f t="shared" si="52"/>
        <v>2/01/2020</v>
      </c>
      <c r="D1677" s="1" t="str">
        <f t="shared" si="53"/>
        <v>2/01/2020</v>
      </c>
      <c r="E1677" t="s">
        <v>55</v>
      </c>
      <c r="F1677" t="s">
        <v>54</v>
      </c>
      <c r="G1677" t="s">
        <v>45</v>
      </c>
      <c r="H1677">
        <v>10</v>
      </c>
      <c r="J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S1677">
        <v>0</v>
      </c>
      <c r="T1677">
        <v>0</v>
      </c>
      <c r="U1677">
        <v>0</v>
      </c>
      <c r="V1677">
        <v>0</v>
      </c>
      <c r="W1677" s="1">
        <v>44160</v>
      </c>
      <c r="X1677" t="s">
        <v>56</v>
      </c>
      <c r="Z1677" t="s">
        <v>40</v>
      </c>
      <c r="AB1677" t="s">
        <v>40</v>
      </c>
      <c r="AI1677" t="s">
        <v>40</v>
      </c>
    </row>
    <row r="1678" spans="1:39" x14ac:dyDescent="0.3">
      <c r="A1678">
        <v>2020</v>
      </c>
      <c r="B1678">
        <v>2</v>
      </c>
      <c r="C1678" t="str">
        <f t="shared" si="52"/>
        <v>2/01/2020</v>
      </c>
      <c r="D1678" s="1" t="str">
        <f t="shared" si="53"/>
        <v>2/01/2020</v>
      </c>
      <c r="E1678" t="s">
        <v>55</v>
      </c>
      <c r="F1678" t="s">
        <v>54</v>
      </c>
      <c r="G1678" t="s">
        <v>46</v>
      </c>
      <c r="H1678">
        <v>229</v>
      </c>
      <c r="I1678">
        <v>203</v>
      </c>
      <c r="K1678">
        <v>39</v>
      </c>
      <c r="L1678">
        <v>13</v>
      </c>
      <c r="O1678">
        <v>12</v>
      </c>
      <c r="S1678">
        <v>70</v>
      </c>
      <c r="U1678">
        <v>0</v>
      </c>
      <c r="V1678">
        <v>0</v>
      </c>
      <c r="W1678" s="1">
        <v>44160</v>
      </c>
      <c r="X1678" t="s">
        <v>56</v>
      </c>
      <c r="AA1678" t="s">
        <v>40</v>
      </c>
      <c r="AD1678" t="s">
        <v>40</v>
      </c>
      <c r="AE1678" t="s">
        <v>40</v>
      </c>
      <c r="AG1678" t="s">
        <v>40</v>
      </c>
      <c r="AH1678" t="s">
        <v>40</v>
      </c>
      <c r="AI1678" t="s">
        <v>40</v>
      </c>
      <c r="AK1678" t="s">
        <v>40</v>
      </c>
    </row>
    <row r="1679" spans="1:39" x14ac:dyDescent="0.3">
      <c r="A1679">
        <v>2020</v>
      </c>
      <c r="B1679">
        <v>2</v>
      </c>
      <c r="C1679" t="str">
        <f t="shared" si="52"/>
        <v>2/01/2020</v>
      </c>
      <c r="D1679" s="1" t="str">
        <f t="shared" si="53"/>
        <v>2/01/2020</v>
      </c>
      <c r="E1679" t="s">
        <v>55</v>
      </c>
      <c r="F1679" t="s">
        <v>54</v>
      </c>
      <c r="G1679" t="s">
        <v>47</v>
      </c>
      <c r="H1679">
        <v>270</v>
      </c>
      <c r="I1679">
        <v>249</v>
      </c>
      <c r="K1679">
        <v>54</v>
      </c>
      <c r="L1679">
        <v>15</v>
      </c>
      <c r="O1679">
        <v>20</v>
      </c>
      <c r="S1679">
        <v>91</v>
      </c>
      <c r="T1679">
        <v>10</v>
      </c>
      <c r="U1679">
        <v>0</v>
      </c>
      <c r="V1679">
        <v>0</v>
      </c>
      <c r="W1679" s="1">
        <v>44160</v>
      </c>
      <c r="X1679" t="s">
        <v>56</v>
      </c>
      <c r="AA1679" t="s">
        <v>40</v>
      </c>
      <c r="AD1679" t="s">
        <v>40</v>
      </c>
      <c r="AE1679" t="s">
        <v>40</v>
      </c>
      <c r="AG1679" t="s">
        <v>40</v>
      </c>
      <c r="AH1679" t="s">
        <v>40</v>
      </c>
      <c r="AI1679" t="s">
        <v>40</v>
      </c>
    </row>
    <row r="1680" spans="1:39" x14ac:dyDescent="0.3">
      <c r="A1680">
        <v>2020</v>
      </c>
      <c r="B1680">
        <v>2</v>
      </c>
      <c r="C1680" t="str">
        <f t="shared" si="52"/>
        <v>2/01/2020</v>
      </c>
      <c r="D1680" s="1" t="str">
        <f t="shared" si="53"/>
        <v>2/01/2020</v>
      </c>
      <c r="E1680" t="s">
        <v>55</v>
      </c>
      <c r="F1680" t="s">
        <v>54</v>
      </c>
      <c r="G1680" t="s">
        <v>48</v>
      </c>
      <c r="H1680">
        <v>207</v>
      </c>
      <c r="I1680">
        <v>201</v>
      </c>
      <c r="K1680">
        <v>35</v>
      </c>
      <c r="L1680">
        <v>11</v>
      </c>
      <c r="M1680">
        <v>12</v>
      </c>
      <c r="O1680">
        <v>14</v>
      </c>
      <c r="S1680">
        <v>59</v>
      </c>
      <c r="U1680">
        <v>0</v>
      </c>
      <c r="V1680">
        <v>0</v>
      </c>
      <c r="W1680" s="1">
        <v>44160</v>
      </c>
      <c r="X1680" t="s">
        <v>56</v>
      </c>
      <c r="AA1680" t="s">
        <v>40</v>
      </c>
      <c r="AE1680" t="s">
        <v>40</v>
      </c>
      <c r="AG1680" t="s">
        <v>40</v>
      </c>
      <c r="AH1680" t="s">
        <v>40</v>
      </c>
      <c r="AI1680" t="s">
        <v>40</v>
      </c>
      <c r="AK1680" t="s">
        <v>40</v>
      </c>
    </row>
    <row r="1681" spans="1:39" x14ac:dyDescent="0.3">
      <c r="A1681">
        <v>2020</v>
      </c>
      <c r="B1681">
        <v>2</v>
      </c>
      <c r="C1681" t="str">
        <f t="shared" si="52"/>
        <v>2/01/2020</v>
      </c>
      <c r="D1681" s="1" t="str">
        <f t="shared" si="53"/>
        <v>2/01/2020</v>
      </c>
      <c r="E1681" t="s">
        <v>55</v>
      </c>
      <c r="F1681" t="s">
        <v>54</v>
      </c>
      <c r="G1681" t="s">
        <v>49</v>
      </c>
      <c r="H1681">
        <v>123</v>
      </c>
      <c r="I1681">
        <v>117</v>
      </c>
      <c r="K1681">
        <v>15</v>
      </c>
      <c r="P1681">
        <v>0</v>
      </c>
      <c r="S1681">
        <v>35</v>
      </c>
      <c r="T1681">
        <v>10</v>
      </c>
      <c r="U1681">
        <v>0</v>
      </c>
      <c r="V1681">
        <v>0</v>
      </c>
      <c r="W1681" s="1">
        <v>44160</v>
      </c>
      <c r="X1681" t="s">
        <v>56</v>
      </c>
      <c r="AA1681" t="s">
        <v>40</v>
      </c>
      <c r="AC1681" t="s">
        <v>40</v>
      </c>
      <c r="AD1681" t="s">
        <v>40</v>
      </c>
      <c r="AE1681" t="s">
        <v>40</v>
      </c>
      <c r="AF1681" t="s">
        <v>40</v>
      </c>
      <c r="AH1681" t="s">
        <v>40</v>
      </c>
      <c r="AI1681" t="s">
        <v>40</v>
      </c>
    </row>
    <row r="1682" spans="1:39" x14ac:dyDescent="0.3">
      <c r="A1682">
        <v>2020</v>
      </c>
      <c r="B1682">
        <v>3</v>
      </c>
      <c r="C1682" t="str">
        <f t="shared" si="52"/>
        <v>3/01/2020</v>
      </c>
      <c r="D1682" s="1" t="str">
        <f t="shared" si="53"/>
        <v>3/01/2020</v>
      </c>
      <c r="E1682" t="s">
        <v>37</v>
      </c>
      <c r="F1682" t="s">
        <v>38</v>
      </c>
      <c r="G1682" t="s">
        <v>39</v>
      </c>
      <c r="H1682">
        <v>176</v>
      </c>
      <c r="I1682">
        <v>162</v>
      </c>
      <c r="J1682">
        <v>0</v>
      </c>
      <c r="L1682">
        <v>0</v>
      </c>
      <c r="M1682">
        <v>0</v>
      </c>
      <c r="O1682">
        <v>0</v>
      </c>
      <c r="P1682">
        <v>0</v>
      </c>
      <c r="Q1682">
        <v>0</v>
      </c>
      <c r="R1682">
        <v>11</v>
      </c>
      <c r="U1682">
        <v>0</v>
      </c>
      <c r="V1682">
        <v>0</v>
      </c>
      <c r="W1682" s="1">
        <v>44160</v>
      </c>
      <c r="X1682" t="s">
        <v>56</v>
      </c>
      <c r="AB1682" t="s">
        <v>40</v>
      </c>
      <c r="AE1682" t="s">
        <v>40</v>
      </c>
      <c r="AJ1682" t="s">
        <v>40</v>
      </c>
      <c r="AK1682" t="s">
        <v>40</v>
      </c>
    </row>
    <row r="1683" spans="1:39" x14ac:dyDescent="0.3">
      <c r="A1683">
        <v>2020</v>
      </c>
      <c r="B1683">
        <v>3</v>
      </c>
      <c r="C1683" t="str">
        <f t="shared" si="52"/>
        <v>3/01/2020</v>
      </c>
      <c r="D1683" s="1" t="str">
        <f t="shared" si="53"/>
        <v>3/01/2020</v>
      </c>
      <c r="E1683" t="s">
        <v>37</v>
      </c>
      <c r="F1683" t="s">
        <v>38</v>
      </c>
      <c r="G1683" t="s">
        <v>41</v>
      </c>
      <c r="H1683">
        <v>132</v>
      </c>
      <c r="I1683">
        <v>47</v>
      </c>
      <c r="K1683">
        <v>12</v>
      </c>
      <c r="M1683">
        <v>0</v>
      </c>
      <c r="Q1683">
        <v>0</v>
      </c>
      <c r="W1683" s="1">
        <v>44160</v>
      </c>
      <c r="X1683" t="s">
        <v>56</v>
      </c>
      <c r="AA1683" t="s">
        <v>40</v>
      </c>
      <c r="AC1683" t="s">
        <v>40</v>
      </c>
      <c r="AE1683" t="s">
        <v>40</v>
      </c>
      <c r="AF1683" t="s">
        <v>40</v>
      </c>
      <c r="AG1683" t="s">
        <v>40</v>
      </c>
      <c r="AI1683" t="s">
        <v>40</v>
      </c>
      <c r="AJ1683" t="s">
        <v>40</v>
      </c>
      <c r="AK1683" t="s">
        <v>40</v>
      </c>
      <c r="AL1683" t="s">
        <v>40</v>
      </c>
      <c r="AM1683" t="s">
        <v>40</v>
      </c>
    </row>
    <row r="1684" spans="1:39" x14ac:dyDescent="0.3">
      <c r="A1684">
        <v>2020</v>
      </c>
      <c r="B1684">
        <v>3</v>
      </c>
      <c r="C1684" t="str">
        <f t="shared" si="52"/>
        <v>3/01/2020</v>
      </c>
      <c r="D1684" s="1" t="str">
        <f t="shared" si="53"/>
        <v>3/01/2020</v>
      </c>
      <c r="E1684" t="s">
        <v>37</v>
      </c>
      <c r="F1684" t="s">
        <v>38</v>
      </c>
      <c r="G1684" t="s">
        <v>42</v>
      </c>
      <c r="H1684">
        <v>199</v>
      </c>
      <c r="I1684">
        <v>105</v>
      </c>
      <c r="K1684">
        <v>25</v>
      </c>
      <c r="M1684">
        <v>0</v>
      </c>
      <c r="W1684" s="1">
        <v>44160</v>
      </c>
      <c r="X1684" t="s">
        <v>56</v>
      </c>
      <c r="AA1684" t="s">
        <v>40</v>
      </c>
      <c r="AC1684" t="s">
        <v>40</v>
      </c>
      <c r="AE1684" t="s">
        <v>40</v>
      </c>
      <c r="AF1684" t="s">
        <v>40</v>
      </c>
      <c r="AG1684" t="s">
        <v>40</v>
      </c>
      <c r="AH1684" t="s">
        <v>40</v>
      </c>
      <c r="AI1684" t="s">
        <v>40</v>
      </c>
      <c r="AJ1684" t="s">
        <v>40</v>
      </c>
      <c r="AK1684" t="s">
        <v>40</v>
      </c>
      <c r="AL1684" t="s">
        <v>40</v>
      </c>
      <c r="AM1684" t="s">
        <v>40</v>
      </c>
    </row>
    <row r="1685" spans="1:39" x14ac:dyDescent="0.3">
      <c r="A1685">
        <v>2020</v>
      </c>
      <c r="B1685">
        <v>3</v>
      </c>
      <c r="C1685" t="str">
        <f t="shared" si="52"/>
        <v>3/01/2020</v>
      </c>
      <c r="D1685" s="1" t="str">
        <f t="shared" si="53"/>
        <v>3/01/2020</v>
      </c>
      <c r="E1685" t="s">
        <v>37</v>
      </c>
      <c r="F1685" t="s">
        <v>38</v>
      </c>
      <c r="G1685" t="s">
        <v>43</v>
      </c>
      <c r="H1685">
        <v>324</v>
      </c>
      <c r="I1685">
        <v>248</v>
      </c>
      <c r="K1685">
        <v>86</v>
      </c>
      <c r="L1685">
        <v>18</v>
      </c>
      <c r="M1685">
        <v>0</v>
      </c>
      <c r="S1685">
        <v>34</v>
      </c>
      <c r="U1685">
        <v>13</v>
      </c>
      <c r="V1685">
        <v>11</v>
      </c>
      <c r="W1685" s="1">
        <v>44160</v>
      </c>
      <c r="X1685" t="s">
        <v>56</v>
      </c>
      <c r="AA1685" t="s">
        <v>40</v>
      </c>
      <c r="AE1685" t="s">
        <v>40</v>
      </c>
      <c r="AF1685" t="s">
        <v>40</v>
      </c>
      <c r="AG1685" t="s">
        <v>40</v>
      </c>
      <c r="AH1685" t="s">
        <v>40</v>
      </c>
      <c r="AI1685" t="s">
        <v>40</v>
      </c>
      <c r="AK1685" t="s">
        <v>40</v>
      </c>
    </row>
    <row r="1686" spans="1:39" x14ac:dyDescent="0.3">
      <c r="A1686">
        <v>2020</v>
      </c>
      <c r="B1686">
        <v>3</v>
      </c>
      <c r="C1686" t="str">
        <f t="shared" si="52"/>
        <v>3/01/2020</v>
      </c>
      <c r="D1686" s="1" t="str">
        <f t="shared" si="53"/>
        <v>3/01/2020</v>
      </c>
      <c r="E1686" t="s">
        <v>37</v>
      </c>
      <c r="F1686" t="s">
        <v>38</v>
      </c>
      <c r="G1686" t="s">
        <v>44</v>
      </c>
      <c r="H1686">
        <v>589</v>
      </c>
      <c r="I1686">
        <v>532</v>
      </c>
      <c r="K1686">
        <v>218</v>
      </c>
      <c r="L1686">
        <v>30</v>
      </c>
      <c r="N1686">
        <v>13</v>
      </c>
      <c r="S1686">
        <v>67</v>
      </c>
      <c r="T1686">
        <v>17</v>
      </c>
      <c r="U1686">
        <v>33</v>
      </c>
      <c r="V1686">
        <v>31</v>
      </c>
      <c r="W1686" s="1">
        <v>44160</v>
      </c>
      <c r="X1686" t="s">
        <v>56</v>
      </c>
      <c r="AA1686" t="s">
        <v>40</v>
      </c>
      <c r="AD1686" t="s">
        <v>40</v>
      </c>
      <c r="AF1686" t="s">
        <v>40</v>
      </c>
      <c r="AG1686" t="s">
        <v>40</v>
      </c>
      <c r="AH1686" t="s">
        <v>40</v>
      </c>
      <c r="AI1686" t="s">
        <v>40</v>
      </c>
    </row>
    <row r="1687" spans="1:39" x14ac:dyDescent="0.3">
      <c r="A1687">
        <v>2020</v>
      </c>
      <c r="B1687">
        <v>3</v>
      </c>
      <c r="C1687" t="str">
        <f t="shared" si="52"/>
        <v>3/01/2020</v>
      </c>
      <c r="D1687" s="1" t="str">
        <f t="shared" si="53"/>
        <v>3/01/2020</v>
      </c>
      <c r="E1687" t="s">
        <v>37</v>
      </c>
      <c r="F1687" t="s">
        <v>38</v>
      </c>
      <c r="G1687" t="s">
        <v>45</v>
      </c>
      <c r="H1687">
        <v>41</v>
      </c>
      <c r="I1687">
        <v>23</v>
      </c>
      <c r="J1687">
        <v>0</v>
      </c>
      <c r="L1687">
        <v>0</v>
      </c>
      <c r="M1687">
        <v>0</v>
      </c>
      <c r="O1687">
        <v>0</v>
      </c>
      <c r="Q1687">
        <v>0</v>
      </c>
      <c r="T1687">
        <v>0</v>
      </c>
      <c r="U1687">
        <v>0</v>
      </c>
      <c r="V1687">
        <v>0</v>
      </c>
      <c r="W1687" s="1">
        <v>44160</v>
      </c>
      <c r="X1687" t="s">
        <v>56</v>
      </c>
      <c r="AB1687" t="s">
        <v>40</v>
      </c>
      <c r="AE1687" t="s">
        <v>40</v>
      </c>
      <c r="AG1687" t="s">
        <v>40</v>
      </c>
      <c r="AI1687" t="s">
        <v>40</v>
      </c>
      <c r="AJ1687" t="s">
        <v>40</v>
      </c>
    </row>
    <row r="1688" spans="1:39" x14ac:dyDescent="0.3">
      <c r="A1688">
        <v>2020</v>
      </c>
      <c r="B1688">
        <v>3</v>
      </c>
      <c r="C1688" t="str">
        <f t="shared" si="52"/>
        <v>3/01/2020</v>
      </c>
      <c r="D1688" s="1" t="str">
        <f t="shared" si="53"/>
        <v>3/01/2020</v>
      </c>
      <c r="E1688" t="s">
        <v>37</v>
      </c>
      <c r="F1688" t="s">
        <v>38</v>
      </c>
      <c r="G1688" t="s">
        <v>46</v>
      </c>
      <c r="H1688" s="2">
        <v>1163</v>
      </c>
      <c r="I1688" s="2">
        <v>1109</v>
      </c>
      <c r="J1688">
        <v>17</v>
      </c>
      <c r="K1688">
        <v>394</v>
      </c>
      <c r="L1688">
        <v>77</v>
      </c>
      <c r="N1688">
        <v>30</v>
      </c>
      <c r="O1688">
        <v>36</v>
      </c>
      <c r="P1688">
        <v>26</v>
      </c>
      <c r="Q1688">
        <v>31</v>
      </c>
      <c r="R1688">
        <v>10</v>
      </c>
      <c r="S1688">
        <v>147</v>
      </c>
      <c r="T1688">
        <v>56</v>
      </c>
      <c r="U1688">
        <v>48</v>
      </c>
      <c r="V1688">
        <v>44</v>
      </c>
      <c r="W1688" s="1">
        <v>44160</v>
      </c>
      <c r="X1688" t="s">
        <v>56</v>
      </c>
      <c r="AD1688" t="s">
        <v>40</v>
      </c>
    </row>
    <row r="1689" spans="1:39" x14ac:dyDescent="0.3">
      <c r="A1689">
        <v>2020</v>
      </c>
      <c r="B1689">
        <v>3</v>
      </c>
      <c r="C1689" t="str">
        <f t="shared" si="52"/>
        <v>3/01/2020</v>
      </c>
      <c r="D1689" s="1" t="str">
        <f t="shared" si="53"/>
        <v>3/01/2020</v>
      </c>
      <c r="E1689" t="s">
        <v>37</v>
      </c>
      <c r="F1689" t="s">
        <v>38</v>
      </c>
      <c r="G1689" t="s">
        <v>47</v>
      </c>
      <c r="H1689" s="2">
        <v>1565</v>
      </c>
      <c r="I1689" s="2">
        <v>1530</v>
      </c>
      <c r="J1689">
        <v>33</v>
      </c>
      <c r="K1689">
        <v>427</v>
      </c>
      <c r="L1689">
        <v>102</v>
      </c>
      <c r="M1689">
        <v>36</v>
      </c>
      <c r="N1689">
        <v>58</v>
      </c>
      <c r="O1689">
        <v>52</v>
      </c>
      <c r="P1689">
        <v>40</v>
      </c>
      <c r="Q1689">
        <v>40</v>
      </c>
      <c r="R1689">
        <v>14</v>
      </c>
      <c r="S1689">
        <v>275</v>
      </c>
      <c r="T1689">
        <v>77</v>
      </c>
      <c r="U1689">
        <v>73</v>
      </c>
      <c r="V1689">
        <v>69</v>
      </c>
      <c r="W1689" s="1">
        <v>44160</v>
      </c>
      <c r="X1689" t="s">
        <v>56</v>
      </c>
    </row>
    <row r="1690" spans="1:39" x14ac:dyDescent="0.3">
      <c r="A1690">
        <v>2020</v>
      </c>
      <c r="B1690">
        <v>3</v>
      </c>
      <c r="C1690" t="str">
        <f t="shared" si="52"/>
        <v>3/01/2020</v>
      </c>
      <c r="D1690" s="1" t="str">
        <f t="shared" si="53"/>
        <v>3/01/2020</v>
      </c>
      <c r="E1690" t="s">
        <v>37</v>
      </c>
      <c r="F1690" t="s">
        <v>38</v>
      </c>
      <c r="G1690" t="s">
        <v>48</v>
      </c>
      <c r="H1690" s="2">
        <v>2142</v>
      </c>
      <c r="I1690" s="2">
        <v>2103</v>
      </c>
      <c r="J1690">
        <v>33</v>
      </c>
      <c r="K1690">
        <v>427</v>
      </c>
      <c r="L1690">
        <v>132</v>
      </c>
      <c r="M1690">
        <v>133</v>
      </c>
      <c r="N1690">
        <v>70</v>
      </c>
      <c r="O1690">
        <v>76</v>
      </c>
      <c r="P1690">
        <v>43</v>
      </c>
      <c r="Q1690">
        <v>56</v>
      </c>
      <c r="R1690">
        <v>13</v>
      </c>
      <c r="S1690">
        <v>411</v>
      </c>
      <c r="T1690">
        <v>164</v>
      </c>
      <c r="U1690">
        <v>97</v>
      </c>
      <c r="V1690">
        <v>94</v>
      </c>
      <c r="W1690" s="1">
        <v>44160</v>
      </c>
      <c r="X1690" t="s">
        <v>56</v>
      </c>
    </row>
    <row r="1691" spans="1:39" x14ac:dyDescent="0.3">
      <c r="A1691">
        <v>2020</v>
      </c>
      <c r="B1691">
        <v>3</v>
      </c>
      <c r="C1691" t="str">
        <f t="shared" si="52"/>
        <v>3/01/2020</v>
      </c>
      <c r="D1691" s="1" t="str">
        <f t="shared" si="53"/>
        <v>3/01/2020</v>
      </c>
      <c r="E1691" t="s">
        <v>37</v>
      </c>
      <c r="F1691" t="s">
        <v>38</v>
      </c>
      <c r="G1691" t="s">
        <v>49</v>
      </c>
      <c r="H1691" s="2">
        <v>2981</v>
      </c>
      <c r="I1691" s="2">
        <v>2913</v>
      </c>
      <c r="J1691">
        <v>26</v>
      </c>
      <c r="K1691">
        <v>255</v>
      </c>
      <c r="L1691">
        <v>101</v>
      </c>
      <c r="M1691">
        <v>383</v>
      </c>
      <c r="N1691">
        <v>106</v>
      </c>
      <c r="O1691">
        <v>121</v>
      </c>
      <c r="P1691">
        <v>29</v>
      </c>
      <c r="Q1691">
        <v>46</v>
      </c>
      <c r="R1691">
        <v>19</v>
      </c>
      <c r="S1691">
        <v>785</v>
      </c>
      <c r="T1691">
        <v>257</v>
      </c>
      <c r="U1691">
        <v>94</v>
      </c>
      <c r="V1691">
        <v>88</v>
      </c>
      <c r="W1691" s="1">
        <v>44160</v>
      </c>
      <c r="X1691" t="s">
        <v>56</v>
      </c>
    </row>
    <row r="1692" spans="1:39" x14ac:dyDescent="0.3">
      <c r="A1692">
        <v>2020</v>
      </c>
      <c r="B1692">
        <v>3</v>
      </c>
      <c r="C1692" t="str">
        <f t="shared" si="52"/>
        <v>3/01/2020</v>
      </c>
      <c r="D1692" s="1" t="str">
        <f t="shared" si="53"/>
        <v>3/01/2020</v>
      </c>
      <c r="E1692" t="s">
        <v>37</v>
      </c>
      <c r="F1692" t="s">
        <v>50</v>
      </c>
      <c r="G1692" t="s">
        <v>39</v>
      </c>
      <c r="H1692">
        <v>11</v>
      </c>
      <c r="J1692">
        <v>0</v>
      </c>
      <c r="K1692">
        <v>0</v>
      </c>
      <c r="L1692">
        <v>0</v>
      </c>
      <c r="M1692">
        <v>0</v>
      </c>
      <c r="O1692">
        <v>0</v>
      </c>
      <c r="P1692">
        <v>0</v>
      </c>
      <c r="Q1692">
        <v>0</v>
      </c>
      <c r="S1692">
        <v>0</v>
      </c>
      <c r="U1692">
        <v>0</v>
      </c>
      <c r="V1692">
        <v>0</v>
      </c>
      <c r="W1692" s="1">
        <v>44160</v>
      </c>
      <c r="X1692" t="s">
        <v>56</v>
      </c>
      <c r="Z1692" t="s">
        <v>40</v>
      </c>
      <c r="AE1692" t="s">
        <v>40</v>
      </c>
      <c r="AI1692" t="s">
        <v>40</v>
      </c>
      <c r="AK1692" t="s">
        <v>40</v>
      </c>
    </row>
    <row r="1693" spans="1:39" x14ac:dyDescent="0.3">
      <c r="A1693">
        <v>2020</v>
      </c>
      <c r="B1693">
        <v>3</v>
      </c>
      <c r="C1693" t="str">
        <f t="shared" si="52"/>
        <v>3/01/2020</v>
      </c>
      <c r="D1693" s="1" t="str">
        <f t="shared" si="53"/>
        <v>3/01/2020</v>
      </c>
      <c r="E1693" t="s">
        <v>37</v>
      </c>
      <c r="F1693" t="s">
        <v>50</v>
      </c>
      <c r="G1693" t="s">
        <v>41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 s="1">
        <v>44160</v>
      </c>
      <c r="X1693" t="s">
        <v>56</v>
      </c>
      <c r="Y1693" t="s">
        <v>40</v>
      </c>
      <c r="Z1693" t="s">
        <v>40</v>
      </c>
    </row>
    <row r="1694" spans="1:39" x14ac:dyDescent="0.3">
      <c r="A1694">
        <v>2020</v>
      </c>
      <c r="B1694">
        <v>3</v>
      </c>
      <c r="C1694" t="str">
        <f t="shared" si="52"/>
        <v>3/01/2020</v>
      </c>
      <c r="D1694" s="1" t="str">
        <f t="shared" si="53"/>
        <v>3/01/2020</v>
      </c>
      <c r="E1694" t="s">
        <v>37</v>
      </c>
      <c r="F1694" t="s">
        <v>50</v>
      </c>
      <c r="G1694" t="s">
        <v>42</v>
      </c>
      <c r="H1694">
        <v>48</v>
      </c>
      <c r="I1694">
        <v>16</v>
      </c>
      <c r="J1694">
        <v>0</v>
      </c>
      <c r="K1694">
        <v>0</v>
      </c>
      <c r="M1694">
        <v>0</v>
      </c>
      <c r="O1694">
        <v>0</v>
      </c>
      <c r="P1694">
        <v>0</v>
      </c>
      <c r="Q1694">
        <v>0</v>
      </c>
      <c r="U1694">
        <v>0</v>
      </c>
      <c r="V1694">
        <v>0</v>
      </c>
      <c r="W1694" s="1">
        <v>44160</v>
      </c>
      <c r="X1694" t="s">
        <v>56</v>
      </c>
      <c r="AC1694" t="s">
        <v>40</v>
      </c>
      <c r="AE1694" t="s">
        <v>40</v>
      </c>
      <c r="AI1694" t="s">
        <v>40</v>
      </c>
      <c r="AJ1694" t="s">
        <v>40</v>
      </c>
      <c r="AK1694" t="s">
        <v>40</v>
      </c>
    </row>
    <row r="1695" spans="1:39" x14ac:dyDescent="0.3">
      <c r="A1695">
        <v>2020</v>
      </c>
      <c r="B1695">
        <v>3</v>
      </c>
      <c r="C1695" t="str">
        <f t="shared" si="52"/>
        <v>3/01/2020</v>
      </c>
      <c r="D1695" s="1" t="str">
        <f t="shared" si="53"/>
        <v>3/01/2020</v>
      </c>
      <c r="E1695" t="s">
        <v>37</v>
      </c>
      <c r="F1695" t="s">
        <v>50</v>
      </c>
      <c r="G1695" t="s">
        <v>43</v>
      </c>
      <c r="H1695">
        <v>54</v>
      </c>
      <c r="I1695">
        <v>42</v>
      </c>
      <c r="M1695">
        <v>0</v>
      </c>
      <c r="Q1695">
        <v>0</v>
      </c>
      <c r="U1695">
        <v>0</v>
      </c>
      <c r="V1695">
        <v>0</v>
      </c>
      <c r="W1695" s="1">
        <v>44160</v>
      </c>
      <c r="X1695" t="s">
        <v>56</v>
      </c>
      <c r="AA1695" t="s">
        <v>40</v>
      </c>
      <c r="AB1695" t="s">
        <v>40</v>
      </c>
      <c r="AC1695" t="s">
        <v>40</v>
      </c>
      <c r="AE1695" t="s">
        <v>40</v>
      </c>
      <c r="AF1695" t="s">
        <v>40</v>
      </c>
      <c r="AG1695" t="s">
        <v>40</v>
      </c>
      <c r="AI1695" t="s">
        <v>40</v>
      </c>
      <c r="AJ1695" t="s">
        <v>40</v>
      </c>
      <c r="AK1695" t="s">
        <v>40</v>
      </c>
    </row>
    <row r="1696" spans="1:39" x14ac:dyDescent="0.3">
      <c r="A1696">
        <v>2020</v>
      </c>
      <c r="B1696">
        <v>3</v>
      </c>
      <c r="C1696" t="str">
        <f t="shared" si="52"/>
        <v>3/01/2020</v>
      </c>
      <c r="D1696" s="1" t="str">
        <f t="shared" si="53"/>
        <v>3/01/2020</v>
      </c>
      <c r="E1696" t="s">
        <v>37</v>
      </c>
      <c r="F1696" t="s">
        <v>50</v>
      </c>
      <c r="G1696" t="s">
        <v>44</v>
      </c>
      <c r="H1696">
        <v>79</v>
      </c>
      <c r="I1696">
        <v>66</v>
      </c>
      <c r="K1696">
        <v>12</v>
      </c>
      <c r="M1696">
        <v>0</v>
      </c>
      <c r="R1696">
        <v>0</v>
      </c>
      <c r="S1696">
        <v>11</v>
      </c>
      <c r="W1696" s="1">
        <v>44160</v>
      </c>
      <c r="X1696" t="s">
        <v>56</v>
      </c>
      <c r="AA1696" t="s">
        <v>40</v>
      </c>
      <c r="AC1696" t="s">
        <v>40</v>
      </c>
      <c r="AE1696" t="s">
        <v>40</v>
      </c>
      <c r="AF1696" t="s">
        <v>40</v>
      </c>
      <c r="AG1696" t="s">
        <v>40</v>
      </c>
      <c r="AH1696" t="s">
        <v>40</v>
      </c>
      <c r="AK1696" t="s">
        <v>40</v>
      </c>
      <c r="AL1696" t="s">
        <v>40</v>
      </c>
      <c r="AM1696" t="s">
        <v>40</v>
      </c>
    </row>
    <row r="1697" spans="1:39" x14ac:dyDescent="0.3">
      <c r="A1697">
        <v>2020</v>
      </c>
      <c r="B1697">
        <v>3</v>
      </c>
      <c r="C1697" t="str">
        <f t="shared" si="52"/>
        <v>3/01/2020</v>
      </c>
      <c r="D1697" s="1" t="str">
        <f t="shared" si="53"/>
        <v>3/01/2020</v>
      </c>
      <c r="E1697" t="s">
        <v>37</v>
      </c>
      <c r="F1697" t="s">
        <v>50</v>
      </c>
      <c r="G1697" t="s">
        <v>45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S1697">
        <v>0</v>
      </c>
      <c r="T1697">
        <v>0</v>
      </c>
      <c r="U1697">
        <v>0</v>
      </c>
      <c r="V1697">
        <v>0</v>
      </c>
      <c r="W1697" s="1">
        <v>44160</v>
      </c>
      <c r="X1697" t="s">
        <v>56</v>
      </c>
      <c r="Y1697" t="s">
        <v>40</v>
      </c>
      <c r="Z1697" t="s">
        <v>40</v>
      </c>
      <c r="AI1697" t="s">
        <v>40</v>
      </c>
    </row>
    <row r="1698" spans="1:39" x14ac:dyDescent="0.3">
      <c r="A1698">
        <v>2020</v>
      </c>
      <c r="B1698">
        <v>3</v>
      </c>
      <c r="C1698" t="str">
        <f t="shared" si="52"/>
        <v>3/01/2020</v>
      </c>
      <c r="D1698" s="1" t="str">
        <f t="shared" si="53"/>
        <v>3/01/2020</v>
      </c>
      <c r="E1698" t="s">
        <v>37</v>
      </c>
      <c r="F1698" t="s">
        <v>50</v>
      </c>
      <c r="G1698" t="s">
        <v>46</v>
      </c>
      <c r="H1698">
        <v>132</v>
      </c>
      <c r="I1698">
        <v>124</v>
      </c>
      <c r="K1698">
        <v>26</v>
      </c>
      <c r="N1698">
        <v>11</v>
      </c>
      <c r="R1698">
        <v>0</v>
      </c>
      <c r="S1698">
        <v>18</v>
      </c>
      <c r="W1698" s="1">
        <v>44160</v>
      </c>
      <c r="X1698" t="s">
        <v>56</v>
      </c>
      <c r="AA1698" t="s">
        <v>40</v>
      </c>
      <c r="AC1698" t="s">
        <v>40</v>
      </c>
      <c r="AD1698" t="s">
        <v>40</v>
      </c>
      <c r="AF1698" t="s">
        <v>40</v>
      </c>
      <c r="AG1698" t="s">
        <v>40</v>
      </c>
      <c r="AH1698" t="s">
        <v>40</v>
      </c>
      <c r="AK1698" t="s">
        <v>40</v>
      </c>
      <c r="AL1698" t="s">
        <v>40</v>
      </c>
      <c r="AM1698" t="s">
        <v>40</v>
      </c>
    </row>
    <row r="1699" spans="1:39" x14ac:dyDescent="0.3">
      <c r="A1699">
        <v>2020</v>
      </c>
      <c r="B1699">
        <v>3</v>
      </c>
      <c r="C1699" t="str">
        <f t="shared" si="52"/>
        <v>3/01/2020</v>
      </c>
      <c r="D1699" s="1" t="str">
        <f t="shared" si="53"/>
        <v>3/01/2020</v>
      </c>
      <c r="E1699" t="s">
        <v>37</v>
      </c>
      <c r="F1699" t="s">
        <v>50</v>
      </c>
      <c r="G1699" t="s">
        <v>47</v>
      </c>
      <c r="H1699">
        <v>152</v>
      </c>
      <c r="I1699">
        <v>145</v>
      </c>
      <c r="K1699">
        <v>34</v>
      </c>
      <c r="O1699">
        <v>11</v>
      </c>
      <c r="R1699">
        <v>0</v>
      </c>
      <c r="S1699">
        <v>25</v>
      </c>
      <c r="W1699" s="1">
        <v>44160</v>
      </c>
      <c r="X1699" t="s">
        <v>56</v>
      </c>
      <c r="AA1699" t="s">
        <v>40</v>
      </c>
      <c r="AC1699" t="s">
        <v>40</v>
      </c>
      <c r="AD1699" t="s">
        <v>40</v>
      </c>
      <c r="AE1699" t="s">
        <v>40</v>
      </c>
      <c r="AG1699" t="s">
        <v>40</v>
      </c>
      <c r="AH1699" t="s">
        <v>40</v>
      </c>
      <c r="AK1699" t="s">
        <v>40</v>
      </c>
      <c r="AL1699" t="s">
        <v>40</v>
      </c>
      <c r="AM1699" t="s">
        <v>40</v>
      </c>
    </row>
    <row r="1700" spans="1:39" x14ac:dyDescent="0.3">
      <c r="A1700">
        <v>2020</v>
      </c>
      <c r="B1700">
        <v>3</v>
      </c>
      <c r="C1700" t="str">
        <f t="shared" si="52"/>
        <v>3/01/2020</v>
      </c>
      <c r="D1700" s="1" t="str">
        <f t="shared" si="53"/>
        <v>3/01/2020</v>
      </c>
      <c r="E1700" t="s">
        <v>37</v>
      </c>
      <c r="F1700" t="s">
        <v>50</v>
      </c>
      <c r="G1700" t="s">
        <v>48</v>
      </c>
      <c r="H1700">
        <v>147</v>
      </c>
      <c r="I1700">
        <v>142</v>
      </c>
      <c r="K1700">
        <v>26</v>
      </c>
      <c r="S1700">
        <v>30</v>
      </c>
      <c r="W1700" s="1">
        <v>44160</v>
      </c>
      <c r="X1700" t="s">
        <v>56</v>
      </c>
      <c r="AA1700" t="s">
        <v>40</v>
      </c>
      <c r="AC1700" t="s">
        <v>40</v>
      </c>
      <c r="AD1700" t="s">
        <v>40</v>
      </c>
      <c r="AE1700" t="s">
        <v>40</v>
      </c>
      <c r="AF1700" t="s">
        <v>40</v>
      </c>
      <c r="AG1700" t="s">
        <v>40</v>
      </c>
      <c r="AH1700" t="s">
        <v>40</v>
      </c>
      <c r="AI1700" t="s">
        <v>40</v>
      </c>
      <c r="AK1700" t="s">
        <v>40</v>
      </c>
      <c r="AL1700" t="s">
        <v>40</v>
      </c>
      <c r="AM1700" t="s">
        <v>40</v>
      </c>
    </row>
    <row r="1701" spans="1:39" x14ac:dyDescent="0.3">
      <c r="A1701">
        <v>2020</v>
      </c>
      <c r="B1701">
        <v>3</v>
      </c>
      <c r="C1701" t="str">
        <f t="shared" si="52"/>
        <v>3/01/2020</v>
      </c>
      <c r="D1701" s="1" t="str">
        <f t="shared" si="53"/>
        <v>3/01/2020</v>
      </c>
      <c r="E1701" t="s">
        <v>37</v>
      </c>
      <c r="F1701" t="s">
        <v>50</v>
      </c>
      <c r="G1701" t="s">
        <v>49</v>
      </c>
      <c r="H1701">
        <v>141</v>
      </c>
      <c r="I1701">
        <v>137</v>
      </c>
      <c r="J1701">
        <v>0</v>
      </c>
      <c r="K1701">
        <v>14</v>
      </c>
      <c r="N1701">
        <v>11</v>
      </c>
      <c r="O1701">
        <v>12</v>
      </c>
      <c r="S1701">
        <v>26</v>
      </c>
      <c r="T1701">
        <v>14</v>
      </c>
      <c r="V1701">
        <v>0</v>
      </c>
      <c r="W1701" s="1">
        <v>44160</v>
      </c>
      <c r="X1701" t="s">
        <v>56</v>
      </c>
      <c r="AC1701" t="s">
        <v>40</v>
      </c>
      <c r="AD1701" t="s">
        <v>40</v>
      </c>
      <c r="AG1701" t="s">
        <v>40</v>
      </c>
      <c r="AH1701" t="s">
        <v>40</v>
      </c>
      <c r="AI1701" t="s">
        <v>40</v>
      </c>
      <c r="AL1701" t="s">
        <v>40</v>
      </c>
    </row>
    <row r="1702" spans="1:39" x14ac:dyDescent="0.3">
      <c r="A1702">
        <v>2020</v>
      </c>
      <c r="B1702">
        <v>3</v>
      </c>
      <c r="C1702" t="str">
        <f t="shared" si="52"/>
        <v>3/01/2020</v>
      </c>
      <c r="D1702" s="1" t="str">
        <f t="shared" si="53"/>
        <v>3/01/2020</v>
      </c>
      <c r="E1702" t="s">
        <v>37</v>
      </c>
      <c r="F1702" t="s">
        <v>51</v>
      </c>
      <c r="G1702" t="s">
        <v>39</v>
      </c>
      <c r="H1702">
        <v>26</v>
      </c>
      <c r="I1702">
        <v>25</v>
      </c>
      <c r="J1702">
        <v>0</v>
      </c>
      <c r="L1702">
        <v>0</v>
      </c>
      <c r="M1702">
        <v>0</v>
      </c>
      <c r="O1702">
        <v>0</v>
      </c>
      <c r="P1702">
        <v>0</v>
      </c>
      <c r="Q1702">
        <v>0</v>
      </c>
      <c r="S1702">
        <v>0</v>
      </c>
      <c r="T1702">
        <v>0</v>
      </c>
      <c r="U1702">
        <v>0</v>
      </c>
      <c r="V1702">
        <v>0</v>
      </c>
      <c r="W1702" s="1">
        <v>44160</v>
      </c>
      <c r="X1702" t="s">
        <v>56</v>
      </c>
      <c r="AB1702" t="s">
        <v>40</v>
      </c>
      <c r="AE1702" t="s">
        <v>40</v>
      </c>
      <c r="AI1702" t="s">
        <v>40</v>
      </c>
    </row>
    <row r="1703" spans="1:39" x14ac:dyDescent="0.3">
      <c r="A1703">
        <v>2020</v>
      </c>
      <c r="B1703">
        <v>3</v>
      </c>
      <c r="C1703" t="str">
        <f t="shared" si="52"/>
        <v>3/01/2020</v>
      </c>
      <c r="D1703" s="1" t="str">
        <f t="shared" si="53"/>
        <v>3/01/2020</v>
      </c>
      <c r="E1703" t="s">
        <v>37</v>
      </c>
      <c r="F1703" t="s">
        <v>51</v>
      </c>
      <c r="G1703" t="s">
        <v>41</v>
      </c>
      <c r="H1703">
        <v>21</v>
      </c>
      <c r="J1703">
        <v>0</v>
      </c>
      <c r="L1703">
        <v>0</v>
      </c>
      <c r="M1703">
        <v>0</v>
      </c>
      <c r="N1703">
        <v>0</v>
      </c>
      <c r="P1703">
        <v>0</v>
      </c>
      <c r="Q1703">
        <v>0</v>
      </c>
      <c r="R1703">
        <v>0</v>
      </c>
      <c r="T1703">
        <v>0</v>
      </c>
      <c r="U1703">
        <v>0</v>
      </c>
      <c r="V1703">
        <v>0</v>
      </c>
      <c r="W1703" s="1">
        <v>44160</v>
      </c>
      <c r="X1703" t="s">
        <v>56</v>
      </c>
      <c r="Z1703" t="s">
        <v>40</v>
      </c>
      <c r="AB1703" t="s">
        <v>40</v>
      </c>
      <c r="AF1703" t="s">
        <v>40</v>
      </c>
      <c r="AJ1703" t="s">
        <v>40</v>
      </c>
    </row>
    <row r="1704" spans="1:39" x14ac:dyDescent="0.3">
      <c r="A1704">
        <v>2020</v>
      </c>
      <c r="B1704">
        <v>3</v>
      </c>
      <c r="C1704" t="str">
        <f t="shared" si="52"/>
        <v>3/01/2020</v>
      </c>
      <c r="D1704" s="1" t="str">
        <f t="shared" si="53"/>
        <v>3/01/2020</v>
      </c>
      <c r="E1704" t="s">
        <v>37</v>
      </c>
      <c r="F1704" t="s">
        <v>51</v>
      </c>
      <c r="G1704" t="s">
        <v>42</v>
      </c>
      <c r="H1704">
        <v>30</v>
      </c>
      <c r="I1704">
        <v>25</v>
      </c>
      <c r="J1704">
        <v>0</v>
      </c>
      <c r="M1704">
        <v>0</v>
      </c>
      <c r="O1704">
        <v>0</v>
      </c>
      <c r="P1704">
        <v>0</v>
      </c>
      <c r="Q1704">
        <v>0</v>
      </c>
      <c r="T1704">
        <v>0</v>
      </c>
      <c r="W1704" s="1">
        <v>44160</v>
      </c>
      <c r="X1704" t="s">
        <v>56</v>
      </c>
      <c r="AB1704" t="s">
        <v>40</v>
      </c>
      <c r="AC1704" t="s">
        <v>40</v>
      </c>
      <c r="AE1704" t="s">
        <v>40</v>
      </c>
      <c r="AI1704" t="s">
        <v>40</v>
      </c>
      <c r="AJ1704" t="s">
        <v>40</v>
      </c>
      <c r="AL1704" t="s">
        <v>40</v>
      </c>
      <c r="AM1704" t="s">
        <v>40</v>
      </c>
    </row>
    <row r="1705" spans="1:39" x14ac:dyDescent="0.3">
      <c r="A1705">
        <v>2020</v>
      </c>
      <c r="B1705">
        <v>3</v>
      </c>
      <c r="C1705" t="str">
        <f t="shared" si="52"/>
        <v>3/01/2020</v>
      </c>
      <c r="D1705" s="1" t="str">
        <f t="shared" si="53"/>
        <v>3/01/2020</v>
      </c>
      <c r="E1705" t="s">
        <v>37</v>
      </c>
      <c r="F1705" t="s">
        <v>51</v>
      </c>
      <c r="G1705" t="s">
        <v>43</v>
      </c>
      <c r="H1705">
        <v>75</v>
      </c>
      <c r="I1705">
        <v>60</v>
      </c>
      <c r="K1705">
        <v>27</v>
      </c>
      <c r="M1705">
        <v>0</v>
      </c>
      <c r="W1705" s="1">
        <v>44160</v>
      </c>
      <c r="X1705" t="s">
        <v>56</v>
      </c>
      <c r="AA1705" t="s">
        <v>40</v>
      </c>
      <c r="AC1705" t="s">
        <v>40</v>
      </c>
      <c r="AE1705" t="s">
        <v>40</v>
      </c>
      <c r="AF1705" t="s">
        <v>40</v>
      </c>
      <c r="AG1705" t="s">
        <v>40</v>
      </c>
      <c r="AH1705" t="s">
        <v>40</v>
      </c>
      <c r="AI1705" t="s">
        <v>40</v>
      </c>
      <c r="AJ1705" t="s">
        <v>40</v>
      </c>
      <c r="AK1705" t="s">
        <v>40</v>
      </c>
      <c r="AL1705" t="s">
        <v>40</v>
      </c>
      <c r="AM1705" t="s">
        <v>40</v>
      </c>
    </row>
    <row r="1706" spans="1:39" x14ac:dyDescent="0.3">
      <c r="A1706">
        <v>2020</v>
      </c>
      <c r="B1706">
        <v>3</v>
      </c>
      <c r="C1706" t="str">
        <f t="shared" si="52"/>
        <v>3/01/2020</v>
      </c>
      <c r="D1706" s="1" t="str">
        <f t="shared" si="53"/>
        <v>3/01/2020</v>
      </c>
      <c r="E1706" t="s">
        <v>37</v>
      </c>
      <c r="F1706" t="s">
        <v>51</v>
      </c>
      <c r="G1706" t="s">
        <v>44</v>
      </c>
      <c r="H1706">
        <v>152</v>
      </c>
      <c r="I1706">
        <v>139</v>
      </c>
      <c r="K1706">
        <v>75</v>
      </c>
      <c r="M1706">
        <v>0</v>
      </c>
      <c r="S1706">
        <v>16</v>
      </c>
      <c r="W1706" s="1">
        <v>44160</v>
      </c>
      <c r="X1706" t="s">
        <v>56</v>
      </c>
      <c r="AA1706" t="s">
        <v>40</v>
      </c>
      <c r="AC1706" t="s">
        <v>40</v>
      </c>
      <c r="AE1706" t="s">
        <v>40</v>
      </c>
      <c r="AF1706" t="s">
        <v>40</v>
      </c>
      <c r="AG1706" t="s">
        <v>40</v>
      </c>
      <c r="AH1706" t="s">
        <v>40</v>
      </c>
      <c r="AI1706" t="s">
        <v>40</v>
      </c>
      <c r="AK1706" t="s">
        <v>40</v>
      </c>
      <c r="AL1706" t="s">
        <v>40</v>
      </c>
      <c r="AM1706" t="s">
        <v>40</v>
      </c>
    </row>
    <row r="1707" spans="1:39" x14ac:dyDescent="0.3">
      <c r="A1707">
        <v>2020</v>
      </c>
      <c r="B1707">
        <v>3</v>
      </c>
      <c r="C1707" t="str">
        <f t="shared" si="52"/>
        <v>3/01/2020</v>
      </c>
      <c r="D1707" s="1" t="str">
        <f t="shared" si="53"/>
        <v>3/01/2020</v>
      </c>
      <c r="E1707" t="s">
        <v>37</v>
      </c>
      <c r="F1707" t="s">
        <v>51</v>
      </c>
      <c r="G1707" t="s">
        <v>45</v>
      </c>
      <c r="J1707">
        <v>0</v>
      </c>
      <c r="L1707">
        <v>0</v>
      </c>
      <c r="M1707">
        <v>0</v>
      </c>
      <c r="N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 s="1">
        <v>44160</v>
      </c>
      <c r="X1707" t="s">
        <v>56</v>
      </c>
      <c r="Y1707" t="s">
        <v>40</v>
      </c>
      <c r="Z1707" t="s">
        <v>40</v>
      </c>
      <c r="AB1707" t="s">
        <v>40</v>
      </c>
      <c r="AF1707" t="s">
        <v>40</v>
      </c>
    </row>
    <row r="1708" spans="1:39" x14ac:dyDescent="0.3">
      <c r="A1708">
        <v>2020</v>
      </c>
      <c r="B1708">
        <v>3</v>
      </c>
      <c r="C1708" t="str">
        <f t="shared" si="52"/>
        <v>3/01/2020</v>
      </c>
      <c r="D1708" s="1" t="str">
        <f t="shared" si="53"/>
        <v>3/01/2020</v>
      </c>
      <c r="E1708" t="s">
        <v>37</v>
      </c>
      <c r="F1708" t="s">
        <v>51</v>
      </c>
      <c r="G1708" t="s">
        <v>46</v>
      </c>
      <c r="H1708">
        <v>318</v>
      </c>
      <c r="I1708">
        <v>301</v>
      </c>
      <c r="K1708">
        <v>143</v>
      </c>
      <c r="N1708">
        <v>10</v>
      </c>
      <c r="P1708">
        <v>0</v>
      </c>
      <c r="S1708">
        <v>40</v>
      </c>
      <c r="T1708">
        <v>18</v>
      </c>
      <c r="U1708">
        <v>22</v>
      </c>
      <c r="V1708">
        <v>20</v>
      </c>
      <c r="W1708" s="1">
        <v>44160</v>
      </c>
      <c r="X1708" t="s">
        <v>56</v>
      </c>
      <c r="AA1708" t="s">
        <v>40</v>
      </c>
      <c r="AC1708" t="s">
        <v>40</v>
      </c>
      <c r="AD1708" t="s">
        <v>40</v>
      </c>
      <c r="AF1708" t="s">
        <v>40</v>
      </c>
      <c r="AH1708" t="s">
        <v>40</v>
      </c>
      <c r="AI1708" t="s">
        <v>40</v>
      </c>
    </row>
    <row r="1709" spans="1:39" x14ac:dyDescent="0.3">
      <c r="A1709">
        <v>2020</v>
      </c>
      <c r="B1709">
        <v>3</v>
      </c>
      <c r="C1709" t="str">
        <f t="shared" si="52"/>
        <v>3/01/2020</v>
      </c>
      <c r="D1709" s="1" t="str">
        <f t="shared" si="53"/>
        <v>3/01/2020</v>
      </c>
      <c r="E1709" t="s">
        <v>37</v>
      </c>
      <c r="F1709" t="s">
        <v>51</v>
      </c>
      <c r="G1709" t="s">
        <v>47</v>
      </c>
      <c r="H1709">
        <v>555</v>
      </c>
      <c r="I1709">
        <v>528</v>
      </c>
      <c r="K1709">
        <v>182</v>
      </c>
      <c r="L1709">
        <v>23</v>
      </c>
      <c r="N1709">
        <v>11</v>
      </c>
      <c r="S1709">
        <v>95</v>
      </c>
      <c r="T1709">
        <v>48</v>
      </c>
      <c r="U1709">
        <v>30</v>
      </c>
      <c r="V1709">
        <v>27</v>
      </c>
      <c r="W1709" s="1">
        <v>44160</v>
      </c>
      <c r="X1709" t="s">
        <v>56</v>
      </c>
      <c r="AA1709" t="s">
        <v>40</v>
      </c>
      <c r="AD1709" t="s">
        <v>40</v>
      </c>
      <c r="AF1709" t="s">
        <v>40</v>
      </c>
      <c r="AG1709" t="s">
        <v>40</v>
      </c>
      <c r="AH1709" t="s">
        <v>40</v>
      </c>
      <c r="AI1709" t="s">
        <v>40</v>
      </c>
    </row>
    <row r="1710" spans="1:39" x14ac:dyDescent="0.3">
      <c r="A1710">
        <v>2020</v>
      </c>
      <c r="B1710">
        <v>3</v>
      </c>
      <c r="C1710" t="str">
        <f t="shared" si="52"/>
        <v>3/01/2020</v>
      </c>
      <c r="D1710" s="1" t="str">
        <f t="shared" si="53"/>
        <v>3/01/2020</v>
      </c>
      <c r="E1710" t="s">
        <v>37</v>
      </c>
      <c r="F1710" t="s">
        <v>51</v>
      </c>
      <c r="G1710" t="s">
        <v>48</v>
      </c>
      <c r="H1710">
        <v>846</v>
      </c>
      <c r="I1710">
        <v>827</v>
      </c>
      <c r="J1710">
        <v>12</v>
      </c>
      <c r="K1710">
        <v>182</v>
      </c>
      <c r="L1710">
        <v>49</v>
      </c>
      <c r="M1710">
        <v>28</v>
      </c>
      <c r="N1710">
        <v>37</v>
      </c>
      <c r="O1710">
        <v>23</v>
      </c>
      <c r="P1710">
        <v>18</v>
      </c>
      <c r="Q1710">
        <v>17</v>
      </c>
      <c r="S1710">
        <v>169</v>
      </c>
      <c r="T1710">
        <v>84</v>
      </c>
      <c r="U1710">
        <v>44</v>
      </c>
      <c r="V1710">
        <v>42</v>
      </c>
      <c r="W1710" s="1">
        <v>44160</v>
      </c>
      <c r="X1710" t="s">
        <v>56</v>
      </c>
      <c r="AI1710" t="s">
        <v>40</v>
      </c>
    </row>
    <row r="1711" spans="1:39" x14ac:dyDescent="0.3">
      <c r="A1711">
        <v>2020</v>
      </c>
      <c r="B1711">
        <v>3</v>
      </c>
      <c r="C1711" t="str">
        <f t="shared" si="52"/>
        <v>3/01/2020</v>
      </c>
      <c r="D1711" s="1" t="str">
        <f t="shared" si="53"/>
        <v>3/01/2020</v>
      </c>
      <c r="E1711" t="s">
        <v>37</v>
      </c>
      <c r="F1711" t="s">
        <v>51</v>
      </c>
      <c r="G1711" t="s">
        <v>49</v>
      </c>
      <c r="H1711" s="2">
        <v>1454</v>
      </c>
      <c r="I1711" s="2">
        <v>1423</v>
      </c>
      <c r="J1711">
        <v>13</v>
      </c>
      <c r="K1711">
        <v>135</v>
      </c>
      <c r="L1711">
        <v>53</v>
      </c>
      <c r="M1711">
        <v>134</v>
      </c>
      <c r="N1711">
        <v>56</v>
      </c>
      <c r="O1711">
        <v>43</v>
      </c>
      <c r="P1711">
        <v>25</v>
      </c>
      <c r="Q1711">
        <v>31</v>
      </c>
      <c r="R1711">
        <v>17</v>
      </c>
      <c r="S1711">
        <v>383</v>
      </c>
      <c r="T1711">
        <v>129</v>
      </c>
      <c r="U1711">
        <v>44</v>
      </c>
      <c r="V1711">
        <v>43</v>
      </c>
      <c r="W1711" s="1">
        <v>44160</v>
      </c>
      <c r="X1711" t="s">
        <v>56</v>
      </c>
    </row>
    <row r="1712" spans="1:39" x14ac:dyDescent="0.3">
      <c r="A1712">
        <v>2020</v>
      </c>
      <c r="B1712">
        <v>3</v>
      </c>
      <c r="C1712" t="str">
        <f t="shared" si="52"/>
        <v>3/01/2020</v>
      </c>
      <c r="D1712" s="1" t="str">
        <f t="shared" si="53"/>
        <v>3/01/2020</v>
      </c>
      <c r="E1712" t="s">
        <v>37</v>
      </c>
      <c r="F1712" t="s">
        <v>52</v>
      </c>
      <c r="G1712" t="s">
        <v>39</v>
      </c>
      <c r="H1712">
        <v>265</v>
      </c>
      <c r="I1712">
        <v>231</v>
      </c>
      <c r="L1712">
        <v>0</v>
      </c>
      <c r="M1712">
        <v>0</v>
      </c>
      <c r="O1712">
        <v>0</v>
      </c>
      <c r="Q1712">
        <v>0</v>
      </c>
      <c r="R1712">
        <v>47</v>
      </c>
      <c r="S1712">
        <v>14</v>
      </c>
      <c r="W1712" s="1">
        <v>44160</v>
      </c>
      <c r="X1712" t="s">
        <v>56</v>
      </c>
      <c r="AA1712" t="s">
        <v>40</v>
      </c>
      <c r="AB1712" t="s">
        <v>40</v>
      </c>
      <c r="AE1712" t="s">
        <v>40</v>
      </c>
      <c r="AG1712" t="s">
        <v>40</v>
      </c>
      <c r="AK1712" t="s">
        <v>40</v>
      </c>
      <c r="AL1712" t="s">
        <v>40</v>
      </c>
      <c r="AM1712" t="s">
        <v>40</v>
      </c>
    </row>
    <row r="1713" spans="1:39" x14ac:dyDescent="0.3">
      <c r="A1713">
        <v>2020</v>
      </c>
      <c r="B1713">
        <v>3</v>
      </c>
      <c r="C1713" t="str">
        <f t="shared" si="52"/>
        <v>3/01/2020</v>
      </c>
      <c r="D1713" s="1" t="str">
        <f t="shared" si="53"/>
        <v>3/01/2020</v>
      </c>
      <c r="E1713" t="s">
        <v>37</v>
      </c>
      <c r="F1713" t="s">
        <v>52</v>
      </c>
      <c r="G1713" t="s">
        <v>41</v>
      </c>
      <c r="H1713">
        <v>147</v>
      </c>
      <c r="I1713">
        <v>73</v>
      </c>
      <c r="M1713">
        <v>0</v>
      </c>
      <c r="R1713">
        <v>10</v>
      </c>
      <c r="W1713" s="1">
        <v>44160</v>
      </c>
      <c r="X1713" t="s">
        <v>56</v>
      </c>
      <c r="AA1713" t="s">
        <v>40</v>
      </c>
      <c r="AB1713" t="s">
        <v>40</v>
      </c>
      <c r="AC1713" t="s">
        <v>40</v>
      </c>
      <c r="AE1713" t="s">
        <v>40</v>
      </c>
      <c r="AF1713" t="s">
        <v>40</v>
      </c>
      <c r="AG1713" t="s">
        <v>40</v>
      </c>
      <c r="AH1713" t="s">
        <v>40</v>
      </c>
      <c r="AJ1713" t="s">
        <v>40</v>
      </c>
      <c r="AK1713" t="s">
        <v>40</v>
      </c>
      <c r="AL1713" t="s">
        <v>40</v>
      </c>
      <c r="AM1713" t="s">
        <v>40</v>
      </c>
    </row>
    <row r="1714" spans="1:39" x14ac:dyDescent="0.3">
      <c r="A1714">
        <v>2020</v>
      </c>
      <c r="B1714">
        <v>3</v>
      </c>
      <c r="C1714" t="str">
        <f t="shared" si="52"/>
        <v>3/01/2020</v>
      </c>
      <c r="D1714" s="1" t="str">
        <f t="shared" si="53"/>
        <v>3/01/2020</v>
      </c>
      <c r="E1714" t="s">
        <v>37</v>
      </c>
      <c r="F1714" t="s">
        <v>52</v>
      </c>
      <c r="G1714" t="s">
        <v>42</v>
      </c>
      <c r="H1714">
        <v>407</v>
      </c>
      <c r="I1714">
        <v>238</v>
      </c>
      <c r="K1714">
        <v>20</v>
      </c>
      <c r="L1714">
        <v>18</v>
      </c>
      <c r="M1714">
        <v>0</v>
      </c>
      <c r="N1714">
        <v>11</v>
      </c>
      <c r="R1714">
        <v>11</v>
      </c>
      <c r="S1714">
        <v>42</v>
      </c>
      <c r="T1714">
        <v>12</v>
      </c>
      <c r="U1714">
        <v>16</v>
      </c>
      <c r="V1714">
        <v>16</v>
      </c>
      <c r="W1714" s="1">
        <v>44160</v>
      </c>
      <c r="X1714" t="s">
        <v>56</v>
      </c>
      <c r="AA1714" t="s">
        <v>40</v>
      </c>
      <c r="AF1714" t="s">
        <v>40</v>
      </c>
      <c r="AG1714" t="s">
        <v>40</v>
      </c>
      <c r="AH1714" t="s">
        <v>40</v>
      </c>
    </row>
    <row r="1715" spans="1:39" x14ac:dyDescent="0.3">
      <c r="A1715">
        <v>2020</v>
      </c>
      <c r="B1715">
        <v>3</v>
      </c>
      <c r="C1715" t="str">
        <f t="shared" si="52"/>
        <v>3/01/2020</v>
      </c>
      <c r="D1715" s="1" t="str">
        <f t="shared" si="53"/>
        <v>3/01/2020</v>
      </c>
      <c r="E1715" t="s">
        <v>37</v>
      </c>
      <c r="F1715" t="s">
        <v>52</v>
      </c>
      <c r="G1715" t="s">
        <v>43</v>
      </c>
      <c r="H1715">
        <v>641</v>
      </c>
      <c r="I1715">
        <v>493</v>
      </c>
      <c r="J1715">
        <v>11</v>
      </c>
      <c r="K1715">
        <v>98</v>
      </c>
      <c r="L1715">
        <v>23</v>
      </c>
      <c r="M1715">
        <v>0</v>
      </c>
      <c r="N1715">
        <v>17</v>
      </c>
      <c r="Q1715">
        <v>10</v>
      </c>
      <c r="R1715">
        <v>14</v>
      </c>
      <c r="S1715">
        <v>95</v>
      </c>
      <c r="T1715">
        <v>27</v>
      </c>
      <c r="U1715">
        <v>31</v>
      </c>
      <c r="V1715">
        <v>31</v>
      </c>
      <c r="W1715" s="1">
        <v>44160</v>
      </c>
      <c r="X1715" t="s">
        <v>56</v>
      </c>
      <c r="AF1715" t="s">
        <v>40</v>
      </c>
      <c r="AG1715" t="s">
        <v>40</v>
      </c>
    </row>
    <row r="1716" spans="1:39" x14ac:dyDescent="0.3">
      <c r="A1716">
        <v>2020</v>
      </c>
      <c r="B1716">
        <v>3</v>
      </c>
      <c r="C1716" t="str">
        <f t="shared" si="52"/>
        <v>3/01/2020</v>
      </c>
      <c r="D1716" s="1" t="str">
        <f t="shared" si="53"/>
        <v>3/01/2020</v>
      </c>
      <c r="E1716" t="s">
        <v>37</v>
      </c>
      <c r="F1716" t="s">
        <v>52</v>
      </c>
      <c r="G1716" t="s">
        <v>44</v>
      </c>
      <c r="H1716" s="2">
        <v>1249</v>
      </c>
      <c r="I1716" s="2">
        <v>1127</v>
      </c>
      <c r="J1716">
        <v>30</v>
      </c>
      <c r="K1716">
        <v>274</v>
      </c>
      <c r="L1716">
        <v>66</v>
      </c>
      <c r="M1716">
        <v>0</v>
      </c>
      <c r="N1716">
        <v>26</v>
      </c>
      <c r="O1716">
        <v>31</v>
      </c>
      <c r="P1716">
        <v>15</v>
      </c>
      <c r="Q1716">
        <v>34</v>
      </c>
      <c r="R1716">
        <v>22</v>
      </c>
      <c r="S1716">
        <v>242</v>
      </c>
      <c r="T1716">
        <v>47</v>
      </c>
      <c r="U1716">
        <v>75</v>
      </c>
      <c r="V1716">
        <v>69</v>
      </c>
      <c r="W1716" s="1">
        <v>44160</v>
      </c>
      <c r="X1716" t="s">
        <v>56</v>
      </c>
    </row>
    <row r="1717" spans="1:39" x14ac:dyDescent="0.3">
      <c r="A1717">
        <v>2020</v>
      </c>
      <c r="B1717">
        <v>3</v>
      </c>
      <c r="C1717" t="str">
        <f t="shared" si="52"/>
        <v>3/01/2020</v>
      </c>
      <c r="D1717" s="1" t="str">
        <f t="shared" si="53"/>
        <v>3/01/2020</v>
      </c>
      <c r="E1717" t="s">
        <v>37</v>
      </c>
      <c r="F1717" t="s">
        <v>52</v>
      </c>
      <c r="G1717" t="s">
        <v>45</v>
      </c>
      <c r="H1717">
        <v>32</v>
      </c>
      <c r="I1717">
        <v>22</v>
      </c>
      <c r="L1717">
        <v>0</v>
      </c>
      <c r="M1717">
        <v>0</v>
      </c>
      <c r="P1717">
        <v>0</v>
      </c>
      <c r="Q1717">
        <v>0</v>
      </c>
      <c r="S1717">
        <v>0</v>
      </c>
      <c r="U1717">
        <v>0</v>
      </c>
      <c r="V1717">
        <v>0</v>
      </c>
      <c r="W1717" s="1">
        <v>44160</v>
      </c>
      <c r="X1717" t="s">
        <v>56</v>
      </c>
      <c r="AA1717" t="s">
        <v>40</v>
      </c>
      <c r="AB1717" t="s">
        <v>40</v>
      </c>
      <c r="AE1717" t="s">
        <v>40</v>
      </c>
      <c r="AF1717" t="s">
        <v>40</v>
      </c>
      <c r="AI1717" t="s">
        <v>40</v>
      </c>
      <c r="AK1717" t="s">
        <v>40</v>
      </c>
    </row>
    <row r="1718" spans="1:39" x14ac:dyDescent="0.3">
      <c r="A1718">
        <v>2020</v>
      </c>
      <c r="B1718">
        <v>3</v>
      </c>
      <c r="C1718" t="str">
        <f t="shared" si="52"/>
        <v>3/01/2020</v>
      </c>
      <c r="D1718" s="1" t="str">
        <f t="shared" si="53"/>
        <v>3/01/2020</v>
      </c>
      <c r="E1718" t="s">
        <v>37</v>
      </c>
      <c r="F1718" t="s">
        <v>52</v>
      </c>
      <c r="G1718" t="s">
        <v>46</v>
      </c>
      <c r="H1718" s="2">
        <v>2665</v>
      </c>
      <c r="I1718" s="2">
        <v>2521</v>
      </c>
      <c r="J1718">
        <v>53</v>
      </c>
      <c r="K1718">
        <v>676</v>
      </c>
      <c r="L1718">
        <v>124</v>
      </c>
      <c r="N1718">
        <v>63</v>
      </c>
      <c r="O1718">
        <v>120</v>
      </c>
      <c r="P1718">
        <v>40</v>
      </c>
      <c r="Q1718">
        <v>70</v>
      </c>
      <c r="R1718">
        <v>30</v>
      </c>
      <c r="S1718">
        <v>566</v>
      </c>
      <c r="T1718">
        <v>134</v>
      </c>
      <c r="U1718">
        <v>159</v>
      </c>
      <c r="V1718">
        <v>152</v>
      </c>
      <c r="W1718" s="1">
        <v>44160</v>
      </c>
      <c r="X1718" t="s">
        <v>56</v>
      </c>
      <c r="AD1718" t="s">
        <v>40</v>
      </c>
    </row>
    <row r="1719" spans="1:39" x14ac:dyDescent="0.3">
      <c r="A1719">
        <v>2020</v>
      </c>
      <c r="B1719">
        <v>3</v>
      </c>
      <c r="C1719" t="str">
        <f t="shared" si="52"/>
        <v>3/01/2020</v>
      </c>
      <c r="D1719" s="1" t="str">
        <f t="shared" si="53"/>
        <v>3/01/2020</v>
      </c>
      <c r="E1719" t="s">
        <v>37</v>
      </c>
      <c r="F1719" t="s">
        <v>52</v>
      </c>
      <c r="G1719" t="s">
        <v>47</v>
      </c>
      <c r="H1719" s="2">
        <v>3496</v>
      </c>
      <c r="I1719" s="2">
        <v>3409</v>
      </c>
      <c r="J1719">
        <v>64</v>
      </c>
      <c r="K1719">
        <v>886</v>
      </c>
      <c r="L1719">
        <v>196</v>
      </c>
      <c r="M1719">
        <v>52</v>
      </c>
      <c r="N1719">
        <v>108</v>
      </c>
      <c r="O1719">
        <v>149</v>
      </c>
      <c r="P1719">
        <v>49</v>
      </c>
      <c r="Q1719">
        <v>99</v>
      </c>
      <c r="R1719">
        <v>30</v>
      </c>
      <c r="S1719">
        <v>770</v>
      </c>
      <c r="T1719">
        <v>191</v>
      </c>
      <c r="U1719">
        <v>250</v>
      </c>
      <c r="V1719">
        <v>230</v>
      </c>
      <c r="W1719" s="1">
        <v>44160</v>
      </c>
      <c r="X1719" t="s">
        <v>56</v>
      </c>
    </row>
    <row r="1720" spans="1:39" x14ac:dyDescent="0.3">
      <c r="A1720">
        <v>2020</v>
      </c>
      <c r="B1720">
        <v>3</v>
      </c>
      <c r="C1720" t="str">
        <f t="shared" si="52"/>
        <v>3/01/2020</v>
      </c>
      <c r="D1720" s="1" t="str">
        <f t="shared" si="53"/>
        <v>3/01/2020</v>
      </c>
      <c r="E1720" t="s">
        <v>37</v>
      </c>
      <c r="F1720" t="s">
        <v>52</v>
      </c>
      <c r="G1720" t="s">
        <v>48</v>
      </c>
      <c r="H1720" s="2">
        <v>3738</v>
      </c>
      <c r="I1720" s="2">
        <v>3668</v>
      </c>
      <c r="J1720">
        <v>66</v>
      </c>
      <c r="K1720">
        <v>684</v>
      </c>
      <c r="L1720">
        <v>188</v>
      </c>
      <c r="M1720">
        <v>168</v>
      </c>
      <c r="N1720">
        <v>84</v>
      </c>
      <c r="O1720">
        <v>164</v>
      </c>
      <c r="P1720">
        <v>55</v>
      </c>
      <c r="Q1720">
        <v>133</v>
      </c>
      <c r="R1720">
        <v>33</v>
      </c>
      <c r="S1720">
        <v>904</v>
      </c>
      <c r="T1720">
        <v>243</v>
      </c>
      <c r="U1720">
        <v>236</v>
      </c>
      <c r="V1720">
        <v>220</v>
      </c>
      <c r="W1720" s="1">
        <v>44160</v>
      </c>
      <c r="X1720" t="s">
        <v>56</v>
      </c>
    </row>
    <row r="1721" spans="1:39" x14ac:dyDescent="0.3">
      <c r="A1721">
        <v>2020</v>
      </c>
      <c r="B1721">
        <v>3</v>
      </c>
      <c r="C1721" t="str">
        <f t="shared" si="52"/>
        <v>3/01/2020</v>
      </c>
      <c r="D1721" s="1" t="str">
        <f t="shared" si="53"/>
        <v>3/01/2020</v>
      </c>
      <c r="E1721" t="s">
        <v>37</v>
      </c>
      <c r="F1721" t="s">
        <v>52</v>
      </c>
      <c r="G1721" t="s">
        <v>49</v>
      </c>
      <c r="H1721" s="2">
        <v>4158</v>
      </c>
      <c r="I1721" s="2">
        <v>4107</v>
      </c>
      <c r="J1721">
        <v>63</v>
      </c>
      <c r="K1721">
        <v>382</v>
      </c>
      <c r="L1721">
        <v>133</v>
      </c>
      <c r="M1721">
        <v>401</v>
      </c>
      <c r="N1721">
        <v>109</v>
      </c>
      <c r="O1721">
        <v>113</v>
      </c>
      <c r="P1721">
        <v>46</v>
      </c>
      <c r="Q1721">
        <v>123</v>
      </c>
      <c r="R1721">
        <v>56</v>
      </c>
      <c r="S1721" s="2">
        <v>1066</v>
      </c>
      <c r="T1721">
        <v>352</v>
      </c>
      <c r="U1721">
        <v>179</v>
      </c>
      <c r="V1721">
        <v>168</v>
      </c>
      <c r="W1721" s="1">
        <v>44160</v>
      </c>
      <c r="X1721" t="s">
        <v>56</v>
      </c>
    </row>
    <row r="1722" spans="1:39" x14ac:dyDescent="0.3">
      <c r="A1722">
        <v>2020</v>
      </c>
      <c r="B1722">
        <v>3</v>
      </c>
      <c r="C1722" t="str">
        <f t="shared" si="52"/>
        <v>3/01/2020</v>
      </c>
      <c r="D1722" s="1" t="str">
        <f t="shared" si="53"/>
        <v>3/01/2020</v>
      </c>
      <c r="E1722" t="s">
        <v>37</v>
      </c>
      <c r="F1722" t="s">
        <v>53</v>
      </c>
      <c r="G1722" t="s">
        <v>39</v>
      </c>
      <c r="H1722">
        <v>320</v>
      </c>
      <c r="I1722">
        <v>284</v>
      </c>
      <c r="L1722">
        <v>0</v>
      </c>
      <c r="M1722">
        <v>0</v>
      </c>
      <c r="O1722">
        <v>0</v>
      </c>
      <c r="Q1722">
        <v>0</v>
      </c>
      <c r="R1722">
        <v>42</v>
      </c>
      <c r="U1722">
        <v>0</v>
      </c>
      <c r="V1722">
        <v>0</v>
      </c>
      <c r="W1722" s="1">
        <v>44160</v>
      </c>
      <c r="X1722" t="s">
        <v>56</v>
      </c>
      <c r="AA1722" t="s">
        <v>40</v>
      </c>
      <c r="AB1722" t="s">
        <v>40</v>
      </c>
      <c r="AE1722" t="s">
        <v>40</v>
      </c>
      <c r="AG1722" t="s">
        <v>40</v>
      </c>
      <c r="AJ1722" t="s">
        <v>40</v>
      </c>
      <c r="AK1722" t="s">
        <v>40</v>
      </c>
    </row>
    <row r="1723" spans="1:39" x14ac:dyDescent="0.3">
      <c r="A1723">
        <v>2020</v>
      </c>
      <c r="B1723">
        <v>3</v>
      </c>
      <c r="C1723" t="str">
        <f t="shared" si="52"/>
        <v>3/01/2020</v>
      </c>
      <c r="D1723" s="1" t="str">
        <f t="shared" si="53"/>
        <v>3/01/2020</v>
      </c>
      <c r="E1723" t="s">
        <v>37</v>
      </c>
      <c r="F1723" t="s">
        <v>53</v>
      </c>
      <c r="G1723" t="s">
        <v>41</v>
      </c>
      <c r="H1723">
        <v>356</v>
      </c>
      <c r="I1723">
        <v>129</v>
      </c>
      <c r="K1723">
        <v>31</v>
      </c>
      <c r="M1723">
        <v>0</v>
      </c>
      <c r="Q1723">
        <v>0</v>
      </c>
      <c r="R1723">
        <v>16</v>
      </c>
      <c r="S1723">
        <v>13</v>
      </c>
      <c r="U1723">
        <v>0</v>
      </c>
      <c r="V1723">
        <v>0</v>
      </c>
      <c r="W1723" s="1">
        <v>44160</v>
      </c>
      <c r="X1723" t="s">
        <v>56</v>
      </c>
      <c r="AA1723" t="s">
        <v>40</v>
      </c>
      <c r="AC1723" t="s">
        <v>40</v>
      </c>
      <c r="AE1723" t="s">
        <v>40</v>
      </c>
      <c r="AF1723" t="s">
        <v>40</v>
      </c>
      <c r="AG1723" t="s">
        <v>40</v>
      </c>
      <c r="AK1723" t="s">
        <v>40</v>
      </c>
    </row>
    <row r="1724" spans="1:39" x14ac:dyDescent="0.3">
      <c r="A1724">
        <v>2020</v>
      </c>
      <c r="B1724">
        <v>3</v>
      </c>
      <c r="C1724" t="str">
        <f t="shared" si="52"/>
        <v>3/01/2020</v>
      </c>
      <c r="D1724" s="1" t="str">
        <f t="shared" si="53"/>
        <v>3/01/2020</v>
      </c>
      <c r="E1724" t="s">
        <v>37</v>
      </c>
      <c r="F1724" t="s">
        <v>53</v>
      </c>
      <c r="G1724" t="s">
        <v>42</v>
      </c>
      <c r="H1724" s="2">
        <v>1033</v>
      </c>
      <c r="I1724">
        <v>459</v>
      </c>
      <c r="K1724">
        <v>91</v>
      </c>
      <c r="L1724">
        <v>20</v>
      </c>
      <c r="M1724">
        <v>0</v>
      </c>
      <c r="N1724">
        <v>24</v>
      </c>
      <c r="R1724">
        <v>24</v>
      </c>
      <c r="S1724">
        <v>68</v>
      </c>
      <c r="T1724">
        <v>10</v>
      </c>
      <c r="W1724" s="1">
        <v>44160</v>
      </c>
      <c r="X1724" t="s">
        <v>56</v>
      </c>
      <c r="AA1724" t="s">
        <v>40</v>
      </c>
      <c r="AF1724" t="s">
        <v>40</v>
      </c>
      <c r="AG1724" t="s">
        <v>40</v>
      </c>
      <c r="AH1724" t="s">
        <v>40</v>
      </c>
      <c r="AL1724" t="s">
        <v>40</v>
      </c>
      <c r="AM1724" t="s">
        <v>40</v>
      </c>
    </row>
    <row r="1725" spans="1:39" x14ac:dyDescent="0.3">
      <c r="A1725">
        <v>2020</v>
      </c>
      <c r="B1725">
        <v>3</v>
      </c>
      <c r="C1725" t="str">
        <f t="shared" si="52"/>
        <v>3/01/2020</v>
      </c>
      <c r="D1725" s="1" t="str">
        <f t="shared" si="53"/>
        <v>3/01/2020</v>
      </c>
      <c r="E1725" t="s">
        <v>37</v>
      </c>
      <c r="F1725" t="s">
        <v>53</v>
      </c>
      <c r="G1725" t="s">
        <v>43</v>
      </c>
      <c r="H1725" s="2">
        <v>1682</v>
      </c>
      <c r="I1725" s="2">
        <v>1048</v>
      </c>
      <c r="J1725">
        <v>24</v>
      </c>
      <c r="K1725">
        <v>282</v>
      </c>
      <c r="L1725">
        <v>38</v>
      </c>
      <c r="N1725">
        <v>44</v>
      </c>
      <c r="O1725">
        <v>29</v>
      </c>
      <c r="P1725">
        <v>18</v>
      </c>
      <c r="Q1725">
        <v>18</v>
      </c>
      <c r="R1725">
        <v>39</v>
      </c>
      <c r="S1725">
        <v>154</v>
      </c>
      <c r="T1725">
        <v>23</v>
      </c>
      <c r="U1725">
        <v>13</v>
      </c>
      <c r="V1725">
        <v>11</v>
      </c>
      <c r="W1725" s="1">
        <v>44160</v>
      </c>
      <c r="X1725" t="s">
        <v>56</v>
      </c>
      <c r="AD1725" t="s">
        <v>40</v>
      </c>
    </row>
    <row r="1726" spans="1:39" x14ac:dyDescent="0.3">
      <c r="A1726">
        <v>2020</v>
      </c>
      <c r="B1726">
        <v>3</v>
      </c>
      <c r="C1726" t="str">
        <f t="shared" si="52"/>
        <v>3/01/2020</v>
      </c>
      <c r="D1726" s="1" t="str">
        <f t="shared" si="53"/>
        <v>3/01/2020</v>
      </c>
      <c r="E1726" t="s">
        <v>37</v>
      </c>
      <c r="F1726" t="s">
        <v>53</v>
      </c>
      <c r="G1726" t="s">
        <v>44</v>
      </c>
      <c r="H1726" s="2">
        <v>3379</v>
      </c>
      <c r="I1726" s="2">
        <v>2759</v>
      </c>
      <c r="J1726">
        <v>76</v>
      </c>
      <c r="K1726">
        <v>937</v>
      </c>
      <c r="L1726">
        <v>114</v>
      </c>
      <c r="N1726">
        <v>96</v>
      </c>
      <c r="O1726">
        <v>130</v>
      </c>
      <c r="P1726">
        <v>31</v>
      </c>
      <c r="Q1726">
        <v>36</v>
      </c>
      <c r="R1726">
        <v>54</v>
      </c>
      <c r="S1726">
        <v>465</v>
      </c>
      <c r="T1726">
        <v>99</v>
      </c>
      <c r="U1726">
        <v>25</v>
      </c>
      <c r="V1726">
        <v>25</v>
      </c>
      <c r="W1726" s="1">
        <v>44160</v>
      </c>
      <c r="X1726" t="s">
        <v>56</v>
      </c>
      <c r="AD1726" t="s">
        <v>40</v>
      </c>
    </row>
    <row r="1727" spans="1:39" x14ac:dyDescent="0.3">
      <c r="A1727">
        <v>2020</v>
      </c>
      <c r="B1727">
        <v>3</v>
      </c>
      <c r="C1727" t="str">
        <f t="shared" si="52"/>
        <v>3/01/2020</v>
      </c>
      <c r="D1727" s="1" t="str">
        <f t="shared" si="53"/>
        <v>3/01/2020</v>
      </c>
      <c r="E1727" t="s">
        <v>37</v>
      </c>
      <c r="F1727" t="s">
        <v>53</v>
      </c>
      <c r="G1727" t="s">
        <v>45</v>
      </c>
      <c r="H1727">
        <v>88</v>
      </c>
      <c r="I1727">
        <v>56</v>
      </c>
      <c r="K1727">
        <v>22</v>
      </c>
      <c r="L1727">
        <v>0</v>
      </c>
      <c r="M1727">
        <v>0</v>
      </c>
      <c r="Q1727">
        <v>0</v>
      </c>
      <c r="S1727">
        <v>0</v>
      </c>
      <c r="U1727">
        <v>0</v>
      </c>
      <c r="V1727">
        <v>0</v>
      </c>
      <c r="W1727" s="1">
        <v>44160</v>
      </c>
      <c r="X1727" t="s">
        <v>56</v>
      </c>
      <c r="AA1727" t="s">
        <v>40</v>
      </c>
      <c r="AE1727" t="s">
        <v>40</v>
      </c>
      <c r="AF1727" t="s">
        <v>40</v>
      </c>
      <c r="AG1727" t="s">
        <v>40</v>
      </c>
      <c r="AI1727" t="s">
        <v>40</v>
      </c>
      <c r="AK1727" t="s">
        <v>40</v>
      </c>
    </row>
    <row r="1728" spans="1:39" x14ac:dyDescent="0.3">
      <c r="A1728">
        <v>2020</v>
      </c>
      <c r="B1728">
        <v>3</v>
      </c>
      <c r="C1728" t="str">
        <f t="shared" si="52"/>
        <v>3/01/2020</v>
      </c>
      <c r="D1728" s="1" t="str">
        <f t="shared" si="53"/>
        <v>3/01/2020</v>
      </c>
      <c r="E1728" t="s">
        <v>37</v>
      </c>
      <c r="F1728" t="s">
        <v>53</v>
      </c>
      <c r="G1728" t="s">
        <v>46</v>
      </c>
      <c r="H1728" s="2">
        <v>9258</v>
      </c>
      <c r="I1728" s="2">
        <v>8575</v>
      </c>
      <c r="J1728">
        <v>167</v>
      </c>
      <c r="K1728" s="2">
        <v>3056</v>
      </c>
      <c r="L1728">
        <v>293</v>
      </c>
      <c r="M1728">
        <v>58</v>
      </c>
      <c r="N1728">
        <v>279</v>
      </c>
      <c r="O1728">
        <v>780</v>
      </c>
      <c r="P1728">
        <v>168</v>
      </c>
      <c r="Q1728">
        <v>120</v>
      </c>
      <c r="R1728">
        <v>104</v>
      </c>
      <c r="S1728" s="2">
        <v>1370</v>
      </c>
      <c r="T1728">
        <v>284</v>
      </c>
      <c r="U1728">
        <v>86</v>
      </c>
      <c r="V1728">
        <v>79</v>
      </c>
      <c r="W1728" s="1">
        <v>44160</v>
      </c>
      <c r="X1728" t="s">
        <v>56</v>
      </c>
    </row>
    <row r="1729" spans="1:39" x14ac:dyDescent="0.3">
      <c r="A1729">
        <v>2020</v>
      </c>
      <c r="B1729">
        <v>3</v>
      </c>
      <c r="C1729" t="str">
        <f t="shared" si="52"/>
        <v>3/01/2020</v>
      </c>
      <c r="D1729" s="1" t="str">
        <f t="shared" si="53"/>
        <v>3/01/2020</v>
      </c>
      <c r="E1729" t="s">
        <v>37</v>
      </c>
      <c r="F1729" t="s">
        <v>53</v>
      </c>
      <c r="G1729" t="s">
        <v>47</v>
      </c>
      <c r="H1729" s="2">
        <v>16366</v>
      </c>
      <c r="I1729" s="2">
        <v>15874</v>
      </c>
      <c r="J1729">
        <v>296</v>
      </c>
      <c r="K1729" s="2">
        <v>5027</v>
      </c>
      <c r="L1729">
        <v>567</v>
      </c>
      <c r="M1729">
        <v>387</v>
      </c>
      <c r="N1729">
        <v>448</v>
      </c>
      <c r="O1729" s="2">
        <v>1597</v>
      </c>
      <c r="P1729">
        <v>317</v>
      </c>
      <c r="Q1729">
        <v>298</v>
      </c>
      <c r="R1729">
        <v>142</v>
      </c>
      <c r="S1729" s="2">
        <v>2769</v>
      </c>
      <c r="T1729">
        <v>713</v>
      </c>
      <c r="U1729">
        <v>213</v>
      </c>
      <c r="V1729">
        <v>201</v>
      </c>
      <c r="W1729" s="1">
        <v>44160</v>
      </c>
      <c r="X1729" t="s">
        <v>56</v>
      </c>
    </row>
    <row r="1730" spans="1:39" x14ac:dyDescent="0.3">
      <c r="A1730">
        <v>2020</v>
      </c>
      <c r="B1730">
        <v>3</v>
      </c>
      <c r="C1730" t="str">
        <f t="shared" si="52"/>
        <v>3/01/2020</v>
      </c>
      <c r="D1730" s="1" t="str">
        <f t="shared" si="53"/>
        <v>3/01/2020</v>
      </c>
      <c r="E1730" t="s">
        <v>37</v>
      </c>
      <c r="F1730" t="s">
        <v>53</v>
      </c>
      <c r="G1730" t="s">
        <v>48</v>
      </c>
      <c r="H1730" s="2">
        <v>24590</v>
      </c>
      <c r="I1730" s="2">
        <v>23942</v>
      </c>
      <c r="J1730">
        <v>369</v>
      </c>
      <c r="K1730" s="2">
        <v>5174</v>
      </c>
      <c r="L1730">
        <v>596</v>
      </c>
      <c r="M1730" s="2">
        <v>1653</v>
      </c>
      <c r="N1730">
        <v>716</v>
      </c>
      <c r="O1730" s="2">
        <v>2336</v>
      </c>
      <c r="P1730">
        <v>517</v>
      </c>
      <c r="Q1730">
        <v>390</v>
      </c>
      <c r="R1730">
        <v>248</v>
      </c>
      <c r="S1730" s="2">
        <v>4727</v>
      </c>
      <c r="T1730" s="2">
        <v>1481</v>
      </c>
      <c r="U1730">
        <v>372</v>
      </c>
      <c r="V1730">
        <v>358</v>
      </c>
      <c r="W1730" s="1">
        <v>44160</v>
      </c>
      <c r="X1730" t="s">
        <v>56</v>
      </c>
    </row>
    <row r="1731" spans="1:39" x14ac:dyDescent="0.3">
      <c r="A1731">
        <v>2020</v>
      </c>
      <c r="B1731">
        <v>3</v>
      </c>
      <c r="C1731" t="str">
        <f t="shared" ref="C1731:C1794" si="54">CONCATENATE(B1731,"/01/",A1731)</f>
        <v>3/01/2020</v>
      </c>
      <c r="D1731" s="1" t="str">
        <f t="shared" ref="D1731:D1794" si="55">C1731</f>
        <v>3/01/2020</v>
      </c>
      <c r="E1731" t="s">
        <v>37</v>
      </c>
      <c r="F1731" t="s">
        <v>53</v>
      </c>
      <c r="G1731" t="s">
        <v>49</v>
      </c>
      <c r="H1731" s="2">
        <v>40872</v>
      </c>
      <c r="I1731" s="2">
        <v>39706</v>
      </c>
      <c r="J1731">
        <v>426</v>
      </c>
      <c r="K1731" s="2">
        <v>3735</v>
      </c>
      <c r="L1731">
        <v>597</v>
      </c>
      <c r="M1731" s="2">
        <v>4247</v>
      </c>
      <c r="N1731" s="2">
        <v>1192</v>
      </c>
      <c r="O1731" s="2">
        <v>2117</v>
      </c>
      <c r="P1731">
        <v>639</v>
      </c>
      <c r="Q1731">
        <v>610</v>
      </c>
      <c r="R1731">
        <v>648</v>
      </c>
      <c r="S1731" s="2">
        <v>11224</v>
      </c>
      <c r="T1731" s="2">
        <v>3105</v>
      </c>
      <c r="U1731">
        <v>524</v>
      </c>
      <c r="V1731">
        <v>497</v>
      </c>
      <c r="W1731" s="1">
        <v>44160</v>
      </c>
      <c r="X1731" t="s">
        <v>56</v>
      </c>
    </row>
    <row r="1732" spans="1:39" x14ac:dyDescent="0.3">
      <c r="A1732">
        <v>2020</v>
      </c>
      <c r="B1732">
        <v>3</v>
      </c>
      <c r="C1732" t="str">
        <f t="shared" si="54"/>
        <v>3/01/2020</v>
      </c>
      <c r="D1732" s="1" t="str">
        <f t="shared" si="55"/>
        <v>3/01/2020</v>
      </c>
      <c r="E1732" t="s">
        <v>37</v>
      </c>
      <c r="F1732" t="s">
        <v>54</v>
      </c>
      <c r="G1732" t="s">
        <v>39</v>
      </c>
      <c r="H1732">
        <v>39</v>
      </c>
      <c r="I1732">
        <v>34</v>
      </c>
      <c r="J1732">
        <v>0</v>
      </c>
      <c r="K1732">
        <v>0</v>
      </c>
      <c r="L1732">
        <v>0</v>
      </c>
      <c r="M1732">
        <v>0</v>
      </c>
      <c r="O1732">
        <v>0</v>
      </c>
      <c r="P1732">
        <v>0</v>
      </c>
      <c r="Q1732">
        <v>0</v>
      </c>
      <c r="S1732">
        <v>0</v>
      </c>
      <c r="T1732">
        <v>0</v>
      </c>
      <c r="U1732">
        <v>0</v>
      </c>
      <c r="V1732">
        <v>0</v>
      </c>
      <c r="W1732" s="1">
        <v>44160</v>
      </c>
      <c r="X1732" t="s">
        <v>56</v>
      </c>
      <c r="AE1732" t="s">
        <v>40</v>
      </c>
      <c r="AI1732" t="s">
        <v>40</v>
      </c>
    </row>
    <row r="1733" spans="1:39" x14ac:dyDescent="0.3">
      <c r="A1733">
        <v>2020</v>
      </c>
      <c r="B1733">
        <v>3</v>
      </c>
      <c r="C1733" t="str">
        <f t="shared" si="54"/>
        <v>3/01/2020</v>
      </c>
      <c r="D1733" s="1" t="str">
        <f t="shared" si="55"/>
        <v>3/01/2020</v>
      </c>
      <c r="E1733" t="s">
        <v>37</v>
      </c>
      <c r="F1733" t="s">
        <v>54</v>
      </c>
      <c r="G1733" t="s">
        <v>41</v>
      </c>
      <c r="H1733">
        <v>14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S1733">
        <v>0</v>
      </c>
      <c r="T1733">
        <v>0</v>
      </c>
      <c r="U1733">
        <v>0</v>
      </c>
      <c r="V1733">
        <v>0</v>
      </c>
      <c r="W1733" s="1">
        <v>44160</v>
      </c>
      <c r="X1733" t="s">
        <v>56</v>
      </c>
      <c r="Z1733" t="s">
        <v>40</v>
      </c>
      <c r="AI1733" t="s">
        <v>40</v>
      </c>
    </row>
    <row r="1734" spans="1:39" x14ac:dyDescent="0.3">
      <c r="A1734">
        <v>2020</v>
      </c>
      <c r="B1734">
        <v>3</v>
      </c>
      <c r="C1734" t="str">
        <f t="shared" si="54"/>
        <v>3/01/2020</v>
      </c>
      <c r="D1734" s="1" t="str">
        <f t="shared" si="55"/>
        <v>3/01/2020</v>
      </c>
      <c r="E1734" t="s">
        <v>37</v>
      </c>
      <c r="F1734" t="s">
        <v>54</v>
      </c>
      <c r="G1734" t="s">
        <v>42</v>
      </c>
      <c r="H1734">
        <v>28</v>
      </c>
      <c r="I1734">
        <v>18</v>
      </c>
      <c r="J1734">
        <v>0</v>
      </c>
      <c r="L1734">
        <v>0</v>
      </c>
      <c r="M1734">
        <v>0</v>
      </c>
      <c r="P1734">
        <v>0</v>
      </c>
      <c r="Q1734">
        <v>0</v>
      </c>
      <c r="T1734">
        <v>0</v>
      </c>
      <c r="W1734" s="1">
        <v>44160</v>
      </c>
      <c r="X1734" t="s">
        <v>56</v>
      </c>
      <c r="AB1734" t="s">
        <v>40</v>
      </c>
      <c r="AE1734" t="s">
        <v>40</v>
      </c>
      <c r="AF1734" t="s">
        <v>40</v>
      </c>
      <c r="AI1734" t="s">
        <v>40</v>
      </c>
      <c r="AJ1734" t="s">
        <v>40</v>
      </c>
      <c r="AL1734" t="s">
        <v>40</v>
      </c>
      <c r="AM1734" t="s">
        <v>40</v>
      </c>
    </row>
    <row r="1735" spans="1:39" x14ac:dyDescent="0.3">
      <c r="A1735">
        <v>2020</v>
      </c>
      <c r="B1735">
        <v>3</v>
      </c>
      <c r="C1735" t="str">
        <f t="shared" si="54"/>
        <v>3/01/2020</v>
      </c>
      <c r="D1735" s="1" t="str">
        <f t="shared" si="55"/>
        <v>3/01/2020</v>
      </c>
      <c r="E1735" t="s">
        <v>37</v>
      </c>
      <c r="F1735" t="s">
        <v>54</v>
      </c>
      <c r="G1735" t="s">
        <v>43</v>
      </c>
      <c r="H1735">
        <v>44</v>
      </c>
      <c r="I1735">
        <v>31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T1735">
        <v>0</v>
      </c>
      <c r="W1735" s="1">
        <v>44160</v>
      </c>
      <c r="X1735" t="s">
        <v>56</v>
      </c>
      <c r="AA1735" t="s">
        <v>40</v>
      </c>
      <c r="AB1735" t="s">
        <v>40</v>
      </c>
      <c r="AI1735" t="s">
        <v>40</v>
      </c>
      <c r="AJ1735" t="s">
        <v>40</v>
      </c>
      <c r="AL1735" t="s">
        <v>40</v>
      </c>
      <c r="AM1735" t="s">
        <v>40</v>
      </c>
    </row>
    <row r="1736" spans="1:39" x14ac:dyDescent="0.3">
      <c r="A1736">
        <v>2020</v>
      </c>
      <c r="B1736">
        <v>3</v>
      </c>
      <c r="C1736" t="str">
        <f t="shared" si="54"/>
        <v>3/01/2020</v>
      </c>
      <c r="D1736" s="1" t="str">
        <f t="shared" si="55"/>
        <v>3/01/2020</v>
      </c>
      <c r="E1736" t="s">
        <v>37</v>
      </c>
      <c r="F1736" t="s">
        <v>54</v>
      </c>
      <c r="G1736" t="s">
        <v>44</v>
      </c>
      <c r="H1736">
        <v>91</v>
      </c>
      <c r="I1736">
        <v>71</v>
      </c>
      <c r="K1736">
        <v>20</v>
      </c>
      <c r="M1736">
        <v>0</v>
      </c>
      <c r="P1736">
        <v>0</v>
      </c>
      <c r="S1736">
        <v>17</v>
      </c>
      <c r="W1736" s="1">
        <v>44160</v>
      </c>
      <c r="X1736" t="s">
        <v>56</v>
      </c>
      <c r="AA1736" t="s">
        <v>40</v>
      </c>
      <c r="AC1736" t="s">
        <v>40</v>
      </c>
      <c r="AE1736" t="s">
        <v>40</v>
      </c>
      <c r="AF1736" t="s">
        <v>40</v>
      </c>
      <c r="AH1736" t="s">
        <v>40</v>
      </c>
      <c r="AI1736" t="s">
        <v>40</v>
      </c>
      <c r="AK1736" t="s">
        <v>40</v>
      </c>
      <c r="AL1736" t="s">
        <v>40</v>
      </c>
      <c r="AM1736" t="s">
        <v>40</v>
      </c>
    </row>
    <row r="1737" spans="1:39" x14ac:dyDescent="0.3">
      <c r="A1737">
        <v>2020</v>
      </c>
      <c r="B1737">
        <v>3</v>
      </c>
      <c r="C1737" t="str">
        <f t="shared" si="54"/>
        <v>3/01/2020</v>
      </c>
      <c r="D1737" s="1" t="str">
        <f t="shared" si="55"/>
        <v>3/01/2020</v>
      </c>
      <c r="E1737" t="s">
        <v>37</v>
      </c>
      <c r="F1737" t="s">
        <v>54</v>
      </c>
      <c r="G1737" t="s">
        <v>45</v>
      </c>
      <c r="K1737">
        <v>0</v>
      </c>
      <c r="L1737">
        <v>0</v>
      </c>
      <c r="M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 s="1">
        <v>44160</v>
      </c>
      <c r="X1737" t="s">
        <v>56</v>
      </c>
      <c r="Y1737" t="s">
        <v>40</v>
      </c>
      <c r="Z1737" t="s">
        <v>40</v>
      </c>
      <c r="AA1737" t="s">
        <v>40</v>
      </c>
      <c r="AE1737" t="s">
        <v>40</v>
      </c>
    </row>
    <row r="1738" spans="1:39" x14ac:dyDescent="0.3">
      <c r="A1738">
        <v>2020</v>
      </c>
      <c r="B1738">
        <v>3</v>
      </c>
      <c r="C1738" t="str">
        <f t="shared" si="54"/>
        <v>3/01/2020</v>
      </c>
      <c r="D1738" s="1" t="str">
        <f t="shared" si="55"/>
        <v>3/01/2020</v>
      </c>
      <c r="E1738" t="s">
        <v>37</v>
      </c>
      <c r="F1738" t="s">
        <v>54</v>
      </c>
      <c r="G1738" t="s">
        <v>46</v>
      </c>
      <c r="H1738">
        <v>152</v>
      </c>
      <c r="I1738">
        <v>137</v>
      </c>
      <c r="K1738">
        <v>34</v>
      </c>
      <c r="M1738">
        <v>0</v>
      </c>
      <c r="S1738">
        <v>37</v>
      </c>
      <c r="W1738" s="1">
        <v>44160</v>
      </c>
      <c r="X1738" t="s">
        <v>56</v>
      </c>
      <c r="AA1738" t="s">
        <v>40</v>
      </c>
      <c r="AC1738" t="s">
        <v>40</v>
      </c>
      <c r="AE1738" t="s">
        <v>40</v>
      </c>
      <c r="AF1738" t="s">
        <v>40</v>
      </c>
      <c r="AG1738" t="s">
        <v>40</v>
      </c>
      <c r="AH1738" t="s">
        <v>40</v>
      </c>
      <c r="AI1738" t="s">
        <v>40</v>
      </c>
      <c r="AK1738" t="s">
        <v>40</v>
      </c>
      <c r="AL1738" t="s">
        <v>40</v>
      </c>
      <c r="AM1738" t="s">
        <v>40</v>
      </c>
    </row>
    <row r="1739" spans="1:39" x14ac:dyDescent="0.3">
      <c r="A1739">
        <v>2020</v>
      </c>
      <c r="B1739">
        <v>3</v>
      </c>
      <c r="C1739" t="str">
        <f t="shared" si="54"/>
        <v>3/01/2020</v>
      </c>
      <c r="D1739" s="1" t="str">
        <f t="shared" si="55"/>
        <v>3/01/2020</v>
      </c>
      <c r="E1739" t="s">
        <v>37</v>
      </c>
      <c r="F1739" t="s">
        <v>54</v>
      </c>
      <c r="G1739" t="s">
        <v>47</v>
      </c>
      <c r="H1739">
        <v>213</v>
      </c>
      <c r="I1739">
        <v>208</v>
      </c>
      <c r="K1739">
        <v>58</v>
      </c>
      <c r="O1739">
        <v>11</v>
      </c>
      <c r="P1739">
        <v>0</v>
      </c>
      <c r="S1739">
        <v>53</v>
      </c>
      <c r="U1739">
        <v>10</v>
      </c>
      <c r="W1739" s="1">
        <v>44160</v>
      </c>
      <c r="X1739" t="s">
        <v>56</v>
      </c>
      <c r="AA1739" t="s">
        <v>40</v>
      </c>
      <c r="AC1739" t="s">
        <v>40</v>
      </c>
      <c r="AD1739" t="s">
        <v>40</v>
      </c>
      <c r="AE1739" t="s">
        <v>40</v>
      </c>
      <c r="AH1739" t="s">
        <v>40</v>
      </c>
      <c r="AI1739" t="s">
        <v>40</v>
      </c>
      <c r="AK1739" t="s">
        <v>40</v>
      </c>
      <c r="AM1739" t="s">
        <v>40</v>
      </c>
    </row>
    <row r="1740" spans="1:39" x14ac:dyDescent="0.3">
      <c r="A1740">
        <v>2020</v>
      </c>
      <c r="B1740">
        <v>3</v>
      </c>
      <c r="C1740" t="str">
        <f t="shared" si="54"/>
        <v>3/01/2020</v>
      </c>
      <c r="D1740" s="1" t="str">
        <f t="shared" si="55"/>
        <v>3/01/2020</v>
      </c>
      <c r="E1740" t="s">
        <v>37</v>
      </c>
      <c r="F1740" t="s">
        <v>54</v>
      </c>
      <c r="G1740" t="s">
        <v>48</v>
      </c>
      <c r="H1740">
        <v>200</v>
      </c>
      <c r="I1740">
        <v>197</v>
      </c>
      <c r="K1740">
        <v>42</v>
      </c>
      <c r="L1740">
        <v>10</v>
      </c>
      <c r="O1740">
        <v>13</v>
      </c>
      <c r="S1740">
        <v>50</v>
      </c>
      <c r="T1740">
        <v>12</v>
      </c>
      <c r="W1740" s="1">
        <v>44160</v>
      </c>
      <c r="X1740" t="s">
        <v>56</v>
      </c>
      <c r="AA1740" t="s">
        <v>40</v>
      </c>
      <c r="AD1740" t="s">
        <v>40</v>
      </c>
      <c r="AE1740" t="s">
        <v>40</v>
      </c>
      <c r="AG1740" t="s">
        <v>40</v>
      </c>
      <c r="AH1740" t="s">
        <v>40</v>
      </c>
      <c r="AI1740" t="s">
        <v>40</v>
      </c>
      <c r="AL1740" t="s">
        <v>40</v>
      </c>
      <c r="AM1740" t="s">
        <v>40</v>
      </c>
    </row>
    <row r="1741" spans="1:39" x14ac:dyDescent="0.3">
      <c r="A1741">
        <v>2020</v>
      </c>
      <c r="B1741">
        <v>3</v>
      </c>
      <c r="C1741" t="str">
        <f t="shared" si="54"/>
        <v>3/01/2020</v>
      </c>
      <c r="D1741" s="1" t="str">
        <f t="shared" si="55"/>
        <v>3/01/2020</v>
      </c>
      <c r="E1741" t="s">
        <v>37</v>
      </c>
      <c r="F1741" t="s">
        <v>54</v>
      </c>
      <c r="G1741" t="s">
        <v>49</v>
      </c>
      <c r="H1741">
        <v>186</v>
      </c>
      <c r="I1741">
        <v>184</v>
      </c>
      <c r="K1741">
        <v>19</v>
      </c>
      <c r="M1741">
        <v>15</v>
      </c>
      <c r="S1741">
        <v>49</v>
      </c>
      <c r="T1741">
        <v>14</v>
      </c>
      <c r="U1741">
        <v>10</v>
      </c>
      <c r="V1741">
        <v>10</v>
      </c>
      <c r="W1741" s="1">
        <v>44160</v>
      </c>
      <c r="X1741" t="s">
        <v>56</v>
      </c>
      <c r="AA1741" t="s">
        <v>40</v>
      </c>
      <c r="AC1741" t="s">
        <v>40</v>
      </c>
      <c r="AE1741" t="s">
        <v>40</v>
      </c>
      <c r="AF1741" t="s">
        <v>40</v>
      </c>
      <c r="AG1741" t="s">
        <v>40</v>
      </c>
      <c r="AH1741" t="s">
        <v>40</v>
      </c>
      <c r="AI1741" t="s">
        <v>40</v>
      </c>
    </row>
    <row r="1742" spans="1:39" x14ac:dyDescent="0.3">
      <c r="A1742">
        <v>2020</v>
      </c>
      <c r="B1742">
        <v>3</v>
      </c>
      <c r="C1742" t="str">
        <f t="shared" si="54"/>
        <v>3/01/2020</v>
      </c>
      <c r="D1742" s="1" t="str">
        <f t="shared" si="55"/>
        <v>3/01/2020</v>
      </c>
      <c r="E1742" t="s">
        <v>55</v>
      </c>
      <c r="F1742" t="s">
        <v>38</v>
      </c>
      <c r="G1742" t="s">
        <v>39</v>
      </c>
      <c r="H1742">
        <v>235</v>
      </c>
      <c r="I1742">
        <v>209</v>
      </c>
      <c r="L1742">
        <v>0</v>
      </c>
      <c r="M1742">
        <v>0</v>
      </c>
      <c r="O1742">
        <v>0</v>
      </c>
      <c r="Q1742">
        <v>0</v>
      </c>
      <c r="R1742">
        <v>25</v>
      </c>
      <c r="W1742" s="1">
        <v>44160</v>
      </c>
      <c r="X1742" t="s">
        <v>56</v>
      </c>
      <c r="AA1742" t="s">
        <v>40</v>
      </c>
      <c r="AB1742" t="s">
        <v>40</v>
      </c>
      <c r="AE1742" t="s">
        <v>40</v>
      </c>
      <c r="AG1742" t="s">
        <v>40</v>
      </c>
      <c r="AJ1742" t="s">
        <v>40</v>
      </c>
      <c r="AK1742" t="s">
        <v>40</v>
      </c>
      <c r="AL1742" t="s">
        <v>40</v>
      </c>
      <c r="AM1742" t="s">
        <v>40</v>
      </c>
    </row>
    <row r="1743" spans="1:39" x14ac:dyDescent="0.3">
      <c r="A1743">
        <v>2020</v>
      </c>
      <c r="B1743">
        <v>3</v>
      </c>
      <c r="C1743" t="str">
        <f t="shared" si="54"/>
        <v>3/01/2020</v>
      </c>
      <c r="D1743" s="1" t="str">
        <f t="shared" si="55"/>
        <v>3/01/2020</v>
      </c>
      <c r="E1743" t="s">
        <v>55</v>
      </c>
      <c r="F1743" t="s">
        <v>38</v>
      </c>
      <c r="G1743" t="s">
        <v>41</v>
      </c>
      <c r="H1743">
        <v>406</v>
      </c>
      <c r="I1743">
        <v>78</v>
      </c>
      <c r="K1743">
        <v>21</v>
      </c>
      <c r="M1743">
        <v>0</v>
      </c>
      <c r="W1743" s="1">
        <v>44160</v>
      </c>
      <c r="X1743" t="s">
        <v>56</v>
      </c>
      <c r="AA1743" t="s">
        <v>40</v>
      </c>
      <c r="AC1743" t="s">
        <v>40</v>
      </c>
      <c r="AE1743" t="s">
        <v>40</v>
      </c>
      <c r="AF1743" t="s">
        <v>40</v>
      </c>
      <c r="AG1743" t="s">
        <v>40</v>
      </c>
      <c r="AH1743" t="s">
        <v>40</v>
      </c>
      <c r="AI1743" t="s">
        <v>40</v>
      </c>
      <c r="AJ1743" t="s">
        <v>40</v>
      </c>
      <c r="AK1743" t="s">
        <v>40</v>
      </c>
      <c r="AL1743" t="s">
        <v>40</v>
      </c>
      <c r="AM1743" t="s">
        <v>40</v>
      </c>
    </row>
    <row r="1744" spans="1:39" x14ac:dyDescent="0.3">
      <c r="A1744">
        <v>2020</v>
      </c>
      <c r="B1744">
        <v>3</v>
      </c>
      <c r="C1744" t="str">
        <f t="shared" si="54"/>
        <v>3/01/2020</v>
      </c>
      <c r="D1744" s="1" t="str">
        <f t="shared" si="55"/>
        <v>3/01/2020</v>
      </c>
      <c r="E1744" t="s">
        <v>55</v>
      </c>
      <c r="F1744" t="s">
        <v>38</v>
      </c>
      <c r="G1744" t="s">
        <v>42</v>
      </c>
      <c r="H1744">
        <v>643</v>
      </c>
      <c r="I1744">
        <v>217</v>
      </c>
      <c r="K1744">
        <v>32</v>
      </c>
      <c r="M1744">
        <v>0</v>
      </c>
      <c r="N1744">
        <v>10</v>
      </c>
      <c r="R1744">
        <v>21</v>
      </c>
      <c r="S1744">
        <v>27</v>
      </c>
      <c r="U1744">
        <v>30</v>
      </c>
      <c r="V1744">
        <v>27</v>
      </c>
      <c r="W1744" s="1">
        <v>44160</v>
      </c>
      <c r="X1744" t="s">
        <v>56</v>
      </c>
      <c r="AA1744" t="s">
        <v>40</v>
      </c>
      <c r="AC1744" t="s">
        <v>40</v>
      </c>
      <c r="AF1744" t="s">
        <v>40</v>
      </c>
      <c r="AG1744" t="s">
        <v>40</v>
      </c>
      <c r="AH1744" t="s">
        <v>40</v>
      </c>
      <c r="AK1744" t="s">
        <v>40</v>
      </c>
    </row>
    <row r="1745" spans="1:39" x14ac:dyDescent="0.3">
      <c r="A1745">
        <v>2020</v>
      </c>
      <c r="B1745">
        <v>3</v>
      </c>
      <c r="C1745" t="str">
        <f t="shared" si="54"/>
        <v>3/01/2020</v>
      </c>
      <c r="D1745" s="1" t="str">
        <f t="shared" si="55"/>
        <v>3/01/2020</v>
      </c>
      <c r="E1745" t="s">
        <v>55</v>
      </c>
      <c r="F1745" t="s">
        <v>38</v>
      </c>
      <c r="G1745" t="s">
        <v>43</v>
      </c>
      <c r="H1745">
        <v>854</v>
      </c>
      <c r="I1745">
        <v>490</v>
      </c>
      <c r="K1745">
        <v>73</v>
      </c>
      <c r="L1745">
        <v>22</v>
      </c>
      <c r="M1745">
        <v>0</v>
      </c>
      <c r="N1745">
        <v>18</v>
      </c>
      <c r="R1745">
        <v>27</v>
      </c>
      <c r="S1745">
        <v>89</v>
      </c>
      <c r="T1745">
        <v>16</v>
      </c>
      <c r="U1745">
        <v>65</v>
      </c>
      <c r="V1745">
        <v>64</v>
      </c>
      <c r="W1745" s="1">
        <v>44160</v>
      </c>
      <c r="X1745" t="s">
        <v>56</v>
      </c>
      <c r="AA1745" t="s">
        <v>40</v>
      </c>
      <c r="AF1745" t="s">
        <v>40</v>
      </c>
      <c r="AG1745" t="s">
        <v>40</v>
      </c>
      <c r="AH1745" t="s">
        <v>40</v>
      </c>
    </row>
    <row r="1746" spans="1:39" x14ac:dyDescent="0.3">
      <c r="A1746">
        <v>2020</v>
      </c>
      <c r="B1746">
        <v>3</v>
      </c>
      <c r="C1746" t="str">
        <f t="shared" si="54"/>
        <v>3/01/2020</v>
      </c>
      <c r="D1746" s="1" t="str">
        <f t="shared" si="55"/>
        <v>3/01/2020</v>
      </c>
      <c r="E1746" t="s">
        <v>55</v>
      </c>
      <c r="F1746" t="s">
        <v>38</v>
      </c>
      <c r="G1746" t="s">
        <v>44</v>
      </c>
      <c r="H1746" s="2">
        <v>1226</v>
      </c>
      <c r="I1746">
        <v>980</v>
      </c>
      <c r="J1746">
        <v>11</v>
      </c>
      <c r="K1746">
        <v>191</v>
      </c>
      <c r="L1746">
        <v>64</v>
      </c>
      <c r="N1746">
        <v>31</v>
      </c>
      <c r="O1746">
        <v>10</v>
      </c>
      <c r="Q1746">
        <v>11</v>
      </c>
      <c r="R1746">
        <v>11</v>
      </c>
      <c r="S1746">
        <v>224</v>
      </c>
      <c r="T1746">
        <v>61</v>
      </c>
      <c r="U1746">
        <v>114</v>
      </c>
      <c r="V1746">
        <v>111</v>
      </c>
      <c r="W1746" s="1">
        <v>44160</v>
      </c>
      <c r="X1746" t="s">
        <v>56</v>
      </c>
      <c r="AD1746" t="s">
        <v>40</v>
      </c>
      <c r="AG1746" t="s">
        <v>40</v>
      </c>
    </row>
    <row r="1747" spans="1:39" x14ac:dyDescent="0.3">
      <c r="A1747">
        <v>2020</v>
      </c>
      <c r="B1747">
        <v>3</v>
      </c>
      <c r="C1747" t="str">
        <f t="shared" si="54"/>
        <v>3/01/2020</v>
      </c>
      <c r="D1747" s="1" t="str">
        <f t="shared" si="55"/>
        <v>3/01/2020</v>
      </c>
      <c r="E1747" t="s">
        <v>55</v>
      </c>
      <c r="F1747" t="s">
        <v>38</v>
      </c>
      <c r="G1747" t="s">
        <v>45</v>
      </c>
      <c r="H1747">
        <v>50</v>
      </c>
      <c r="I1747">
        <v>31</v>
      </c>
      <c r="J1747">
        <v>0</v>
      </c>
      <c r="L1747">
        <v>0</v>
      </c>
      <c r="M1747">
        <v>0</v>
      </c>
      <c r="N1747">
        <v>0</v>
      </c>
      <c r="P1747">
        <v>0</v>
      </c>
      <c r="Q1747">
        <v>0</v>
      </c>
      <c r="U1747">
        <v>0</v>
      </c>
      <c r="V1747">
        <v>0</v>
      </c>
      <c r="W1747" s="1">
        <v>44160</v>
      </c>
      <c r="X1747" t="s">
        <v>56</v>
      </c>
      <c r="AB1747" t="s">
        <v>40</v>
      </c>
      <c r="AF1747" t="s">
        <v>40</v>
      </c>
      <c r="AI1747" t="s">
        <v>40</v>
      </c>
      <c r="AJ1747" t="s">
        <v>40</v>
      </c>
      <c r="AK1747" t="s">
        <v>40</v>
      </c>
    </row>
    <row r="1748" spans="1:39" x14ac:dyDescent="0.3">
      <c r="A1748">
        <v>2020</v>
      </c>
      <c r="B1748">
        <v>3</v>
      </c>
      <c r="C1748" t="str">
        <f t="shared" si="54"/>
        <v>3/01/2020</v>
      </c>
      <c r="D1748" s="1" t="str">
        <f t="shared" si="55"/>
        <v>3/01/2020</v>
      </c>
      <c r="E1748" t="s">
        <v>55</v>
      </c>
      <c r="F1748" t="s">
        <v>38</v>
      </c>
      <c r="G1748" t="s">
        <v>46</v>
      </c>
      <c r="H1748" s="2">
        <v>2057</v>
      </c>
      <c r="I1748" s="2">
        <v>1845</v>
      </c>
      <c r="J1748">
        <v>30</v>
      </c>
      <c r="K1748">
        <v>399</v>
      </c>
      <c r="L1748">
        <v>132</v>
      </c>
      <c r="N1748">
        <v>64</v>
      </c>
      <c r="O1748">
        <v>33</v>
      </c>
      <c r="P1748">
        <v>31</v>
      </c>
      <c r="Q1748">
        <v>37</v>
      </c>
      <c r="R1748">
        <v>22</v>
      </c>
      <c r="S1748">
        <v>450</v>
      </c>
      <c r="T1748">
        <v>82</v>
      </c>
      <c r="U1748">
        <v>154</v>
      </c>
      <c r="V1748">
        <v>147</v>
      </c>
      <c r="W1748" s="1">
        <v>44160</v>
      </c>
      <c r="X1748" t="s">
        <v>56</v>
      </c>
      <c r="AD1748" t="s">
        <v>40</v>
      </c>
    </row>
    <row r="1749" spans="1:39" x14ac:dyDescent="0.3">
      <c r="A1749">
        <v>2020</v>
      </c>
      <c r="B1749">
        <v>3</v>
      </c>
      <c r="C1749" t="str">
        <f t="shared" si="54"/>
        <v>3/01/2020</v>
      </c>
      <c r="D1749" s="1" t="str">
        <f t="shared" si="55"/>
        <v>3/01/2020</v>
      </c>
      <c r="E1749" t="s">
        <v>55</v>
      </c>
      <c r="F1749" t="s">
        <v>38</v>
      </c>
      <c r="G1749" t="s">
        <v>47</v>
      </c>
      <c r="H1749" s="2">
        <v>2248</v>
      </c>
      <c r="I1749" s="2">
        <v>2154</v>
      </c>
      <c r="J1749">
        <v>25</v>
      </c>
      <c r="K1749">
        <v>570</v>
      </c>
      <c r="L1749">
        <v>143</v>
      </c>
      <c r="M1749">
        <v>26</v>
      </c>
      <c r="N1749">
        <v>70</v>
      </c>
      <c r="O1749">
        <v>61</v>
      </c>
      <c r="P1749">
        <v>54</v>
      </c>
      <c r="Q1749">
        <v>62</v>
      </c>
      <c r="R1749">
        <v>15</v>
      </c>
      <c r="S1749">
        <v>467</v>
      </c>
      <c r="T1749">
        <v>103</v>
      </c>
      <c r="U1749">
        <v>164</v>
      </c>
      <c r="V1749">
        <v>157</v>
      </c>
      <c r="W1749" s="1">
        <v>44160</v>
      </c>
      <c r="X1749" t="s">
        <v>56</v>
      </c>
    </row>
    <row r="1750" spans="1:39" x14ac:dyDescent="0.3">
      <c r="A1750">
        <v>2020</v>
      </c>
      <c r="B1750">
        <v>3</v>
      </c>
      <c r="C1750" t="str">
        <f t="shared" si="54"/>
        <v>3/01/2020</v>
      </c>
      <c r="D1750" s="1" t="str">
        <f t="shared" si="55"/>
        <v>3/01/2020</v>
      </c>
      <c r="E1750" t="s">
        <v>55</v>
      </c>
      <c r="F1750" t="s">
        <v>38</v>
      </c>
      <c r="G1750" t="s">
        <v>48</v>
      </c>
      <c r="H1750" s="2">
        <v>2159</v>
      </c>
      <c r="I1750" s="2">
        <v>2110</v>
      </c>
      <c r="J1750">
        <v>28</v>
      </c>
      <c r="K1750">
        <v>416</v>
      </c>
      <c r="L1750">
        <v>123</v>
      </c>
      <c r="M1750">
        <v>86</v>
      </c>
      <c r="N1750">
        <v>52</v>
      </c>
      <c r="O1750">
        <v>79</v>
      </c>
      <c r="P1750">
        <v>54</v>
      </c>
      <c r="Q1750">
        <v>48</v>
      </c>
      <c r="R1750">
        <v>15</v>
      </c>
      <c r="S1750">
        <v>513</v>
      </c>
      <c r="T1750">
        <v>130</v>
      </c>
      <c r="U1750">
        <v>136</v>
      </c>
      <c r="V1750">
        <v>126</v>
      </c>
      <c r="W1750" s="1">
        <v>44160</v>
      </c>
      <c r="X1750" t="s">
        <v>56</v>
      </c>
    </row>
    <row r="1751" spans="1:39" x14ac:dyDescent="0.3">
      <c r="A1751">
        <v>2020</v>
      </c>
      <c r="B1751">
        <v>3</v>
      </c>
      <c r="C1751" t="str">
        <f t="shared" si="54"/>
        <v>3/01/2020</v>
      </c>
      <c r="D1751" s="1" t="str">
        <f t="shared" si="55"/>
        <v>3/01/2020</v>
      </c>
      <c r="E1751" t="s">
        <v>55</v>
      </c>
      <c r="F1751" t="s">
        <v>38</v>
      </c>
      <c r="G1751" t="s">
        <v>49</v>
      </c>
      <c r="H1751" s="2">
        <v>1927</v>
      </c>
      <c r="I1751" s="2">
        <v>1877</v>
      </c>
      <c r="J1751">
        <v>29</v>
      </c>
      <c r="K1751">
        <v>242</v>
      </c>
      <c r="L1751">
        <v>65</v>
      </c>
      <c r="M1751">
        <v>142</v>
      </c>
      <c r="N1751">
        <v>72</v>
      </c>
      <c r="O1751">
        <v>93</v>
      </c>
      <c r="P1751">
        <v>37</v>
      </c>
      <c r="Q1751">
        <v>43</v>
      </c>
      <c r="R1751">
        <v>18</v>
      </c>
      <c r="S1751">
        <v>524</v>
      </c>
      <c r="T1751">
        <v>145</v>
      </c>
      <c r="U1751">
        <v>86</v>
      </c>
      <c r="V1751">
        <v>82</v>
      </c>
      <c r="W1751" s="1">
        <v>44160</v>
      </c>
      <c r="X1751" t="s">
        <v>56</v>
      </c>
    </row>
    <row r="1752" spans="1:39" x14ac:dyDescent="0.3">
      <c r="A1752">
        <v>2020</v>
      </c>
      <c r="B1752">
        <v>3</v>
      </c>
      <c r="C1752" t="str">
        <f t="shared" si="54"/>
        <v>3/01/2020</v>
      </c>
      <c r="D1752" s="1" t="str">
        <f t="shared" si="55"/>
        <v>3/01/2020</v>
      </c>
      <c r="E1752" t="s">
        <v>55</v>
      </c>
      <c r="F1752" t="s">
        <v>50</v>
      </c>
      <c r="G1752" t="s">
        <v>39</v>
      </c>
      <c r="H1752">
        <v>11</v>
      </c>
      <c r="J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S1752">
        <v>0</v>
      </c>
      <c r="T1752">
        <v>0</v>
      </c>
      <c r="U1752">
        <v>0</v>
      </c>
      <c r="V1752">
        <v>0</v>
      </c>
      <c r="W1752" s="1">
        <v>44160</v>
      </c>
      <c r="X1752" t="s">
        <v>56</v>
      </c>
      <c r="Z1752" t="s">
        <v>40</v>
      </c>
      <c r="AB1752" t="s">
        <v>40</v>
      </c>
      <c r="AI1752" t="s">
        <v>40</v>
      </c>
    </row>
    <row r="1753" spans="1:39" x14ac:dyDescent="0.3">
      <c r="A1753">
        <v>2020</v>
      </c>
      <c r="B1753">
        <v>3</v>
      </c>
      <c r="C1753" t="str">
        <f t="shared" si="54"/>
        <v>3/01/2020</v>
      </c>
      <c r="D1753" s="1" t="str">
        <f t="shared" si="55"/>
        <v>3/01/2020</v>
      </c>
      <c r="E1753" t="s">
        <v>55</v>
      </c>
      <c r="F1753" t="s">
        <v>50</v>
      </c>
      <c r="G1753" t="s">
        <v>41</v>
      </c>
      <c r="H1753">
        <v>33</v>
      </c>
      <c r="J1753">
        <v>0</v>
      </c>
      <c r="K1753">
        <v>0</v>
      </c>
      <c r="L1753">
        <v>0</v>
      </c>
      <c r="M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W1753" s="1">
        <v>44160</v>
      </c>
      <c r="X1753" t="s">
        <v>56</v>
      </c>
      <c r="Z1753" t="s">
        <v>40</v>
      </c>
      <c r="AE1753" t="s">
        <v>40</v>
      </c>
      <c r="AF1753" t="s">
        <v>40</v>
      </c>
      <c r="AL1753" t="s">
        <v>40</v>
      </c>
      <c r="AM1753" t="s">
        <v>40</v>
      </c>
    </row>
    <row r="1754" spans="1:39" x14ac:dyDescent="0.3">
      <c r="A1754">
        <v>2020</v>
      </c>
      <c r="B1754">
        <v>3</v>
      </c>
      <c r="C1754" t="str">
        <f t="shared" si="54"/>
        <v>3/01/2020</v>
      </c>
      <c r="D1754" s="1" t="str">
        <f t="shared" si="55"/>
        <v>3/01/2020</v>
      </c>
      <c r="E1754" t="s">
        <v>55</v>
      </c>
      <c r="F1754" t="s">
        <v>50</v>
      </c>
      <c r="G1754" t="s">
        <v>42</v>
      </c>
      <c r="H1754">
        <v>67</v>
      </c>
      <c r="I1754">
        <v>20</v>
      </c>
      <c r="J1754">
        <v>0</v>
      </c>
      <c r="K1754">
        <v>0</v>
      </c>
      <c r="M1754">
        <v>0</v>
      </c>
      <c r="N1754">
        <v>0</v>
      </c>
      <c r="O1754">
        <v>0</v>
      </c>
      <c r="Q1754">
        <v>0</v>
      </c>
      <c r="T1754">
        <v>0</v>
      </c>
      <c r="W1754" s="1">
        <v>44160</v>
      </c>
      <c r="X1754" t="s">
        <v>56</v>
      </c>
      <c r="AC1754" t="s">
        <v>40</v>
      </c>
      <c r="AG1754" t="s">
        <v>40</v>
      </c>
      <c r="AI1754" t="s">
        <v>40</v>
      </c>
      <c r="AJ1754" t="s">
        <v>40</v>
      </c>
      <c r="AL1754" t="s">
        <v>40</v>
      </c>
      <c r="AM1754" t="s">
        <v>40</v>
      </c>
    </row>
    <row r="1755" spans="1:39" x14ac:dyDescent="0.3">
      <c r="A1755">
        <v>2020</v>
      </c>
      <c r="B1755">
        <v>3</v>
      </c>
      <c r="C1755" t="str">
        <f t="shared" si="54"/>
        <v>3/01/2020</v>
      </c>
      <c r="D1755" s="1" t="str">
        <f t="shared" si="55"/>
        <v>3/01/2020</v>
      </c>
      <c r="E1755" t="s">
        <v>55</v>
      </c>
      <c r="F1755" t="s">
        <v>50</v>
      </c>
      <c r="G1755" t="s">
        <v>43</v>
      </c>
      <c r="H1755">
        <v>89</v>
      </c>
      <c r="I1755">
        <v>48</v>
      </c>
      <c r="J1755">
        <v>0</v>
      </c>
      <c r="M1755">
        <v>0</v>
      </c>
      <c r="O1755">
        <v>0</v>
      </c>
      <c r="P1755">
        <v>0</v>
      </c>
      <c r="Q1755">
        <v>0</v>
      </c>
      <c r="S1755">
        <v>10</v>
      </c>
      <c r="T1755">
        <v>0</v>
      </c>
      <c r="U1755">
        <v>0</v>
      </c>
      <c r="V1755">
        <v>0</v>
      </c>
      <c r="W1755" s="1">
        <v>44160</v>
      </c>
      <c r="X1755" t="s">
        <v>56</v>
      </c>
      <c r="AB1755" t="s">
        <v>40</v>
      </c>
      <c r="AC1755" t="s">
        <v>40</v>
      </c>
      <c r="AE1755" t="s">
        <v>40</v>
      </c>
      <c r="AI1755" t="s">
        <v>40</v>
      </c>
    </row>
    <row r="1756" spans="1:39" x14ac:dyDescent="0.3">
      <c r="A1756">
        <v>2020</v>
      </c>
      <c r="B1756">
        <v>3</v>
      </c>
      <c r="C1756" t="str">
        <f t="shared" si="54"/>
        <v>3/01/2020</v>
      </c>
      <c r="D1756" s="1" t="str">
        <f t="shared" si="55"/>
        <v>3/01/2020</v>
      </c>
      <c r="E1756" t="s">
        <v>55</v>
      </c>
      <c r="F1756" t="s">
        <v>50</v>
      </c>
      <c r="G1756" t="s">
        <v>44</v>
      </c>
      <c r="H1756">
        <v>97</v>
      </c>
      <c r="I1756">
        <v>77</v>
      </c>
      <c r="J1756">
        <v>0</v>
      </c>
      <c r="M1756">
        <v>0</v>
      </c>
      <c r="O1756">
        <v>0</v>
      </c>
      <c r="P1756">
        <v>0</v>
      </c>
      <c r="S1756">
        <v>15</v>
      </c>
      <c r="W1756" s="1">
        <v>44160</v>
      </c>
      <c r="X1756" t="s">
        <v>56</v>
      </c>
      <c r="AB1756" t="s">
        <v>40</v>
      </c>
      <c r="AC1756" t="s">
        <v>40</v>
      </c>
      <c r="AE1756" t="s">
        <v>40</v>
      </c>
      <c r="AH1756" t="s">
        <v>40</v>
      </c>
      <c r="AI1756" t="s">
        <v>40</v>
      </c>
      <c r="AK1756" t="s">
        <v>40</v>
      </c>
      <c r="AL1756" t="s">
        <v>40</v>
      </c>
      <c r="AM1756" t="s">
        <v>40</v>
      </c>
    </row>
    <row r="1757" spans="1:39" x14ac:dyDescent="0.3">
      <c r="A1757">
        <v>2020</v>
      </c>
      <c r="B1757">
        <v>3</v>
      </c>
      <c r="C1757" t="str">
        <f t="shared" si="54"/>
        <v>3/01/2020</v>
      </c>
      <c r="D1757" s="1" t="str">
        <f t="shared" si="55"/>
        <v>3/01/2020</v>
      </c>
      <c r="E1757" t="s">
        <v>55</v>
      </c>
      <c r="F1757" t="s">
        <v>50</v>
      </c>
      <c r="G1757" t="s">
        <v>45</v>
      </c>
      <c r="J1757">
        <v>0</v>
      </c>
      <c r="L1757">
        <v>0</v>
      </c>
      <c r="M1757">
        <v>0</v>
      </c>
      <c r="N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V1757">
        <v>0</v>
      </c>
      <c r="W1757" s="1">
        <v>44160</v>
      </c>
      <c r="X1757" t="s">
        <v>56</v>
      </c>
      <c r="Y1757" t="s">
        <v>40</v>
      </c>
      <c r="Z1757" t="s">
        <v>40</v>
      </c>
      <c r="AB1757" t="s">
        <v>40</v>
      </c>
      <c r="AF1757" t="s">
        <v>40</v>
      </c>
      <c r="AL1757" t="s">
        <v>40</v>
      </c>
    </row>
    <row r="1758" spans="1:39" x14ac:dyDescent="0.3">
      <c r="A1758">
        <v>2020</v>
      </c>
      <c r="B1758">
        <v>3</v>
      </c>
      <c r="C1758" t="str">
        <f t="shared" si="54"/>
        <v>3/01/2020</v>
      </c>
      <c r="D1758" s="1" t="str">
        <f t="shared" si="55"/>
        <v>3/01/2020</v>
      </c>
      <c r="E1758" t="s">
        <v>55</v>
      </c>
      <c r="F1758" t="s">
        <v>50</v>
      </c>
      <c r="G1758" t="s">
        <v>46</v>
      </c>
      <c r="H1758">
        <v>169</v>
      </c>
      <c r="I1758">
        <v>151</v>
      </c>
      <c r="K1758">
        <v>29</v>
      </c>
      <c r="S1758">
        <v>38</v>
      </c>
      <c r="W1758" s="1">
        <v>44160</v>
      </c>
      <c r="X1758" t="s">
        <v>56</v>
      </c>
      <c r="AA1758" t="s">
        <v>40</v>
      </c>
      <c r="AC1758" t="s">
        <v>40</v>
      </c>
      <c r="AD1758" t="s">
        <v>40</v>
      </c>
      <c r="AE1758" t="s">
        <v>40</v>
      </c>
      <c r="AF1758" t="s">
        <v>40</v>
      </c>
      <c r="AG1758" t="s">
        <v>40</v>
      </c>
      <c r="AH1758" t="s">
        <v>40</v>
      </c>
      <c r="AI1758" t="s">
        <v>40</v>
      </c>
      <c r="AK1758" t="s">
        <v>40</v>
      </c>
      <c r="AL1758" t="s">
        <v>40</v>
      </c>
      <c r="AM1758" t="s">
        <v>40</v>
      </c>
    </row>
    <row r="1759" spans="1:39" x14ac:dyDescent="0.3">
      <c r="A1759">
        <v>2020</v>
      </c>
      <c r="B1759">
        <v>3</v>
      </c>
      <c r="C1759" t="str">
        <f t="shared" si="54"/>
        <v>3/01/2020</v>
      </c>
      <c r="D1759" s="1" t="str">
        <f t="shared" si="55"/>
        <v>3/01/2020</v>
      </c>
      <c r="E1759" t="s">
        <v>55</v>
      </c>
      <c r="F1759" t="s">
        <v>50</v>
      </c>
      <c r="G1759" t="s">
        <v>47</v>
      </c>
      <c r="H1759">
        <v>189</v>
      </c>
      <c r="I1759">
        <v>180</v>
      </c>
      <c r="K1759">
        <v>45</v>
      </c>
      <c r="L1759">
        <v>16</v>
      </c>
      <c r="M1759">
        <v>0</v>
      </c>
      <c r="O1759">
        <v>10</v>
      </c>
      <c r="S1759">
        <v>47</v>
      </c>
      <c r="T1759">
        <v>11</v>
      </c>
      <c r="W1759" s="1">
        <v>44160</v>
      </c>
      <c r="X1759" t="s">
        <v>56</v>
      </c>
      <c r="AA1759" t="s">
        <v>40</v>
      </c>
      <c r="AE1759" t="s">
        <v>40</v>
      </c>
      <c r="AG1759" t="s">
        <v>40</v>
      </c>
      <c r="AH1759" t="s">
        <v>40</v>
      </c>
      <c r="AI1759" t="s">
        <v>40</v>
      </c>
      <c r="AL1759" t="s">
        <v>40</v>
      </c>
      <c r="AM1759" t="s">
        <v>40</v>
      </c>
    </row>
    <row r="1760" spans="1:39" x14ac:dyDescent="0.3">
      <c r="A1760">
        <v>2020</v>
      </c>
      <c r="B1760">
        <v>3</v>
      </c>
      <c r="C1760" t="str">
        <f t="shared" si="54"/>
        <v>3/01/2020</v>
      </c>
      <c r="D1760" s="1" t="str">
        <f t="shared" si="55"/>
        <v>3/01/2020</v>
      </c>
      <c r="E1760" t="s">
        <v>55</v>
      </c>
      <c r="F1760" t="s">
        <v>50</v>
      </c>
      <c r="G1760" t="s">
        <v>48</v>
      </c>
      <c r="H1760">
        <v>161</v>
      </c>
      <c r="I1760">
        <v>159</v>
      </c>
      <c r="K1760">
        <v>29</v>
      </c>
      <c r="L1760">
        <v>11</v>
      </c>
      <c r="O1760">
        <v>17</v>
      </c>
      <c r="S1760">
        <v>45</v>
      </c>
      <c r="T1760">
        <v>11</v>
      </c>
      <c r="W1760" s="1">
        <v>44160</v>
      </c>
      <c r="X1760" t="s">
        <v>56</v>
      </c>
      <c r="AA1760" t="s">
        <v>40</v>
      </c>
      <c r="AD1760" t="s">
        <v>40</v>
      </c>
      <c r="AE1760" t="s">
        <v>40</v>
      </c>
      <c r="AG1760" t="s">
        <v>40</v>
      </c>
      <c r="AH1760" t="s">
        <v>40</v>
      </c>
      <c r="AI1760" t="s">
        <v>40</v>
      </c>
      <c r="AL1760" t="s">
        <v>40</v>
      </c>
      <c r="AM1760" t="s">
        <v>40</v>
      </c>
    </row>
    <row r="1761" spans="1:39" x14ac:dyDescent="0.3">
      <c r="A1761">
        <v>2020</v>
      </c>
      <c r="B1761">
        <v>3</v>
      </c>
      <c r="C1761" t="str">
        <f t="shared" si="54"/>
        <v>3/01/2020</v>
      </c>
      <c r="D1761" s="1" t="str">
        <f t="shared" si="55"/>
        <v>3/01/2020</v>
      </c>
      <c r="E1761" t="s">
        <v>55</v>
      </c>
      <c r="F1761" t="s">
        <v>50</v>
      </c>
      <c r="G1761" t="s">
        <v>49</v>
      </c>
      <c r="H1761">
        <v>79</v>
      </c>
      <c r="I1761">
        <v>75</v>
      </c>
      <c r="J1761">
        <v>0</v>
      </c>
      <c r="R1761">
        <v>0</v>
      </c>
      <c r="S1761">
        <v>23</v>
      </c>
      <c r="U1761">
        <v>0</v>
      </c>
      <c r="V1761">
        <v>0</v>
      </c>
      <c r="W1761" s="1">
        <v>44160</v>
      </c>
      <c r="X1761" t="s">
        <v>56</v>
      </c>
      <c r="AB1761" t="s">
        <v>40</v>
      </c>
      <c r="AC1761" t="s">
        <v>40</v>
      </c>
      <c r="AD1761" t="s">
        <v>40</v>
      </c>
      <c r="AE1761" t="s">
        <v>40</v>
      </c>
      <c r="AF1761" t="s">
        <v>40</v>
      </c>
      <c r="AG1761" t="s">
        <v>40</v>
      </c>
      <c r="AH1761" t="s">
        <v>40</v>
      </c>
      <c r="AK1761" t="s">
        <v>40</v>
      </c>
    </row>
    <row r="1762" spans="1:39" x14ac:dyDescent="0.3">
      <c r="A1762">
        <v>2020</v>
      </c>
      <c r="B1762">
        <v>3</v>
      </c>
      <c r="C1762" t="str">
        <f t="shared" si="54"/>
        <v>3/01/2020</v>
      </c>
      <c r="D1762" s="1" t="str">
        <f t="shared" si="55"/>
        <v>3/01/2020</v>
      </c>
      <c r="E1762" t="s">
        <v>55</v>
      </c>
      <c r="F1762" t="s">
        <v>51</v>
      </c>
      <c r="G1762" t="s">
        <v>39</v>
      </c>
      <c r="H1762">
        <v>35</v>
      </c>
      <c r="I1762">
        <v>32</v>
      </c>
      <c r="J1762">
        <v>0</v>
      </c>
      <c r="L1762">
        <v>0</v>
      </c>
      <c r="M1762">
        <v>0</v>
      </c>
      <c r="N1762">
        <v>0</v>
      </c>
      <c r="P1762">
        <v>0</v>
      </c>
      <c r="Q1762">
        <v>0</v>
      </c>
      <c r="U1762">
        <v>0</v>
      </c>
      <c r="V1762">
        <v>0</v>
      </c>
      <c r="W1762" s="1">
        <v>44160</v>
      </c>
      <c r="X1762" t="s">
        <v>56</v>
      </c>
      <c r="AB1762" t="s">
        <v>40</v>
      </c>
      <c r="AF1762" t="s">
        <v>40</v>
      </c>
      <c r="AI1762" t="s">
        <v>40</v>
      </c>
      <c r="AJ1762" t="s">
        <v>40</v>
      </c>
      <c r="AK1762" t="s">
        <v>40</v>
      </c>
    </row>
    <row r="1763" spans="1:39" x14ac:dyDescent="0.3">
      <c r="A1763">
        <v>2020</v>
      </c>
      <c r="B1763">
        <v>3</v>
      </c>
      <c r="C1763" t="str">
        <f t="shared" si="54"/>
        <v>3/01/2020</v>
      </c>
      <c r="D1763" s="1" t="str">
        <f t="shared" si="55"/>
        <v>3/01/2020</v>
      </c>
      <c r="E1763" t="s">
        <v>55</v>
      </c>
      <c r="F1763" t="s">
        <v>51</v>
      </c>
      <c r="G1763" t="s">
        <v>41</v>
      </c>
      <c r="H1763">
        <v>51</v>
      </c>
      <c r="I1763">
        <v>15</v>
      </c>
      <c r="L1763">
        <v>0</v>
      </c>
      <c r="M1763">
        <v>0</v>
      </c>
      <c r="O1763">
        <v>0</v>
      </c>
      <c r="P1763">
        <v>0</v>
      </c>
      <c r="Q1763">
        <v>0</v>
      </c>
      <c r="R1763">
        <v>0</v>
      </c>
      <c r="T1763">
        <v>0</v>
      </c>
      <c r="U1763">
        <v>0</v>
      </c>
      <c r="V1763">
        <v>0</v>
      </c>
      <c r="W1763" s="1">
        <v>44160</v>
      </c>
      <c r="X1763" t="s">
        <v>56</v>
      </c>
      <c r="AA1763" t="s">
        <v>40</v>
      </c>
      <c r="AB1763" t="s">
        <v>40</v>
      </c>
      <c r="AE1763" t="s">
        <v>40</v>
      </c>
      <c r="AJ1763" t="s">
        <v>40</v>
      </c>
    </row>
    <row r="1764" spans="1:39" x14ac:dyDescent="0.3">
      <c r="A1764">
        <v>2020</v>
      </c>
      <c r="B1764">
        <v>3</v>
      </c>
      <c r="C1764" t="str">
        <f t="shared" si="54"/>
        <v>3/01/2020</v>
      </c>
      <c r="D1764" s="1" t="str">
        <f t="shared" si="55"/>
        <v>3/01/2020</v>
      </c>
      <c r="E1764" t="s">
        <v>55</v>
      </c>
      <c r="F1764" t="s">
        <v>51</v>
      </c>
      <c r="G1764" t="s">
        <v>42</v>
      </c>
      <c r="H1764">
        <v>58</v>
      </c>
      <c r="I1764">
        <v>23</v>
      </c>
      <c r="L1764">
        <v>0</v>
      </c>
      <c r="M1764">
        <v>0</v>
      </c>
      <c r="N1764">
        <v>0</v>
      </c>
      <c r="P1764">
        <v>0</v>
      </c>
      <c r="Q1764">
        <v>0</v>
      </c>
      <c r="W1764" s="1">
        <v>44160</v>
      </c>
      <c r="X1764" t="s">
        <v>56</v>
      </c>
      <c r="AA1764" t="s">
        <v>40</v>
      </c>
      <c r="AB1764" t="s">
        <v>40</v>
      </c>
      <c r="AF1764" t="s">
        <v>40</v>
      </c>
      <c r="AI1764" t="s">
        <v>40</v>
      </c>
      <c r="AJ1764" t="s">
        <v>40</v>
      </c>
      <c r="AK1764" t="s">
        <v>40</v>
      </c>
      <c r="AL1764" t="s">
        <v>40</v>
      </c>
      <c r="AM1764" t="s">
        <v>40</v>
      </c>
    </row>
    <row r="1765" spans="1:39" x14ac:dyDescent="0.3">
      <c r="A1765">
        <v>2020</v>
      </c>
      <c r="B1765">
        <v>3</v>
      </c>
      <c r="C1765" t="str">
        <f t="shared" si="54"/>
        <v>3/01/2020</v>
      </c>
      <c r="D1765" s="1" t="str">
        <f t="shared" si="55"/>
        <v>3/01/2020</v>
      </c>
      <c r="E1765" t="s">
        <v>55</v>
      </c>
      <c r="F1765" t="s">
        <v>51</v>
      </c>
      <c r="G1765" t="s">
        <v>43</v>
      </c>
      <c r="H1765">
        <v>145</v>
      </c>
      <c r="I1765">
        <v>103</v>
      </c>
      <c r="K1765">
        <v>20</v>
      </c>
      <c r="M1765">
        <v>0</v>
      </c>
      <c r="P1765">
        <v>0</v>
      </c>
      <c r="S1765">
        <v>15</v>
      </c>
      <c r="T1765">
        <v>12</v>
      </c>
      <c r="W1765" s="1">
        <v>44160</v>
      </c>
      <c r="X1765" t="s">
        <v>56</v>
      </c>
      <c r="AA1765" t="s">
        <v>40</v>
      </c>
      <c r="AC1765" t="s">
        <v>40</v>
      </c>
      <c r="AE1765" t="s">
        <v>40</v>
      </c>
      <c r="AF1765" t="s">
        <v>40</v>
      </c>
      <c r="AH1765" t="s">
        <v>40</v>
      </c>
      <c r="AI1765" t="s">
        <v>40</v>
      </c>
      <c r="AL1765" t="s">
        <v>40</v>
      </c>
      <c r="AM1765" t="s">
        <v>40</v>
      </c>
    </row>
    <row r="1766" spans="1:39" x14ac:dyDescent="0.3">
      <c r="A1766">
        <v>2020</v>
      </c>
      <c r="B1766">
        <v>3</v>
      </c>
      <c r="C1766" t="str">
        <f t="shared" si="54"/>
        <v>3/01/2020</v>
      </c>
      <c r="D1766" s="1" t="str">
        <f t="shared" si="55"/>
        <v>3/01/2020</v>
      </c>
      <c r="E1766" t="s">
        <v>55</v>
      </c>
      <c r="F1766" t="s">
        <v>51</v>
      </c>
      <c r="G1766" t="s">
        <v>44</v>
      </c>
      <c r="H1766">
        <v>251</v>
      </c>
      <c r="I1766">
        <v>211</v>
      </c>
      <c r="J1766">
        <v>0</v>
      </c>
      <c r="K1766">
        <v>49</v>
      </c>
      <c r="L1766">
        <v>11</v>
      </c>
      <c r="M1766">
        <v>0</v>
      </c>
      <c r="S1766">
        <v>60</v>
      </c>
      <c r="T1766">
        <v>11</v>
      </c>
      <c r="U1766">
        <v>24</v>
      </c>
      <c r="V1766">
        <v>24</v>
      </c>
      <c r="W1766" s="1">
        <v>44160</v>
      </c>
      <c r="X1766" t="s">
        <v>56</v>
      </c>
      <c r="AE1766" t="s">
        <v>40</v>
      </c>
      <c r="AF1766" t="s">
        <v>40</v>
      </c>
      <c r="AG1766" t="s">
        <v>40</v>
      </c>
      <c r="AH1766" t="s">
        <v>40</v>
      </c>
      <c r="AI1766" t="s">
        <v>40</v>
      </c>
    </row>
    <row r="1767" spans="1:39" x14ac:dyDescent="0.3">
      <c r="A1767">
        <v>2020</v>
      </c>
      <c r="B1767">
        <v>3</v>
      </c>
      <c r="C1767" t="str">
        <f t="shared" si="54"/>
        <v>3/01/2020</v>
      </c>
      <c r="D1767" s="1" t="str">
        <f t="shared" si="55"/>
        <v>3/01/2020</v>
      </c>
      <c r="E1767" t="s">
        <v>55</v>
      </c>
      <c r="F1767" t="s">
        <v>51</v>
      </c>
      <c r="G1767" t="s">
        <v>45</v>
      </c>
      <c r="J1767">
        <v>0</v>
      </c>
      <c r="L1767">
        <v>0</v>
      </c>
      <c r="M1767">
        <v>0</v>
      </c>
      <c r="O1767">
        <v>0</v>
      </c>
      <c r="P1767">
        <v>0</v>
      </c>
      <c r="Q1767">
        <v>0</v>
      </c>
      <c r="S1767">
        <v>0</v>
      </c>
      <c r="T1767">
        <v>0</v>
      </c>
      <c r="U1767">
        <v>0</v>
      </c>
      <c r="V1767">
        <v>0</v>
      </c>
      <c r="W1767" s="1">
        <v>44160</v>
      </c>
      <c r="X1767" t="s">
        <v>56</v>
      </c>
      <c r="Y1767" t="s">
        <v>40</v>
      </c>
      <c r="Z1767" t="s">
        <v>40</v>
      </c>
      <c r="AB1767" t="s">
        <v>40</v>
      </c>
      <c r="AE1767" t="s">
        <v>40</v>
      </c>
      <c r="AI1767" t="s">
        <v>40</v>
      </c>
    </row>
    <row r="1768" spans="1:39" x14ac:dyDescent="0.3">
      <c r="A1768">
        <v>2020</v>
      </c>
      <c r="B1768">
        <v>3</v>
      </c>
      <c r="C1768" t="str">
        <f t="shared" si="54"/>
        <v>3/01/2020</v>
      </c>
      <c r="D1768" s="1" t="str">
        <f t="shared" si="55"/>
        <v>3/01/2020</v>
      </c>
      <c r="E1768" t="s">
        <v>55</v>
      </c>
      <c r="F1768" t="s">
        <v>51</v>
      </c>
      <c r="G1768" t="s">
        <v>46</v>
      </c>
      <c r="H1768">
        <v>513</v>
      </c>
      <c r="I1768">
        <v>475</v>
      </c>
      <c r="K1768">
        <v>141</v>
      </c>
      <c r="L1768">
        <v>25</v>
      </c>
      <c r="M1768">
        <v>0</v>
      </c>
      <c r="N1768">
        <v>16</v>
      </c>
      <c r="S1768">
        <v>115</v>
      </c>
      <c r="T1768">
        <v>33</v>
      </c>
      <c r="U1768">
        <v>43</v>
      </c>
      <c r="V1768">
        <v>41</v>
      </c>
      <c r="W1768" s="1">
        <v>44160</v>
      </c>
      <c r="X1768" t="s">
        <v>56</v>
      </c>
      <c r="AA1768" t="s">
        <v>40</v>
      </c>
      <c r="AF1768" t="s">
        <v>40</v>
      </c>
      <c r="AG1768" t="s">
        <v>40</v>
      </c>
      <c r="AH1768" t="s">
        <v>40</v>
      </c>
      <c r="AI1768" t="s">
        <v>40</v>
      </c>
    </row>
    <row r="1769" spans="1:39" x14ac:dyDescent="0.3">
      <c r="A1769">
        <v>2020</v>
      </c>
      <c r="B1769">
        <v>3</v>
      </c>
      <c r="C1769" t="str">
        <f t="shared" si="54"/>
        <v>3/01/2020</v>
      </c>
      <c r="D1769" s="1" t="str">
        <f t="shared" si="55"/>
        <v>3/01/2020</v>
      </c>
      <c r="E1769" t="s">
        <v>55</v>
      </c>
      <c r="F1769" t="s">
        <v>51</v>
      </c>
      <c r="G1769" t="s">
        <v>47</v>
      </c>
      <c r="H1769">
        <v>809</v>
      </c>
      <c r="I1769">
        <v>776</v>
      </c>
      <c r="K1769">
        <v>220</v>
      </c>
      <c r="L1769">
        <v>47</v>
      </c>
      <c r="N1769">
        <v>39</v>
      </c>
      <c r="O1769">
        <v>17</v>
      </c>
      <c r="P1769">
        <v>17</v>
      </c>
      <c r="Q1769">
        <v>13</v>
      </c>
      <c r="S1769">
        <v>165</v>
      </c>
      <c r="T1769">
        <v>46</v>
      </c>
      <c r="U1769">
        <v>90</v>
      </c>
      <c r="V1769">
        <v>86</v>
      </c>
      <c r="W1769" s="1">
        <v>44160</v>
      </c>
      <c r="X1769" t="s">
        <v>56</v>
      </c>
      <c r="AA1769" t="s">
        <v>40</v>
      </c>
      <c r="AD1769" t="s">
        <v>40</v>
      </c>
      <c r="AI1769" t="s">
        <v>40</v>
      </c>
    </row>
    <row r="1770" spans="1:39" x14ac:dyDescent="0.3">
      <c r="A1770">
        <v>2020</v>
      </c>
      <c r="B1770">
        <v>3</v>
      </c>
      <c r="C1770" t="str">
        <f t="shared" si="54"/>
        <v>3/01/2020</v>
      </c>
      <c r="D1770" s="1" t="str">
        <f t="shared" si="55"/>
        <v>3/01/2020</v>
      </c>
      <c r="E1770" t="s">
        <v>55</v>
      </c>
      <c r="F1770" t="s">
        <v>51</v>
      </c>
      <c r="G1770" t="s">
        <v>48</v>
      </c>
      <c r="H1770">
        <v>993</v>
      </c>
      <c r="I1770">
        <v>968</v>
      </c>
      <c r="J1770">
        <v>17</v>
      </c>
      <c r="K1770">
        <v>214</v>
      </c>
      <c r="L1770">
        <v>47</v>
      </c>
      <c r="M1770">
        <v>27</v>
      </c>
      <c r="N1770">
        <v>54</v>
      </c>
      <c r="O1770">
        <v>32</v>
      </c>
      <c r="Q1770">
        <v>33</v>
      </c>
      <c r="S1770">
        <v>245</v>
      </c>
      <c r="T1770">
        <v>74</v>
      </c>
      <c r="U1770">
        <v>60</v>
      </c>
      <c r="V1770">
        <v>57</v>
      </c>
      <c r="W1770" s="1">
        <v>44160</v>
      </c>
      <c r="X1770" t="s">
        <v>56</v>
      </c>
      <c r="AG1770" t="s">
        <v>40</v>
      </c>
      <c r="AI1770" t="s">
        <v>40</v>
      </c>
    </row>
    <row r="1771" spans="1:39" x14ac:dyDescent="0.3">
      <c r="A1771">
        <v>2020</v>
      </c>
      <c r="B1771">
        <v>3</v>
      </c>
      <c r="C1771" t="str">
        <f t="shared" si="54"/>
        <v>3/01/2020</v>
      </c>
      <c r="D1771" s="1" t="str">
        <f t="shared" si="55"/>
        <v>3/01/2020</v>
      </c>
      <c r="E1771" t="s">
        <v>55</v>
      </c>
      <c r="F1771" t="s">
        <v>51</v>
      </c>
      <c r="G1771" t="s">
        <v>49</v>
      </c>
      <c r="H1771" s="2">
        <v>1070</v>
      </c>
      <c r="I1771" s="2">
        <v>1042</v>
      </c>
      <c r="J1771">
        <v>13</v>
      </c>
      <c r="K1771">
        <v>124</v>
      </c>
      <c r="L1771">
        <v>38</v>
      </c>
      <c r="M1771">
        <v>61</v>
      </c>
      <c r="N1771">
        <v>61</v>
      </c>
      <c r="O1771">
        <v>47</v>
      </c>
      <c r="P1771">
        <v>14</v>
      </c>
      <c r="Q1771">
        <v>26</v>
      </c>
      <c r="R1771">
        <v>23</v>
      </c>
      <c r="S1771">
        <v>287</v>
      </c>
      <c r="T1771">
        <v>83</v>
      </c>
      <c r="U1771">
        <v>52</v>
      </c>
      <c r="V1771">
        <v>52</v>
      </c>
      <c r="W1771" s="1">
        <v>44160</v>
      </c>
      <c r="X1771" t="s">
        <v>56</v>
      </c>
    </row>
    <row r="1772" spans="1:39" x14ac:dyDescent="0.3">
      <c r="A1772">
        <v>2020</v>
      </c>
      <c r="B1772">
        <v>3</v>
      </c>
      <c r="C1772" t="str">
        <f t="shared" si="54"/>
        <v>3/01/2020</v>
      </c>
      <c r="D1772" s="1" t="str">
        <f t="shared" si="55"/>
        <v>3/01/2020</v>
      </c>
      <c r="E1772" t="s">
        <v>55</v>
      </c>
      <c r="F1772" t="s">
        <v>52</v>
      </c>
      <c r="G1772" t="s">
        <v>39</v>
      </c>
      <c r="H1772">
        <v>334</v>
      </c>
      <c r="I1772">
        <v>285</v>
      </c>
      <c r="L1772">
        <v>0</v>
      </c>
      <c r="M1772">
        <v>0</v>
      </c>
      <c r="R1772">
        <v>48</v>
      </c>
      <c r="W1772" s="1">
        <v>44160</v>
      </c>
      <c r="X1772" t="s">
        <v>56</v>
      </c>
      <c r="AA1772" t="s">
        <v>40</v>
      </c>
      <c r="AB1772" t="s">
        <v>40</v>
      </c>
      <c r="AE1772" t="s">
        <v>40</v>
      </c>
      <c r="AF1772" t="s">
        <v>40</v>
      </c>
      <c r="AG1772" t="s">
        <v>40</v>
      </c>
      <c r="AH1772" t="s">
        <v>40</v>
      </c>
      <c r="AJ1772" t="s">
        <v>40</v>
      </c>
      <c r="AK1772" t="s">
        <v>40</v>
      </c>
      <c r="AL1772" t="s">
        <v>40</v>
      </c>
      <c r="AM1772" t="s">
        <v>40</v>
      </c>
    </row>
    <row r="1773" spans="1:39" x14ac:dyDescent="0.3">
      <c r="A1773">
        <v>2020</v>
      </c>
      <c r="B1773">
        <v>3</v>
      </c>
      <c r="C1773" t="str">
        <f t="shared" si="54"/>
        <v>3/01/2020</v>
      </c>
      <c r="D1773" s="1" t="str">
        <f t="shared" si="55"/>
        <v>3/01/2020</v>
      </c>
      <c r="E1773" t="s">
        <v>55</v>
      </c>
      <c r="F1773" t="s">
        <v>52</v>
      </c>
      <c r="G1773" t="s">
        <v>41</v>
      </c>
      <c r="H1773">
        <v>486</v>
      </c>
      <c r="I1773">
        <v>85</v>
      </c>
      <c r="M1773">
        <v>0</v>
      </c>
      <c r="P1773">
        <v>0</v>
      </c>
      <c r="R1773">
        <v>13</v>
      </c>
      <c r="S1773">
        <v>12</v>
      </c>
      <c r="T1773">
        <v>0</v>
      </c>
      <c r="W1773" s="1">
        <v>44160</v>
      </c>
      <c r="X1773" t="s">
        <v>56</v>
      </c>
      <c r="AA1773" t="s">
        <v>40</v>
      </c>
      <c r="AB1773" t="s">
        <v>40</v>
      </c>
      <c r="AC1773" t="s">
        <v>40</v>
      </c>
      <c r="AE1773" t="s">
        <v>40</v>
      </c>
      <c r="AF1773" t="s">
        <v>40</v>
      </c>
      <c r="AH1773" t="s">
        <v>40</v>
      </c>
      <c r="AL1773" t="s">
        <v>40</v>
      </c>
      <c r="AM1773" t="s">
        <v>40</v>
      </c>
    </row>
    <row r="1774" spans="1:39" x14ac:dyDescent="0.3">
      <c r="A1774">
        <v>2020</v>
      </c>
      <c r="B1774">
        <v>3</v>
      </c>
      <c r="C1774" t="str">
        <f t="shared" si="54"/>
        <v>3/01/2020</v>
      </c>
      <c r="D1774" s="1" t="str">
        <f t="shared" si="55"/>
        <v>3/01/2020</v>
      </c>
      <c r="E1774" t="s">
        <v>55</v>
      </c>
      <c r="F1774" t="s">
        <v>52</v>
      </c>
      <c r="G1774" t="s">
        <v>42</v>
      </c>
      <c r="H1774">
        <v>855</v>
      </c>
      <c r="I1774">
        <v>269</v>
      </c>
      <c r="K1774">
        <v>24</v>
      </c>
      <c r="L1774">
        <v>16</v>
      </c>
      <c r="M1774">
        <v>0</v>
      </c>
      <c r="R1774">
        <v>27</v>
      </c>
      <c r="S1774">
        <v>52</v>
      </c>
      <c r="T1774">
        <v>11</v>
      </c>
      <c r="U1774">
        <v>23</v>
      </c>
      <c r="V1774">
        <v>20</v>
      </c>
      <c r="W1774" s="1">
        <v>44160</v>
      </c>
      <c r="X1774" t="s">
        <v>56</v>
      </c>
      <c r="AA1774" t="s">
        <v>40</v>
      </c>
      <c r="AE1774" t="s">
        <v>40</v>
      </c>
      <c r="AF1774" t="s">
        <v>40</v>
      </c>
      <c r="AG1774" t="s">
        <v>40</v>
      </c>
      <c r="AH1774" t="s">
        <v>40</v>
      </c>
    </row>
    <row r="1775" spans="1:39" x14ac:dyDescent="0.3">
      <c r="A1775">
        <v>2020</v>
      </c>
      <c r="B1775">
        <v>3</v>
      </c>
      <c r="C1775" t="str">
        <f t="shared" si="54"/>
        <v>3/01/2020</v>
      </c>
      <c r="D1775" s="1" t="str">
        <f t="shared" si="55"/>
        <v>3/01/2020</v>
      </c>
      <c r="E1775" t="s">
        <v>55</v>
      </c>
      <c r="F1775" t="s">
        <v>52</v>
      </c>
      <c r="G1775" t="s">
        <v>43</v>
      </c>
      <c r="H1775">
        <v>993</v>
      </c>
      <c r="I1775">
        <v>620</v>
      </c>
      <c r="J1775">
        <v>13</v>
      </c>
      <c r="K1775">
        <v>51</v>
      </c>
      <c r="L1775">
        <v>44</v>
      </c>
      <c r="M1775">
        <v>0</v>
      </c>
      <c r="N1775">
        <v>20</v>
      </c>
      <c r="O1775">
        <v>13</v>
      </c>
      <c r="Q1775">
        <v>17</v>
      </c>
      <c r="R1775">
        <v>27</v>
      </c>
      <c r="S1775">
        <v>158</v>
      </c>
      <c r="T1775">
        <v>24</v>
      </c>
      <c r="U1775">
        <v>61</v>
      </c>
      <c r="V1775">
        <v>57</v>
      </c>
      <c r="W1775" s="1">
        <v>44160</v>
      </c>
      <c r="X1775" t="s">
        <v>56</v>
      </c>
      <c r="AG1775" t="s">
        <v>40</v>
      </c>
    </row>
    <row r="1776" spans="1:39" x14ac:dyDescent="0.3">
      <c r="A1776">
        <v>2020</v>
      </c>
      <c r="B1776">
        <v>3</v>
      </c>
      <c r="C1776" t="str">
        <f t="shared" si="54"/>
        <v>3/01/2020</v>
      </c>
      <c r="D1776" s="1" t="str">
        <f t="shared" si="55"/>
        <v>3/01/2020</v>
      </c>
      <c r="E1776" t="s">
        <v>55</v>
      </c>
      <c r="F1776" t="s">
        <v>52</v>
      </c>
      <c r="G1776" t="s">
        <v>44</v>
      </c>
      <c r="H1776" s="2">
        <v>1804</v>
      </c>
      <c r="I1776" s="2">
        <v>1440</v>
      </c>
      <c r="J1776">
        <v>29</v>
      </c>
      <c r="K1776">
        <v>222</v>
      </c>
      <c r="L1776">
        <v>95</v>
      </c>
      <c r="N1776">
        <v>31</v>
      </c>
      <c r="O1776">
        <v>27</v>
      </c>
      <c r="P1776">
        <v>17</v>
      </c>
      <c r="Q1776">
        <v>38</v>
      </c>
      <c r="R1776">
        <v>32</v>
      </c>
      <c r="S1776">
        <v>428</v>
      </c>
      <c r="T1776">
        <v>60</v>
      </c>
      <c r="U1776">
        <v>145</v>
      </c>
      <c r="V1776">
        <v>137</v>
      </c>
      <c r="W1776" s="1">
        <v>44160</v>
      </c>
      <c r="X1776" t="s">
        <v>56</v>
      </c>
      <c r="AD1776" t="s">
        <v>40</v>
      </c>
    </row>
    <row r="1777" spans="1:39" x14ac:dyDescent="0.3">
      <c r="A1777">
        <v>2020</v>
      </c>
      <c r="B1777">
        <v>3</v>
      </c>
      <c r="C1777" t="str">
        <f t="shared" si="54"/>
        <v>3/01/2020</v>
      </c>
      <c r="D1777" s="1" t="str">
        <f t="shared" si="55"/>
        <v>3/01/2020</v>
      </c>
      <c r="E1777" t="s">
        <v>55</v>
      </c>
      <c r="F1777" t="s">
        <v>52</v>
      </c>
      <c r="G1777" t="s">
        <v>45</v>
      </c>
      <c r="H1777">
        <v>49</v>
      </c>
      <c r="I1777">
        <v>26</v>
      </c>
      <c r="J1777">
        <v>0</v>
      </c>
      <c r="L1777">
        <v>0</v>
      </c>
      <c r="M1777">
        <v>0</v>
      </c>
      <c r="N1777">
        <v>0</v>
      </c>
      <c r="T1777">
        <v>0</v>
      </c>
      <c r="W1777" s="1">
        <v>44160</v>
      </c>
      <c r="X1777" t="s">
        <v>56</v>
      </c>
      <c r="AB1777" t="s">
        <v>40</v>
      </c>
      <c r="AF1777" t="s">
        <v>40</v>
      </c>
      <c r="AG1777" t="s">
        <v>40</v>
      </c>
      <c r="AH1777" t="s">
        <v>40</v>
      </c>
      <c r="AI1777" t="s">
        <v>40</v>
      </c>
      <c r="AJ1777" t="s">
        <v>40</v>
      </c>
      <c r="AL1777" t="s">
        <v>40</v>
      </c>
      <c r="AM1777" t="s">
        <v>40</v>
      </c>
    </row>
    <row r="1778" spans="1:39" x14ac:dyDescent="0.3">
      <c r="A1778">
        <v>2020</v>
      </c>
      <c r="B1778">
        <v>3</v>
      </c>
      <c r="C1778" t="str">
        <f t="shared" si="54"/>
        <v>3/01/2020</v>
      </c>
      <c r="D1778" s="1" t="str">
        <f t="shared" si="55"/>
        <v>3/01/2020</v>
      </c>
      <c r="E1778" t="s">
        <v>55</v>
      </c>
      <c r="F1778" t="s">
        <v>52</v>
      </c>
      <c r="G1778" t="s">
        <v>46</v>
      </c>
      <c r="H1778" s="2">
        <v>3829</v>
      </c>
      <c r="I1778" s="2">
        <v>3472</v>
      </c>
      <c r="J1778">
        <v>57</v>
      </c>
      <c r="K1778">
        <v>759</v>
      </c>
      <c r="L1778">
        <v>220</v>
      </c>
      <c r="N1778">
        <v>98</v>
      </c>
      <c r="O1778">
        <v>101</v>
      </c>
      <c r="P1778">
        <v>43</v>
      </c>
      <c r="Q1778">
        <v>87</v>
      </c>
      <c r="R1778">
        <v>47</v>
      </c>
      <c r="S1778">
        <v>952</v>
      </c>
      <c r="T1778">
        <v>177</v>
      </c>
      <c r="U1778">
        <v>265</v>
      </c>
      <c r="V1778">
        <v>254</v>
      </c>
      <c r="W1778" s="1">
        <v>44160</v>
      </c>
      <c r="X1778" t="s">
        <v>56</v>
      </c>
      <c r="AD1778" t="s">
        <v>40</v>
      </c>
    </row>
    <row r="1779" spans="1:39" x14ac:dyDescent="0.3">
      <c r="A1779">
        <v>2020</v>
      </c>
      <c r="B1779">
        <v>3</v>
      </c>
      <c r="C1779" t="str">
        <f t="shared" si="54"/>
        <v>3/01/2020</v>
      </c>
      <c r="D1779" s="1" t="str">
        <f t="shared" si="55"/>
        <v>3/01/2020</v>
      </c>
      <c r="E1779" t="s">
        <v>55</v>
      </c>
      <c r="F1779" t="s">
        <v>52</v>
      </c>
      <c r="G1779" t="s">
        <v>47</v>
      </c>
      <c r="H1779" s="2">
        <v>4541</v>
      </c>
      <c r="I1779" s="2">
        <v>4346</v>
      </c>
      <c r="J1779">
        <v>92</v>
      </c>
      <c r="K1779">
        <v>998</v>
      </c>
      <c r="L1779">
        <v>263</v>
      </c>
      <c r="M1779">
        <v>35</v>
      </c>
      <c r="N1779">
        <v>139</v>
      </c>
      <c r="O1779">
        <v>187</v>
      </c>
      <c r="P1779">
        <v>77</v>
      </c>
      <c r="Q1779">
        <v>155</v>
      </c>
      <c r="R1779">
        <v>38</v>
      </c>
      <c r="S1779" s="2">
        <v>1128</v>
      </c>
      <c r="T1779">
        <v>195</v>
      </c>
      <c r="U1779">
        <v>320</v>
      </c>
      <c r="V1779">
        <v>303</v>
      </c>
      <c r="W1779" s="1">
        <v>44160</v>
      </c>
      <c r="X1779" t="s">
        <v>56</v>
      </c>
    </row>
    <row r="1780" spans="1:39" x14ac:dyDescent="0.3">
      <c r="A1780">
        <v>2020</v>
      </c>
      <c r="B1780">
        <v>3</v>
      </c>
      <c r="C1780" t="str">
        <f t="shared" si="54"/>
        <v>3/01/2020</v>
      </c>
      <c r="D1780" s="1" t="str">
        <f t="shared" si="55"/>
        <v>3/01/2020</v>
      </c>
      <c r="E1780" t="s">
        <v>55</v>
      </c>
      <c r="F1780" t="s">
        <v>52</v>
      </c>
      <c r="G1780" t="s">
        <v>48</v>
      </c>
      <c r="H1780" s="2">
        <v>3459</v>
      </c>
      <c r="I1780" s="2">
        <v>3396</v>
      </c>
      <c r="J1780">
        <v>67</v>
      </c>
      <c r="K1780">
        <v>661</v>
      </c>
      <c r="L1780">
        <v>166</v>
      </c>
      <c r="M1780">
        <v>94</v>
      </c>
      <c r="N1780">
        <v>106</v>
      </c>
      <c r="O1780">
        <v>167</v>
      </c>
      <c r="P1780">
        <v>47</v>
      </c>
      <c r="Q1780">
        <v>99</v>
      </c>
      <c r="R1780">
        <v>26</v>
      </c>
      <c r="S1780">
        <v>933</v>
      </c>
      <c r="T1780">
        <v>205</v>
      </c>
      <c r="U1780">
        <v>262</v>
      </c>
      <c r="V1780">
        <v>246</v>
      </c>
      <c r="W1780" s="1">
        <v>44160</v>
      </c>
      <c r="X1780" t="s">
        <v>56</v>
      </c>
    </row>
    <row r="1781" spans="1:39" x14ac:dyDescent="0.3">
      <c r="A1781">
        <v>2020</v>
      </c>
      <c r="B1781">
        <v>3</v>
      </c>
      <c r="C1781" t="str">
        <f t="shared" si="54"/>
        <v>3/01/2020</v>
      </c>
      <c r="D1781" s="1" t="str">
        <f t="shared" si="55"/>
        <v>3/01/2020</v>
      </c>
      <c r="E1781" t="s">
        <v>55</v>
      </c>
      <c r="F1781" t="s">
        <v>52</v>
      </c>
      <c r="G1781" t="s">
        <v>49</v>
      </c>
      <c r="H1781" s="2">
        <v>2187</v>
      </c>
      <c r="I1781" s="2">
        <v>2135</v>
      </c>
      <c r="J1781">
        <v>39</v>
      </c>
      <c r="K1781">
        <v>297</v>
      </c>
      <c r="L1781">
        <v>78</v>
      </c>
      <c r="M1781">
        <v>135</v>
      </c>
      <c r="N1781">
        <v>85</v>
      </c>
      <c r="O1781">
        <v>85</v>
      </c>
      <c r="P1781">
        <v>26</v>
      </c>
      <c r="Q1781">
        <v>70</v>
      </c>
      <c r="R1781">
        <v>25</v>
      </c>
      <c r="S1781">
        <v>549</v>
      </c>
      <c r="T1781">
        <v>146</v>
      </c>
      <c r="U1781">
        <v>135</v>
      </c>
      <c r="V1781">
        <v>124</v>
      </c>
      <c r="W1781" s="1">
        <v>44160</v>
      </c>
      <c r="X1781" t="s">
        <v>56</v>
      </c>
    </row>
    <row r="1782" spans="1:39" x14ac:dyDescent="0.3">
      <c r="A1782">
        <v>2020</v>
      </c>
      <c r="B1782">
        <v>3</v>
      </c>
      <c r="C1782" t="str">
        <f t="shared" si="54"/>
        <v>3/01/2020</v>
      </c>
      <c r="D1782" s="1" t="str">
        <f t="shared" si="55"/>
        <v>3/01/2020</v>
      </c>
      <c r="E1782" t="s">
        <v>55</v>
      </c>
      <c r="F1782" t="s">
        <v>53</v>
      </c>
      <c r="G1782" t="s">
        <v>39</v>
      </c>
      <c r="H1782">
        <v>435</v>
      </c>
      <c r="I1782">
        <v>379</v>
      </c>
      <c r="L1782">
        <v>0</v>
      </c>
      <c r="M1782">
        <v>0</v>
      </c>
      <c r="O1782">
        <v>0</v>
      </c>
      <c r="R1782">
        <v>37</v>
      </c>
      <c r="S1782">
        <v>10</v>
      </c>
      <c r="W1782" s="1">
        <v>44160</v>
      </c>
      <c r="X1782" t="s">
        <v>56</v>
      </c>
      <c r="AA1782" t="s">
        <v>40</v>
      </c>
      <c r="AB1782" t="s">
        <v>40</v>
      </c>
      <c r="AE1782" t="s">
        <v>40</v>
      </c>
      <c r="AG1782" t="s">
        <v>40</v>
      </c>
      <c r="AH1782" t="s">
        <v>40</v>
      </c>
      <c r="AK1782" t="s">
        <v>40</v>
      </c>
      <c r="AL1782" t="s">
        <v>40</v>
      </c>
      <c r="AM1782" t="s">
        <v>40</v>
      </c>
    </row>
    <row r="1783" spans="1:39" x14ac:dyDescent="0.3">
      <c r="A1783">
        <v>2020</v>
      </c>
      <c r="B1783">
        <v>3</v>
      </c>
      <c r="C1783" t="str">
        <f t="shared" si="54"/>
        <v>3/01/2020</v>
      </c>
      <c r="D1783" s="1" t="str">
        <f t="shared" si="55"/>
        <v>3/01/2020</v>
      </c>
      <c r="E1783" t="s">
        <v>55</v>
      </c>
      <c r="F1783" t="s">
        <v>53</v>
      </c>
      <c r="G1783" t="s">
        <v>41</v>
      </c>
      <c r="H1783">
        <v>945</v>
      </c>
      <c r="I1783">
        <v>205</v>
      </c>
      <c r="K1783">
        <v>32</v>
      </c>
      <c r="L1783">
        <v>10</v>
      </c>
      <c r="M1783">
        <v>0</v>
      </c>
      <c r="R1783">
        <v>26</v>
      </c>
      <c r="S1783">
        <v>34</v>
      </c>
      <c r="W1783" s="1">
        <v>44160</v>
      </c>
      <c r="X1783" t="s">
        <v>56</v>
      </c>
      <c r="AA1783" t="s">
        <v>40</v>
      </c>
      <c r="AE1783" t="s">
        <v>40</v>
      </c>
      <c r="AF1783" t="s">
        <v>40</v>
      </c>
      <c r="AG1783" t="s">
        <v>40</v>
      </c>
      <c r="AH1783" t="s">
        <v>40</v>
      </c>
      <c r="AK1783" t="s">
        <v>40</v>
      </c>
      <c r="AL1783" t="s">
        <v>40</v>
      </c>
      <c r="AM1783" t="s">
        <v>40</v>
      </c>
    </row>
    <row r="1784" spans="1:39" x14ac:dyDescent="0.3">
      <c r="A1784">
        <v>2020</v>
      </c>
      <c r="B1784">
        <v>3</v>
      </c>
      <c r="C1784" t="str">
        <f t="shared" si="54"/>
        <v>3/01/2020</v>
      </c>
      <c r="D1784" s="1" t="str">
        <f t="shared" si="55"/>
        <v>3/01/2020</v>
      </c>
      <c r="E1784" t="s">
        <v>55</v>
      </c>
      <c r="F1784" t="s">
        <v>53</v>
      </c>
      <c r="G1784" t="s">
        <v>42</v>
      </c>
      <c r="H1784" s="2">
        <v>2101</v>
      </c>
      <c r="I1784">
        <v>538</v>
      </c>
      <c r="K1784">
        <v>73</v>
      </c>
      <c r="L1784">
        <v>28</v>
      </c>
      <c r="M1784">
        <v>0</v>
      </c>
      <c r="N1784">
        <v>28</v>
      </c>
      <c r="R1784">
        <v>44</v>
      </c>
      <c r="S1784">
        <v>86</v>
      </c>
      <c r="T1784">
        <v>10</v>
      </c>
      <c r="U1784">
        <v>11</v>
      </c>
      <c r="V1784">
        <v>11</v>
      </c>
      <c r="W1784" s="1">
        <v>44160</v>
      </c>
      <c r="X1784" t="s">
        <v>56</v>
      </c>
      <c r="AA1784" t="s">
        <v>40</v>
      </c>
      <c r="AF1784" t="s">
        <v>40</v>
      </c>
      <c r="AG1784" t="s">
        <v>40</v>
      </c>
      <c r="AH1784" t="s">
        <v>40</v>
      </c>
    </row>
    <row r="1785" spans="1:39" x14ac:dyDescent="0.3">
      <c r="A1785">
        <v>2020</v>
      </c>
      <c r="B1785">
        <v>3</v>
      </c>
      <c r="C1785" t="str">
        <f t="shared" si="54"/>
        <v>3/01/2020</v>
      </c>
      <c r="D1785" s="1" t="str">
        <f t="shared" si="55"/>
        <v>3/01/2020</v>
      </c>
      <c r="E1785" t="s">
        <v>55</v>
      </c>
      <c r="F1785" t="s">
        <v>53</v>
      </c>
      <c r="G1785" t="s">
        <v>43</v>
      </c>
      <c r="H1785" s="2">
        <v>3037</v>
      </c>
      <c r="I1785" s="2">
        <v>1487</v>
      </c>
      <c r="J1785">
        <v>21</v>
      </c>
      <c r="K1785">
        <v>271</v>
      </c>
      <c r="L1785">
        <v>74</v>
      </c>
      <c r="M1785">
        <v>0</v>
      </c>
      <c r="N1785">
        <v>50</v>
      </c>
      <c r="O1785">
        <v>19</v>
      </c>
      <c r="P1785">
        <v>18</v>
      </c>
      <c r="Q1785">
        <v>17</v>
      </c>
      <c r="R1785">
        <v>71</v>
      </c>
      <c r="S1785">
        <v>343</v>
      </c>
      <c r="T1785">
        <v>50</v>
      </c>
      <c r="U1785">
        <v>32</v>
      </c>
      <c r="V1785">
        <v>27</v>
      </c>
      <c r="W1785" s="1">
        <v>44160</v>
      </c>
      <c r="X1785" t="s">
        <v>56</v>
      </c>
    </row>
    <row r="1786" spans="1:39" x14ac:dyDescent="0.3">
      <c r="A1786">
        <v>2020</v>
      </c>
      <c r="B1786">
        <v>3</v>
      </c>
      <c r="C1786" t="str">
        <f t="shared" si="54"/>
        <v>3/01/2020</v>
      </c>
      <c r="D1786" s="1" t="str">
        <f t="shared" si="55"/>
        <v>3/01/2020</v>
      </c>
      <c r="E1786" t="s">
        <v>55</v>
      </c>
      <c r="F1786" t="s">
        <v>53</v>
      </c>
      <c r="G1786" t="s">
        <v>44</v>
      </c>
      <c r="H1786" s="2">
        <v>5594</v>
      </c>
      <c r="I1786" s="2">
        <v>4144</v>
      </c>
      <c r="J1786">
        <v>63</v>
      </c>
      <c r="K1786">
        <v>936</v>
      </c>
      <c r="L1786">
        <v>201</v>
      </c>
      <c r="N1786">
        <v>144</v>
      </c>
      <c r="O1786">
        <v>128</v>
      </c>
      <c r="P1786">
        <v>51</v>
      </c>
      <c r="Q1786">
        <v>56</v>
      </c>
      <c r="R1786">
        <v>62</v>
      </c>
      <c r="S1786" s="2">
        <v>1111</v>
      </c>
      <c r="T1786">
        <v>162</v>
      </c>
      <c r="U1786">
        <v>80</v>
      </c>
      <c r="V1786">
        <v>76</v>
      </c>
      <c r="W1786" s="1">
        <v>44160</v>
      </c>
      <c r="X1786" t="s">
        <v>56</v>
      </c>
      <c r="AD1786" t="s">
        <v>40</v>
      </c>
    </row>
    <row r="1787" spans="1:39" x14ac:dyDescent="0.3">
      <c r="A1787">
        <v>2020</v>
      </c>
      <c r="B1787">
        <v>3</v>
      </c>
      <c r="C1787" t="str">
        <f t="shared" si="54"/>
        <v>3/01/2020</v>
      </c>
      <c r="D1787" s="1" t="str">
        <f t="shared" si="55"/>
        <v>3/01/2020</v>
      </c>
      <c r="E1787" t="s">
        <v>55</v>
      </c>
      <c r="F1787" t="s">
        <v>53</v>
      </c>
      <c r="G1787" t="s">
        <v>45</v>
      </c>
      <c r="H1787">
        <v>131</v>
      </c>
      <c r="I1787">
        <v>60</v>
      </c>
      <c r="K1787">
        <v>16</v>
      </c>
      <c r="M1787">
        <v>0</v>
      </c>
      <c r="Q1787">
        <v>0</v>
      </c>
      <c r="T1787">
        <v>0</v>
      </c>
      <c r="U1787">
        <v>0</v>
      </c>
      <c r="V1787">
        <v>0</v>
      </c>
      <c r="W1787" s="1">
        <v>44160</v>
      </c>
      <c r="X1787" t="s">
        <v>56</v>
      </c>
      <c r="AA1787" t="s">
        <v>40</v>
      </c>
      <c r="AC1787" t="s">
        <v>40</v>
      </c>
      <c r="AE1787" t="s">
        <v>40</v>
      </c>
      <c r="AF1787" t="s">
        <v>40</v>
      </c>
      <c r="AG1787" t="s">
        <v>40</v>
      </c>
      <c r="AI1787" t="s">
        <v>40</v>
      </c>
      <c r="AJ1787" t="s">
        <v>40</v>
      </c>
    </row>
    <row r="1788" spans="1:39" x14ac:dyDescent="0.3">
      <c r="A1788">
        <v>2020</v>
      </c>
      <c r="B1788">
        <v>3</v>
      </c>
      <c r="C1788" t="str">
        <f t="shared" si="54"/>
        <v>3/01/2020</v>
      </c>
      <c r="D1788" s="1" t="str">
        <f t="shared" si="55"/>
        <v>3/01/2020</v>
      </c>
      <c r="E1788" t="s">
        <v>55</v>
      </c>
      <c r="F1788" t="s">
        <v>53</v>
      </c>
      <c r="G1788" t="s">
        <v>46</v>
      </c>
      <c r="H1788" s="2">
        <v>14529</v>
      </c>
      <c r="I1788" s="2">
        <v>12963</v>
      </c>
      <c r="J1788">
        <v>204</v>
      </c>
      <c r="K1788" s="2">
        <v>3653</v>
      </c>
      <c r="L1788">
        <v>560</v>
      </c>
      <c r="M1788">
        <v>45</v>
      </c>
      <c r="N1788">
        <v>338</v>
      </c>
      <c r="O1788">
        <v>752</v>
      </c>
      <c r="P1788">
        <v>204</v>
      </c>
      <c r="Q1788">
        <v>151</v>
      </c>
      <c r="R1788">
        <v>155</v>
      </c>
      <c r="S1788" s="2">
        <v>3460</v>
      </c>
      <c r="T1788">
        <v>430</v>
      </c>
      <c r="U1788">
        <v>224</v>
      </c>
      <c r="V1788">
        <v>211</v>
      </c>
      <c r="W1788" s="1">
        <v>44160</v>
      </c>
      <c r="X1788" t="s">
        <v>56</v>
      </c>
    </row>
    <row r="1789" spans="1:39" x14ac:dyDescent="0.3">
      <c r="A1789">
        <v>2020</v>
      </c>
      <c r="B1789">
        <v>3</v>
      </c>
      <c r="C1789" t="str">
        <f t="shared" si="54"/>
        <v>3/01/2020</v>
      </c>
      <c r="D1789" s="1" t="str">
        <f t="shared" si="55"/>
        <v>3/01/2020</v>
      </c>
      <c r="E1789" t="s">
        <v>55</v>
      </c>
      <c r="F1789" t="s">
        <v>53</v>
      </c>
      <c r="G1789" t="s">
        <v>47</v>
      </c>
      <c r="H1789" s="2">
        <v>22826</v>
      </c>
      <c r="I1789" s="2">
        <v>21763</v>
      </c>
      <c r="J1789">
        <v>350</v>
      </c>
      <c r="K1789" s="2">
        <v>6498</v>
      </c>
      <c r="L1789">
        <v>849</v>
      </c>
      <c r="M1789">
        <v>258</v>
      </c>
      <c r="N1789">
        <v>554</v>
      </c>
      <c r="O1789" s="2">
        <v>1725</v>
      </c>
      <c r="P1789">
        <v>424</v>
      </c>
      <c r="Q1789">
        <v>364</v>
      </c>
      <c r="R1789">
        <v>172</v>
      </c>
      <c r="S1789" s="2">
        <v>5336</v>
      </c>
      <c r="T1789">
        <v>810</v>
      </c>
      <c r="U1789">
        <v>432</v>
      </c>
      <c r="V1789">
        <v>410</v>
      </c>
      <c r="W1789" s="1">
        <v>44160</v>
      </c>
      <c r="X1789" t="s">
        <v>56</v>
      </c>
    </row>
    <row r="1790" spans="1:39" x14ac:dyDescent="0.3">
      <c r="A1790">
        <v>2020</v>
      </c>
      <c r="B1790">
        <v>3</v>
      </c>
      <c r="C1790" t="str">
        <f t="shared" si="54"/>
        <v>3/01/2020</v>
      </c>
      <c r="D1790" s="1" t="str">
        <f t="shared" si="55"/>
        <v>3/01/2020</v>
      </c>
      <c r="E1790" t="s">
        <v>55</v>
      </c>
      <c r="F1790" t="s">
        <v>53</v>
      </c>
      <c r="G1790" t="s">
        <v>48</v>
      </c>
      <c r="H1790" s="2">
        <v>27417</v>
      </c>
      <c r="I1790" s="2">
        <v>26367</v>
      </c>
      <c r="J1790">
        <v>379</v>
      </c>
      <c r="K1790" s="2">
        <v>6167</v>
      </c>
      <c r="L1790">
        <v>772</v>
      </c>
      <c r="M1790">
        <v>999</v>
      </c>
      <c r="N1790">
        <v>786</v>
      </c>
      <c r="O1790" s="2">
        <v>2076</v>
      </c>
      <c r="P1790">
        <v>666</v>
      </c>
      <c r="Q1790">
        <v>511</v>
      </c>
      <c r="R1790">
        <v>206</v>
      </c>
      <c r="S1790" s="2">
        <v>6579</v>
      </c>
      <c r="T1790" s="2">
        <v>1311</v>
      </c>
      <c r="U1790">
        <v>629</v>
      </c>
      <c r="V1790">
        <v>601</v>
      </c>
      <c r="W1790" s="1">
        <v>44160</v>
      </c>
      <c r="X1790" t="s">
        <v>56</v>
      </c>
    </row>
    <row r="1791" spans="1:39" x14ac:dyDescent="0.3">
      <c r="A1791">
        <v>2020</v>
      </c>
      <c r="B1791">
        <v>3</v>
      </c>
      <c r="C1791" t="str">
        <f t="shared" si="54"/>
        <v>3/01/2020</v>
      </c>
      <c r="D1791" s="1" t="str">
        <f t="shared" si="55"/>
        <v>3/01/2020</v>
      </c>
      <c r="E1791" t="s">
        <v>55</v>
      </c>
      <c r="F1791" t="s">
        <v>53</v>
      </c>
      <c r="G1791" t="s">
        <v>49</v>
      </c>
      <c r="H1791" s="2">
        <v>26630</v>
      </c>
      <c r="I1791" s="2">
        <v>25699</v>
      </c>
      <c r="J1791">
        <v>300</v>
      </c>
      <c r="K1791" s="2">
        <v>3596</v>
      </c>
      <c r="L1791">
        <v>528</v>
      </c>
      <c r="M1791" s="2">
        <v>1659</v>
      </c>
      <c r="N1791">
        <v>884</v>
      </c>
      <c r="O1791" s="2">
        <v>1397</v>
      </c>
      <c r="P1791">
        <v>443</v>
      </c>
      <c r="Q1791">
        <v>576</v>
      </c>
      <c r="R1791">
        <v>318</v>
      </c>
      <c r="S1791" s="2">
        <v>7891</v>
      </c>
      <c r="T1791" s="2">
        <v>1535</v>
      </c>
      <c r="U1791">
        <v>555</v>
      </c>
      <c r="V1791">
        <v>530</v>
      </c>
      <c r="W1791" s="1">
        <v>44160</v>
      </c>
      <c r="X1791" t="s">
        <v>56</v>
      </c>
    </row>
    <row r="1792" spans="1:39" x14ac:dyDescent="0.3">
      <c r="A1792">
        <v>2020</v>
      </c>
      <c r="B1792">
        <v>3</v>
      </c>
      <c r="C1792" t="str">
        <f t="shared" si="54"/>
        <v>3/01/2020</v>
      </c>
      <c r="D1792" s="1" t="str">
        <f t="shared" si="55"/>
        <v>3/01/2020</v>
      </c>
      <c r="E1792" t="s">
        <v>55</v>
      </c>
      <c r="F1792" t="s">
        <v>54</v>
      </c>
      <c r="G1792" t="s">
        <v>39</v>
      </c>
      <c r="H1792">
        <v>60</v>
      </c>
      <c r="I1792">
        <v>51</v>
      </c>
      <c r="J1792">
        <v>0</v>
      </c>
      <c r="L1792">
        <v>0</v>
      </c>
      <c r="M1792">
        <v>0</v>
      </c>
      <c r="O1792">
        <v>0</v>
      </c>
      <c r="P1792">
        <v>0</v>
      </c>
      <c r="S1792">
        <v>0</v>
      </c>
      <c r="T1792">
        <v>0</v>
      </c>
      <c r="U1792">
        <v>0</v>
      </c>
      <c r="V1792">
        <v>0</v>
      </c>
      <c r="W1792" s="1">
        <v>44160</v>
      </c>
      <c r="X1792" t="s">
        <v>56</v>
      </c>
      <c r="AB1792" t="s">
        <v>40</v>
      </c>
      <c r="AE1792" t="s">
        <v>40</v>
      </c>
      <c r="AH1792" t="s">
        <v>40</v>
      </c>
      <c r="AI1792" t="s">
        <v>40</v>
      </c>
    </row>
    <row r="1793" spans="1:39" x14ac:dyDescent="0.3">
      <c r="A1793">
        <v>2020</v>
      </c>
      <c r="B1793">
        <v>3</v>
      </c>
      <c r="C1793" t="str">
        <f t="shared" si="54"/>
        <v>3/01/2020</v>
      </c>
      <c r="D1793" s="1" t="str">
        <f t="shared" si="55"/>
        <v>3/01/2020</v>
      </c>
      <c r="E1793" t="s">
        <v>55</v>
      </c>
      <c r="F1793" t="s">
        <v>54</v>
      </c>
      <c r="G1793" t="s">
        <v>41</v>
      </c>
      <c r="H1793">
        <v>45</v>
      </c>
      <c r="J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T1793">
        <v>0</v>
      </c>
      <c r="U1793">
        <v>0</v>
      </c>
      <c r="V1793">
        <v>0</v>
      </c>
      <c r="W1793" s="1">
        <v>44160</v>
      </c>
      <c r="X1793" t="s">
        <v>56</v>
      </c>
      <c r="Z1793" t="s">
        <v>40</v>
      </c>
      <c r="AB1793" t="s">
        <v>40</v>
      </c>
      <c r="AC1793" t="s">
        <v>40</v>
      </c>
      <c r="AI1793" t="s">
        <v>40</v>
      </c>
      <c r="AJ1793" t="s">
        <v>40</v>
      </c>
    </row>
    <row r="1794" spans="1:39" x14ac:dyDescent="0.3">
      <c r="A1794">
        <v>2020</v>
      </c>
      <c r="B1794">
        <v>3</v>
      </c>
      <c r="C1794" t="str">
        <f t="shared" si="54"/>
        <v>3/01/2020</v>
      </c>
      <c r="D1794" s="1" t="str">
        <f t="shared" si="55"/>
        <v>3/01/2020</v>
      </c>
      <c r="E1794" t="s">
        <v>55</v>
      </c>
      <c r="F1794" t="s">
        <v>54</v>
      </c>
      <c r="G1794" t="s">
        <v>42</v>
      </c>
      <c r="H1794">
        <v>58</v>
      </c>
      <c r="I1794">
        <v>11</v>
      </c>
      <c r="J1794">
        <v>0</v>
      </c>
      <c r="M1794">
        <v>0</v>
      </c>
      <c r="O1794">
        <v>0</v>
      </c>
      <c r="P1794">
        <v>0</v>
      </c>
      <c r="Q1794">
        <v>0</v>
      </c>
      <c r="T1794">
        <v>0</v>
      </c>
      <c r="W1794" s="1">
        <v>44160</v>
      </c>
      <c r="X1794" t="s">
        <v>56</v>
      </c>
      <c r="AB1794" t="s">
        <v>40</v>
      </c>
      <c r="AC1794" t="s">
        <v>40</v>
      </c>
      <c r="AE1794" t="s">
        <v>40</v>
      </c>
      <c r="AI1794" t="s">
        <v>40</v>
      </c>
      <c r="AJ1794" t="s">
        <v>40</v>
      </c>
      <c r="AL1794" t="s">
        <v>40</v>
      </c>
      <c r="AM1794" t="s">
        <v>40</v>
      </c>
    </row>
    <row r="1795" spans="1:39" x14ac:dyDescent="0.3">
      <c r="A1795">
        <v>2020</v>
      </c>
      <c r="B1795">
        <v>3</v>
      </c>
      <c r="C1795" t="str">
        <f t="shared" ref="C1795:C1858" si="56">CONCATENATE(B1795,"/01/",A1795)</f>
        <v>3/01/2020</v>
      </c>
      <c r="D1795" s="1" t="str">
        <f t="shared" ref="D1795:D1858" si="57">C1795</f>
        <v>3/01/2020</v>
      </c>
      <c r="E1795" t="s">
        <v>55</v>
      </c>
      <c r="F1795" t="s">
        <v>54</v>
      </c>
      <c r="G1795" t="s">
        <v>43</v>
      </c>
      <c r="H1795">
        <v>75</v>
      </c>
      <c r="I1795">
        <v>40</v>
      </c>
      <c r="J1795">
        <v>0</v>
      </c>
      <c r="M1795">
        <v>0</v>
      </c>
      <c r="N1795">
        <v>0</v>
      </c>
      <c r="Q1795">
        <v>0</v>
      </c>
      <c r="R1795">
        <v>0</v>
      </c>
      <c r="W1795" s="1">
        <v>44160</v>
      </c>
      <c r="X1795" t="s">
        <v>56</v>
      </c>
      <c r="AB1795" t="s">
        <v>40</v>
      </c>
      <c r="AC1795" t="s">
        <v>40</v>
      </c>
      <c r="AF1795" t="s">
        <v>40</v>
      </c>
      <c r="AG1795" t="s">
        <v>40</v>
      </c>
      <c r="AJ1795" t="s">
        <v>40</v>
      </c>
      <c r="AK1795" t="s">
        <v>40</v>
      </c>
      <c r="AL1795" t="s">
        <v>40</v>
      </c>
      <c r="AM1795" t="s">
        <v>40</v>
      </c>
    </row>
    <row r="1796" spans="1:39" x14ac:dyDescent="0.3">
      <c r="A1796">
        <v>2020</v>
      </c>
      <c r="B1796">
        <v>3</v>
      </c>
      <c r="C1796" t="str">
        <f t="shared" si="56"/>
        <v>3/01/2020</v>
      </c>
      <c r="D1796" s="1" t="str">
        <f t="shared" si="57"/>
        <v>3/01/2020</v>
      </c>
      <c r="E1796" t="s">
        <v>55</v>
      </c>
      <c r="F1796" t="s">
        <v>54</v>
      </c>
      <c r="G1796" t="s">
        <v>44</v>
      </c>
      <c r="H1796">
        <v>136</v>
      </c>
      <c r="I1796">
        <v>94</v>
      </c>
      <c r="K1796">
        <v>12</v>
      </c>
      <c r="M1796">
        <v>0</v>
      </c>
      <c r="P1796">
        <v>0</v>
      </c>
      <c r="S1796">
        <v>30</v>
      </c>
      <c r="W1796" s="1">
        <v>44160</v>
      </c>
      <c r="X1796" t="s">
        <v>56</v>
      </c>
      <c r="AA1796" t="s">
        <v>40</v>
      </c>
      <c r="AC1796" t="s">
        <v>40</v>
      </c>
      <c r="AE1796" t="s">
        <v>40</v>
      </c>
      <c r="AF1796" t="s">
        <v>40</v>
      </c>
      <c r="AH1796" t="s">
        <v>40</v>
      </c>
      <c r="AI1796" t="s">
        <v>40</v>
      </c>
      <c r="AK1796" t="s">
        <v>40</v>
      </c>
      <c r="AL1796" t="s">
        <v>40</v>
      </c>
      <c r="AM1796" t="s">
        <v>40</v>
      </c>
    </row>
    <row r="1797" spans="1:39" x14ac:dyDescent="0.3">
      <c r="A1797">
        <v>2020</v>
      </c>
      <c r="B1797">
        <v>3</v>
      </c>
      <c r="C1797" t="str">
        <f t="shared" si="56"/>
        <v>3/01/2020</v>
      </c>
      <c r="D1797" s="1" t="str">
        <f t="shared" si="57"/>
        <v>3/01/2020</v>
      </c>
      <c r="E1797" t="s">
        <v>55</v>
      </c>
      <c r="F1797" t="s">
        <v>54</v>
      </c>
      <c r="G1797" t="s">
        <v>45</v>
      </c>
      <c r="J1797">
        <v>0</v>
      </c>
      <c r="K1797">
        <v>0</v>
      </c>
      <c r="L1797">
        <v>0</v>
      </c>
      <c r="M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U1797">
        <v>0</v>
      </c>
      <c r="V1797">
        <v>0</v>
      </c>
      <c r="W1797" s="1">
        <v>44160</v>
      </c>
      <c r="X1797" t="s">
        <v>56</v>
      </c>
      <c r="Y1797" t="s">
        <v>40</v>
      </c>
      <c r="Z1797" t="s">
        <v>40</v>
      </c>
      <c r="AE1797" t="s">
        <v>40</v>
      </c>
      <c r="AK1797" t="s">
        <v>40</v>
      </c>
    </row>
    <row r="1798" spans="1:39" x14ac:dyDescent="0.3">
      <c r="A1798">
        <v>2020</v>
      </c>
      <c r="B1798">
        <v>3</v>
      </c>
      <c r="C1798" t="str">
        <f t="shared" si="56"/>
        <v>3/01/2020</v>
      </c>
      <c r="D1798" s="1" t="str">
        <f t="shared" si="57"/>
        <v>3/01/2020</v>
      </c>
      <c r="E1798" t="s">
        <v>55</v>
      </c>
      <c r="F1798" t="s">
        <v>54</v>
      </c>
      <c r="G1798" t="s">
        <v>46</v>
      </c>
      <c r="H1798">
        <v>305</v>
      </c>
      <c r="I1798">
        <v>255</v>
      </c>
      <c r="K1798">
        <v>50</v>
      </c>
      <c r="L1798">
        <v>12</v>
      </c>
      <c r="M1798">
        <v>0</v>
      </c>
      <c r="S1798">
        <v>83</v>
      </c>
      <c r="U1798">
        <v>21</v>
      </c>
      <c r="V1798">
        <v>20</v>
      </c>
      <c r="W1798" s="1">
        <v>44160</v>
      </c>
      <c r="X1798" t="s">
        <v>56</v>
      </c>
      <c r="AA1798" t="s">
        <v>40</v>
      </c>
      <c r="AE1798" t="s">
        <v>40</v>
      </c>
      <c r="AF1798" t="s">
        <v>40</v>
      </c>
      <c r="AG1798" t="s">
        <v>40</v>
      </c>
      <c r="AH1798" t="s">
        <v>40</v>
      </c>
      <c r="AI1798" t="s">
        <v>40</v>
      </c>
      <c r="AK1798" t="s">
        <v>40</v>
      </c>
    </row>
    <row r="1799" spans="1:39" x14ac:dyDescent="0.3">
      <c r="A1799">
        <v>2020</v>
      </c>
      <c r="B1799">
        <v>3</v>
      </c>
      <c r="C1799" t="str">
        <f t="shared" si="56"/>
        <v>3/01/2020</v>
      </c>
      <c r="D1799" s="1" t="str">
        <f t="shared" si="57"/>
        <v>3/01/2020</v>
      </c>
      <c r="E1799" t="s">
        <v>55</v>
      </c>
      <c r="F1799" t="s">
        <v>54</v>
      </c>
      <c r="G1799" t="s">
        <v>47</v>
      </c>
      <c r="H1799">
        <v>312</v>
      </c>
      <c r="I1799">
        <v>297</v>
      </c>
      <c r="K1799">
        <v>57</v>
      </c>
      <c r="L1799">
        <v>18</v>
      </c>
      <c r="O1799">
        <v>18</v>
      </c>
      <c r="Q1799">
        <v>0</v>
      </c>
      <c r="S1799">
        <v>98</v>
      </c>
      <c r="T1799">
        <v>10</v>
      </c>
      <c r="U1799">
        <v>28</v>
      </c>
      <c r="V1799">
        <v>27</v>
      </c>
      <c r="W1799" s="1">
        <v>44160</v>
      </c>
      <c r="X1799" t="s">
        <v>56</v>
      </c>
      <c r="AA1799" t="s">
        <v>40</v>
      </c>
      <c r="AD1799" t="s">
        <v>40</v>
      </c>
      <c r="AE1799" t="s">
        <v>40</v>
      </c>
      <c r="AG1799" t="s">
        <v>40</v>
      </c>
      <c r="AI1799" t="s">
        <v>40</v>
      </c>
    </row>
    <row r="1800" spans="1:39" x14ac:dyDescent="0.3">
      <c r="A1800">
        <v>2020</v>
      </c>
      <c r="B1800">
        <v>3</v>
      </c>
      <c r="C1800" t="str">
        <f t="shared" si="56"/>
        <v>3/01/2020</v>
      </c>
      <c r="D1800" s="1" t="str">
        <f t="shared" si="57"/>
        <v>3/01/2020</v>
      </c>
      <c r="E1800" t="s">
        <v>55</v>
      </c>
      <c r="F1800" t="s">
        <v>54</v>
      </c>
      <c r="G1800" t="s">
        <v>48</v>
      </c>
      <c r="H1800">
        <v>244</v>
      </c>
      <c r="I1800">
        <v>234</v>
      </c>
      <c r="K1800">
        <v>36</v>
      </c>
      <c r="O1800">
        <v>17</v>
      </c>
      <c r="S1800">
        <v>69</v>
      </c>
      <c r="T1800">
        <v>11</v>
      </c>
      <c r="U1800">
        <v>14</v>
      </c>
      <c r="V1800">
        <v>14</v>
      </c>
      <c r="W1800" s="1">
        <v>44160</v>
      </c>
      <c r="X1800" t="s">
        <v>56</v>
      </c>
      <c r="AA1800" t="s">
        <v>40</v>
      </c>
      <c r="AC1800" t="s">
        <v>40</v>
      </c>
      <c r="AD1800" t="s">
        <v>40</v>
      </c>
      <c r="AE1800" t="s">
        <v>40</v>
      </c>
      <c r="AG1800" t="s">
        <v>40</v>
      </c>
      <c r="AH1800" t="s">
        <v>40</v>
      </c>
      <c r="AI1800" t="s">
        <v>40</v>
      </c>
    </row>
    <row r="1801" spans="1:39" x14ac:dyDescent="0.3">
      <c r="A1801">
        <v>2020</v>
      </c>
      <c r="B1801">
        <v>3</v>
      </c>
      <c r="C1801" t="str">
        <f t="shared" si="56"/>
        <v>3/01/2020</v>
      </c>
      <c r="D1801" s="1" t="str">
        <f t="shared" si="57"/>
        <v>3/01/2020</v>
      </c>
      <c r="E1801" t="s">
        <v>55</v>
      </c>
      <c r="F1801" t="s">
        <v>54</v>
      </c>
      <c r="G1801" t="s">
        <v>49</v>
      </c>
      <c r="H1801">
        <v>139</v>
      </c>
      <c r="I1801">
        <v>138</v>
      </c>
      <c r="K1801">
        <v>18</v>
      </c>
      <c r="R1801">
        <v>0</v>
      </c>
      <c r="S1801">
        <v>48</v>
      </c>
      <c r="W1801" s="1">
        <v>44160</v>
      </c>
      <c r="X1801" t="s">
        <v>56</v>
      </c>
      <c r="AA1801" t="s">
        <v>40</v>
      </c>
      <c r="AC1801" t="s">
        <v>40</v>
      </c>
      <c r="AD1801" t="s">
        <v>40</v>
      </c>
      <c r="AE1801" t="s">
        <v>40</v>
      </c>
      <c r="AF1801" t="s">
        <v>40</v>
      </c>
      <c r="AG1801" t="s">
        <v>40</v>
      </c>
      <c r="AH1801" t="s">
        <v>40</v>
      </c>
      <c r="AK1801" t="s">
        <v>40</v>
      </c>
      <c r="AL1801" t="s">
        <v>40</v>
      </c>
      <c r="AM1801" t="s">
        <v>40</v>
      </c>
    </row>
    <row r="1802" spans="1:39" x14ac:dyDescent="0.3">
      <c r="A1802">
        <v>2020</v>
      </c>
      <c r="B1802">
        <v>4</v>
      </c>
      <c r="C1802" t="str">
        <f t="shared" si="56"/>
        <v>4/01/2020</v>
      </c>
      <c r="D1802" s="1" t="str">
        <f t="shared" si="57"/>
        <v>4/01/2020</v>
      </c>
      <c r="E1802" t="s">
        <v>37</v>
      </c>
      <c r="F1802" t="s">
        <v>38</v>
      </c>
      <c r="G1802" t="s">
        <v>39</v>
      </c>
      <c r="H1802">
        <v>178</v>
      </c>
      <c r="I1802">
        <v>169</v>
      </c>
      <c r="L1802">
        <v>0</v>
      </c>
      <c r="M1802">
        <v>0</v>
      </c>
      <c r="N1802">
        <v>0</v>
      </c>
      <c r="O1802">
        <v>0</v>
      </c>
      <c r="R1802">
        <v>14</v>
      </c>
      <c r="T1802">
        <v>0</v>
      </c>
      <c r="W1802" s="1">
        <v>44160</v>
      </c>
      <c r="X1802" t="s">
        <v>56</v>
      </c>
      <c r="AA1802" t="s">
        <v>40</v>
      </c>
      <c r="AB1802" t="s">
        <v>40</v>
      </c>
      <c r="AG1802" t="s">
        <v>40</v>
      </c>
      <c r="AH1802" t="s">
        <v>40</v>
      </c>
      <c r="AJ1802" t="s">
        <v>40</v>
      </c>
      <c r="AL1802" t="s">
        <v>40</v>
      </c>
      <c r="AM1802" t="s">
        <v>40</v>
      </c>
    </row>
    <row r="1803" spans="1:39" x14ac:dyDescent="0.3">
      <c r="A1803">
        <v>2020</v>
      </c>
      <c r="B1803">
        <v>4</v>
      </c>
      <c r="C1803" t="str">
        <f t="shared" si="56"/>
        <v>4/01/2020</v>
      </c>
      <c r="D1803" s="1" t="str">
        <f t="shared" si="57"/>
        <v>4/01/2020</v>
      </c>
      <c r="E1803" t="s">
        <v>37</v>
      </c>
      <c r="F1803" t="s">
        <v>38</v>
      </c>
      <c r="G1803" t="s">
        <v>41</v>
      </c>
      <c r="H1803">
        <v>138</v>
      </c>
      <c r="I1803">
        <v>54</v>
      </c>
      <c r="M1803">
        <v>0</v>
      </c>
      <c r="Q1803">
        <v>0</v>
      </c>
      <c r="W1803" s="1">
        <v>44160</v>
      </c>
      <c r="X1803" t="s">
        <v>56</v>
      </c>
      <c r="AA1803" t="s">
        <v>40</v>
      </c>
      <c r="AB1803" t="s">
        <v>40</v>
      </c>
      <c r="AC1803" t="s">
        <v>40</v>
      </c>
      <c r="AE1803" t="s">
        <v>40</v>
      </c>
      <c r="AF1803" t="s">
        <v>40</v>
      </c>
      <c r="AG1803" t="s">
        <v>40</v>
      </c>
      <c r="AI1803" t="s">
        <v>40</v>
      </c>
      <c r="AJ1803" t="s">
        <v>40</v>
      </c>
      <c r="AK1803" t="s">
        <v>40</v>
      </c>
      <c r="AL1803" t="s">
        <v>40</v>
      </c>
      <c r="AM1803" t="s">
        <v>40</v>
      </c>
    </row>
    <row r="1804" spans="1:39" x14ac:dyDescent="0.3">
      <c r="A1804">
        <v>2020</v>
      </c>
      <c r="B1804">
        <v>4</v>
      </c>
      <c r="C1804" t="str">
        <f t="shared" si="56"/>
        <v>4/01/2020</v>
      </c>
      <c r="D1804" s="1" t="str">
        <f t="shared" si="57"/>
        <v>4/01/2020</v>
      </c>
      <c r="E1804" t="s">
        <v>37</v>
      </c>
      <c r="F1804" t="s">
        <v>38</v>
      </c>
      <c r="G1804" t="s">
        <v>42</v>
      </c>
      <c r="H1804">
        <v>253</v>
      </c>
      <c r="I1804">
        <v>148</v>
      </c>
      <c r="K1804">
        <v>28</v>
      </c>
      <c r="M1804">
        <v>0</v>
      </c>
      <c r="R1804">
        <v>10</v>
      </c>
      <c r="U1804">
        <v>47</v>
      </c>
      <c r="V1804">
        <v>43</v>
      </c>
      <c r="W1804" s="1">
        <v>44160</v>
      </c>
      <c r="X1804" t="s">
        <v>56</v>
      </c>
      <c r="AA1804" t="s">
        <v>40</v>
      </c>
      <c r="AC1804" t="s">
        <v>40</v>
      </c>
      <c r="AE1804" t="s">
        <v>40</v>
      </c>
      <c r="AF1804" t="s">
        <v>40</v>
      </c>
      <c r="AG1804" t="s">
        <v>40</v>
      </c>
      <c r="AH1804" t="s">
        <v>40</v>
      </c>
      <c r="AJ1804" t="s">
        <v>40</v>
      </c>
      <c r="AK1804" t="s">
        <v>40</v>
      </c>
    </row>
    <row r="1805" spans="1:39" x14ac:dyDescent="0.3">
      <c r="A1805">
        <v>2020</v>
      </c>
      <c r="B1805">
        <v>4</v>
      </c>
      <c r="C1805" t="str">
        <f t="shared" si="56"/>
        <v>4/01/2020</v>
      </c>
      <c r="D1805" s="1" t="str">
        <f t="shared" si="57"/>
        <v>4/01/2020</v>
      </c>
      <c r="E1805" t="s">
        <v>37</v>
      </c>
      <c r="F1805" t="s">
        <v>38</v>
      </c>
      <c r="G1805" t="s">
        <v>43</v>
      </c>
      <c r="H1805">
        <v>382</v>
      </c>
      <c r="I1805">
        <v>302</v>
      </c>
      <c r="K1805">
        <v>71</v>
      </c>
      <c r="S1805">
        <v>22</v>
      </c>
      <c r="U1805">
        <v>92</v>
      </c>
      <c r="V1805">
        <v>88</v>
      </c>
      <c r="W1805" s="1">
        <v>44160</v>
      </c>
      <c r="X1805" t="s">
        <v>56</v>
      </c>
      <c r="AA1805" t="s">
        <v>40</v>
      </c>
      <c r="AC1805" t="s">
        <v>40</v>
      </c>
      <c r="AD1805" t="s">
        <v>40</v>
      </c>
      <c r="AE1805" t="s">
        <v>40</v>
      </c>
      <c r="AF1805" t="s">
        <v>40</v>
      </c>
      <c r="AG1805" t="s">
        <v>40</v>
      </c>
      <c r="AH1805" t="s">
        <v>40</v>
      </c>
      <c r="AI1805" t="s">
        <v>40</v>
      </c>
      <c r="AK1805" t="s">
        <v>40</v>
      </c>
    </row>
    <row r="1806" spans="1:39" x14ac:dyDescent="0.3">
      <c r="A1806">
        <v>2020</v>
      </c>
      <c r="B1806">
        <v>4</v>
      </c>
      <c r="C1806" t="str">
        <f t="shared" si="56"/>
        <v>4/01/2020</v>
      </c>
      <c r="D1806" s="1" t="str">
        <f t="shared" si="57"/>
        <v>4/01/2020</v>
      </c>
      <c r="E1806" t="s">
        <v>37</v>
      </c>
      <c r="F1806" t="s">
        <v>38</v>
      </c>
      <c r="G1806" t="s">
        <v>44</v>
      </c>
      <c r="H1806">
        <v>804</v>
      </c>
      <c r="I1806">
        <v>748</v>
      </c>
      <c r="K1806">
        <v>199</v>
      </c>
      <c r="L1806">
        <v>44</v>
      </c>
      <c r="N1806">
        <v>14</v>
      </c>
      <c r="O1806">
        <v>10</v>
      </c>
      <c r="P1806">
        <v>11</v>
      </c>
      <c r="Q1806">
        <v>13</v>
      </c>
      <c r="S1806">
        <v>68</v>
      </c>
      <c r="T1806">
        <v>31</v>
      </c>
      <c r="U1806">
        <v>238</v>
      </c>
      <c r="V1806">
        <v>225</v>
      </c>
      <c r="W1806" s="1">
        <v>44160</v>
      </c>
      <c r="X1806" t="s">
        <v>56</v>
      </c>
      <c r="AA1806" t="s">
        <v>40</v>
      </c>
      <c r="AD1806" t="s">
        <v>40</v>
      </c>
      <c r="AI1806" t="s">
        <v>40</v>
      </c>
    </row>
    <row r="1807" spans="1:39" x14ac:dyDescent="0.3">
      <c r="A1807">
        <v>2020</v>
      </c>
      <c r="B1807">
        <v>4</v>
      </c>
      <c r="C1807" t="str">
        <f t="shared" si="56"/>
        <v>4/01/2020</v>
      </c>
      <c r="D1807" s="1" t="str">
        <f t="shared" si="57"/>
        <v>4/01/2020</v>
      </c>
      <c r="E1807" t="s">
        <v>37</v>
      </c>
      <c r="F1807" t="s">
        <v>38</v>
      </c>
      <c r="G1807" t="s">
        <v>45</v>
      </c>
      <c r="H1807">
        <v>42</v>
      </c>
      <c r="I1807">
        <v>23</v>
      </c>
      <c r="J1807">
        <v>0</v>
      </c>
      <c r="K1807">
        <v>12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U1807">
        <v>0</v>
      </c>
      <c r="V1807">
        <v>0</v>
      </c>
      <c r="W1807" s="1">
        <v>44160</v>
      </c>
      <c r="X1807" t="s">
        <v>56</v>
      </c>
      <c r="AI1807" t="s">
        <v>40</v>
      </c>
      <c r="AJ1807" t="s">
        <v>40</v>
      </c>
      <c r="AK1807" t="s">
        <v>40</v>
      </c>
    </row>
    <row r="1808" spans="1:39" x14ac:dyDescent="0.3">
      <c r="A1808">
        <v>2020</v>
      </c>
      <c r="B1808">
        <v>4</v>
      </c>
      <c r="C1808" t="str">
        <f t="shared" si="56"/>
        <v>4/01/2020</v>
      </c>
      <c r="D1808" s="1" t="str">
        <f t="shared" si="57"/>
        <v>4/01/2020</v>
      </c>
      <c r="E1808" t="s">
        <v>37</v>
      </c>
      <c r="F1808" t="s">
        <v>38</v>
      </c>
      <c r="G1808" t="s">
        <v>46</v>
      </c>
      <c r="H1808" s="2">
        <v>1581</v>
      </c>
      <c r="I1808" s="2">
        <v>1525</v>
      </c>
      <c r="J1808">
        <v>25</v>
      </c>
      <c r="K1808">
        <v>349</v>
      </c>
      <c r="L1808">
        <v>78</v>
      </c>
      <c r="N1808">
        <v>24</v>
      </c>
      <c r="O1808">
        <v>29</v>
      </c>
      <c r="P1808">
        <v>27</v>
      </c>
      <c r="Q1808">
        <v>27</v>
      </c>
      <c r="R1808">
        <v>10</v>
      </c>
      <c r="S1808">
        <v>171</v>
      </c>
      <c r="T1808">
        <v>47</v>
      </c>
      <c r="U1808">
        <v>537</v>
      </c>
      <c r="V1808">
        <v>520</v>
      </c>
      <c r="W1808" s="1">
        <v>44160</v>
      </c>
      <c r="X1808" t="s">
        <v>56</v>
      </c>
      <c r="AD1808" t="s">
        <v>40</v>
      </c>
    </row>
    <row r="1809" spans="1:39" x14ac:dyDescent="0.3">
      <c r="A1809">
        <v>2020</v>
      </c>
      <c r="B1809">
        <v>4</v>
      </c>
      <c r="C1809" t="str">
        <f t="shared" si="56"/>
        <v>4/01/2020</v>
      </c>
      <c r="D1809" s="1" t="str">
        <f t="shared" si="57"/>
        <v>4/01/2020</v>
      </c>
      <c r="E1809" t="s">
        <v>37</v>
      </c>
      <c r="F1809" t="s">
        <v>38</v>
      </c>
      <c r="G1809" t="s">
        <v>47</v>
      </c>
      <c r="H1809" s="2">
        <v>2252</v>
      </c>
      <c r="I1809" s="2">
        <v>2236</v>
      </c>
      <c r="J1809">
        <v>23</v>
      </c>
      <c r="K1809">
        <v>405</v>
      </c>
      <c r="L1809">
        <v>113</v>
      </c>
      <c r="M1809">
        <v>35</v>
      </c>
      <c r="N1809">
        <v>37</v>
      </c>
      <c r="O1809">
        <v>48</v>
      </c>
      <c r="P1809">
        <v>29</v>
      </c>
      <c r="Q1809">
        <v>51</v>
      </c>
      <c r="S1809">
        <v>281</v>
      </c>
      <c r="T1809">
        <v>62</v>
      </c>
      <c r="U1809">
        <v>843</v>
      </c>
      <c r="V1809">
        <v>813</v>
      </c>
      <c r="W1809" s="1">
        <v>44160</v>
      </c>
      <c r="X1809" t="s">
        <v>56</v>
      </c>
      <c r="AI1809" t="s">
        <v>40</v>
      </c>
    </row>
    <row r="1810" spans="1:39" x14ac:dyDescent="0.3">
      <c r="A1810">
        <v>2020</v>
      </c>
      <c r="B1810">
        <v>4</v>
      </c>
      <c r="C1810" t="str">
        <f t="shared" si="56"/>
        <v>4/01/2020</v>
      </c>
      <c r="D1810" s="1" t="str">
        <f t="shared" si="57"/>
        <v>4/01/2020</v>
      </c>
      <c r="E1810" t="s">
        <v>37</v>
      </c>
      <c r="F1810" t="s">
        <v>38</v>
      </c>
      <c r="G1810" t="s">
        <v>48</v>
      </c>
      <c r="H1810" s="2">
        <v>3209</v>
      </c>
      <c r="I1810" s="2">
        <v>3163</v>
      </c>
      <c r="J1810">
        <v>25</v>
      </c>
      <c r="K1810">
        <v>356</v>
      </c>
      <c r="L1810">
        <v>137</v>
      </c>
      <c r="M1810">
        <v>136</v>
      </c>
      <c r="N1810">
        <v>64</v>
      </c>
      <c r="O1810">
        <v>89</v>
      </c>
      <c r="P1810">
        <v>42</v>
      </c>
      <c r="Q1810">
        <v>56</v>
      </c>
      <c r="R1810">
        <v>17</v>
      </c>
      <c r="S1810">
        <v>493</v>
      </c>
      <c r="T1810">
        <v>144</v>
      </c>
      <c r="U1810" s="2">
        <v>1149</v>
      </c>
      <c r="V1810" s="2">
        <v>1117</v>
      </c>
      <c r="W1810" s="1">
        <v>44160</v>
      </c>
      <c r="X1810" t="s">
        <v>56</v>
      </c>
    </row>
    <row r="1811" spans="1:39" x14ac:dyDescent="0.3">
      <c r="A1811">
        <v>2020</v>
      </c>
      <c r="B1811">
        <v>4</v>
      </c>
      <c r="C1811" t="str">
        <f t="shared" si="56"/>
        <v>4/01/2020</v>
      </c>
      <c r="D1811" s="1" t="str">
        <f t="shared" si="57"/>
        <v>4/01/2020</v>
      </c>
      <c r="E1811" t="s">
        <v>37</v>
      </c>
      <c r="F1811" t="s">
        <v>38</v>
      </c>
      <c r="G1811" t="s">
        <v>49</v>
      </c>
      <c r="H1811" s="2">
        <v>4255</v>
      </c>
      <c r="I1811" s="2">
        <v>4209</v>
      </c>
      <c r="J1811">
        <v>21</v>
      </c>
      <c r="K1811">
        <v>249</v>
      </c>
      <c r="L1811">
        <v>120</v>
      </c>
      <c r="M1811">
        <v>405</v>
      </c>
      <c r="N1811">
        <v>90</v>
      </c>
      <c r="O1811">
        <v>113</v>
      </c>
      <c r="P1811">
        <v>51</v>
      </c>
      <c r="Q1811">
        <v>35</v>
      </c>
      <c r="R1811">
        <v>48</v>
      </c>
      <c r="S1811">
        <v>977</v>
      </c>
      <c r="T1811">
        <v>253</v>
      </c>
      <c r="U1811" s="2">
        <v>1134</v>
      </c>
      <c r="V1811" s="2">
        <v>1064</v>
      </c>
      <c r="W1811" s="1">
        <v>44160</v>
      </c>
      <c r="X1811" t="s">
        <v>56</v>
      </c>
    </row>
    <row r="1812" spans="1:39" x14ac:dyDescent="0.3">
      <c r="A1812">
        <v>2020</v>
      </c>
      <c r="B1812">
        <v>4</v>
      </c>
      <c r="C1812" t="str">
        <f t="shared" si="56"/>
        <v>4/01/2020</v>
      </c>
      <c r="D1812" s="1" t="str">
        <f t="shared" si="57"/>
        <v>4/01/2020</v>
      </c>
      <c r="E1812" t="s">
        <v>37</v>
      </c>
      <c r="F1812" t="s">
        <v>50</v>
      </c>
      <c r="G1812" t="s">
        <v>39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T1812">
        <v>0</v>
      </c>
      <c r="U1812">
        <v>0</v>
      </c>
      <c r="V1812">
        <v>0</v>
      </c>
      <c r="W1812" s="1">
        <v>44160</v>
      </c>
      <c r="X1812" t="s">
        <v>56</v>
      </c>
      <c r="Y1812" t="s">
        <v>40</v>
      </c>
      <c r="Z1812" t="s">
        <v>40</v>
      </c>
      <c r="AJ1812" t="s">
        <v>40</v>
      </c>
    </row>
    <row r="1813" spans="1:39" x14ac:dyDescent="0.3">
      <c r="A1813">
        <v>2020</v>
      </c>
      <c r="B1813">
        <v>4</v>
      </c>
      <c r="C1813" t="str">
        <f t="shared" si="56"/>
        <v>4/01/2020</v>
      </c>
      <c r="D1813" s="1" t="str">
        <f t="shared" si="57"/>
        <v>4/01/2020</v>
      </c>
      <c r="E1813" t="s">
        <v>37</v>
      </c>
      <c r="F1813" t="s">
        <v>50</v>
      </c>
      <c r="G1813" t="s">
        <v>41</v>
      </c>
      <c r="H1813">
        <v>16</v>
      </c>
      <c r="J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T1813">
        <v>0</v>
      </c>
      <c r="U1813">
        <v>0</v>
      </c>
      <c r="V1813">
        <v>0</v>
      </c>
      <c r="W1813" s="1">
        <v>44160</v>
      </c>
      <c r="X1813" t="s">
        <v>56</v>
      </c>
      <c r="Z1813" t="s">
        <v>40</v>
      </c>
      <c r="AB1813" t="s">
        <v>40</v>
      </c>
      <c r="AI1813" t="s">
        <v>40</v>
      </c>
      <c r="AJ1813" t="s">
        <v>40</v>
      </c>
    </row>
    <row r="1814" spans="1:39" x14ac:dyDescent="0.3">
      <c r="A1814">
        <v>2020</v>
      </c>
      <c r="B1814">
        <v>4</v>
      </c>
      <c r="C1814" t="str">
        <f t="shared" si="56"/>
        <v>4/01/2020</v>
      </c>
      <c r="D1814" s="1" t="str">
        <f t="shared" si="57"/>
        <v>4/01/2020</v>
      </c>
      <c r="E1814" t="s">
        <v>37</v>
      </c>
      <c r="F1814" t="s">
        <v>50</v>
      </c>
      <c r="G1814" t="s">
        <v>42</v>
      </c>
      <c r="H1814">
        <v>37</v>
      </c>
      <c r="I1814">
        <v>15</v>
      </c>
      <c r="J1814">
        <v>0</v>
      </c>
      <c r="K1814">
        <v>0</v>
      </c>
      <c r="L1814">
        <v>0</v>
      </c>
      <c r="M1814">
        <v>0</v>
      </c>
      <c r="O1814">
        <v>0</v>
      </c>
      <c r="P1814">
        <v>0</v>
      </c>
      <c r="Q1814">
        <v>0</v>
      </c>
      <c r="R1814">
        <v>0</v>
      </c>
      <c r="W1814" s="1">
        <v>44160</v>
      </c>
      <c r="X1814" t="s">
        <v>56</v>
      </c>
      <c r="AE1814" t="s">
        <v>40</v>
      </c>
      <c r="AJ1814" t="s">
        <v>40</v>
      </c>
      <c r="AK1814" t="s">
        <v>40</v>
      </c>
      <c r="AL1814" t="s">
        <v>40</v>
      </c>
      <c r="AM1814" t="s">
        <v>40</v>
      </c>
    </row>
    <row r="1815" spans="1:39" x14ac:dyDescent="0.3">
      <c r="A1815">
        <v>2020</v>
      </c>
      <c r="B1815">
        <v>4</v>
      </c>
      <c r="C1815" t="str">
        <f t="shared" si="56"/>
        <v>4/01/2020</v>
      </c>
      <c r="D1815" s="1" t="str">
        <f t="shared" si="57"/>
        <v>4/01/2020</v>
      </c>
      <c r="E1815" t="s">
        <v>37</v>
      </c>
      <c r="F1815" t="s">
        <v>50</v>
      </c>
      <c r="G1815" t="s">
        <v>43</v>
      </c>
      <c r="H1815">
        <v>58</v>
      </c>
      <c r="I1815">
        <v>42</v>
      </c>
      <c r="M1815">
        <v>0</v>
      </c>
      <c r="N1815">
        <v>0</v>
      </c>
      <c r="O1815">
        <v>0</v>
      </c>
      <c r="P1815">
        <v>0</v>
      </c>
      <c r="W1815" s="1">
        <v>44160</v>
      </c>
      <c r="X1815" t="s">
        <v>56</v>
      </c>
      <c r="AA1815" t="s">
        <v>40</v>
      </c>
      <c r="AB1815" t="s">
        <v>40</v>
      </c>
      <c r="AC1815" t="s">
        <v>40</v>
      </c>
      <c r="AH1815" t="s">
        <v>40</v>
      </c>
      <c r="AI1815" t="s">
        <v>40</v>
      </c>
      <c r="AJ1815" t="s">
        <v>40</v>
      </c>
      <c r="AK1815" t="s">
        <v>40</v>
      </c>
      <c r="AL1815" t="s">
        <v>40</v>
      </c>
      <c r="AM1815" t="s">
        <v>40</v>
      </c>
    </row>
    <row r="1816" spans="1:39" x14ac:dyDescent="0.3">
      <c r="A1816">
        <v>2020</v>
      </c>
      <c r="B1816">
        <v>4</v>
      </c>
      <c r="C1816" t="str">
        <f t="shared" si="56"/>
        <v>4/01/2020</v>
      </c>
      <c r="D1816" s="1" t="str">
        <f t="shared" si="57"/>
        <v>4/01/2020</v>
      </c>
      <c r="E1816" t="s">
        <v>37</v>
      </c>
      <c r="F1816" t="s">
        <v>50</v>
      </c>
      <c r="G1816" t="s">
        <v>44</v>
      </c>
      <c r="H1816">
        <v>73</v>
      </c>
      <c r="I1816">
        <v>61</v>
      </c>
      <c r="J1816">
        <v>0</v>
      </c>
      <c r="M1816">
        <v>0</v>
      </c>
      <c r="U1816">
        <v>10</v>
      </c>
      <c r="W1816" s="1">
        <v>44160</v>
      </c>
      <c r="X1816" t="s">
        <v>56</v>
      </c>
      <c r="AB1816" t="s">
        <v>40</v>
      </c>
      <c r="AC1816" t="s">
        <v>40</v>
      </c>
      <c r="AE1816" t="s">
        <v>40</v>
      </c>
      <c r="AF1816" t="s">
        <v>40</v>
      </c>
      <c r="AG1816" t="s">
        <v>40</v>
      </c>
      <c r="AH1816" t="s">
        <v>40</v>
      </c>
      <c r="AI1816" t="s">
        <v>40</v>
      </c>
      <c r="AJ1816" t="s">
        <v>40</v>
      </c>
      <c r="AK1816" t="s">
        <v>40</v>
      </c>
      <c r="AM1816" t="s">
        <v>40</v>
      </c>
    </row>
    <row r="1817" spans="1:39" x14ac:dyDescent="0.3">
      <c r="A1817">
        <v>2020</v>
      </c>
      <c r="B1817">
        <v>4</v>
      </c>
      <c r="C1817" t="str">
        <f t="shared" si="56"/>
        <v>4/01/2020</v>
      </c>
      <c r="D1817" s="1" t="str">
        <f t="shared" si="57"/>
        <v>4/01/2020</v>
      </c>
      <c r="E1817" t="s">
        <v>37</v>
      </c>
      <c r="F1817" t="s">
        <v>50</v>
      </c>
      <c r="G1817" t="s">
        <v>45</v>
      </c>
      <c r="J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 s="1">
        <v>44160</v>
      </c>
      <c r="X1817" t="s">
        <v>56</v>
      </c>
      <c r="Y1817" t="s">
        <v>40</v>
      </c>
      <c r="Z1817" t="s">
        <v>40</v>
      </c>
      <c r="AB1817" t="s">
        <v>40</v>
      </c>
    </row>
    <row r="1818" spans="1:39" x14ac:dyDescent="0.3">
      <c r="A1818">
        <v>2020</v>
      </c>
      <c r="B1818">
        <v>4</v>
      </c>
      <c r="C1818" t="str">
        <f t="shared" si="56"/>
        <v>4/01/2020</v>
      </c>
      <c r="D1818" s="1" t="str">
        <f t="shared" si="57"/>
        <v>4/01/2020</v>
      </c>
      <c r="E1818" t="s">
        <v>37</v>
      </c>
      <c r="F1818" t="s">
        <v>50</v>
      </c>
      <c r="G1818" t="s">
        <v>46</v>
      </c>
      <c r="H1818">
        <v>144</v>
      </c>
      <c r="I1818">
        <v>133</v>
      </c>
      <c r="K1818">
        <v>19</v>
      </c>
      <c r="M1818">
        <v>0</v>
      </c>
      <c r="R1818">
        <v>0</v>
      </c>
      <c r="S1818">
        <v>18</v>
      </c>
      <c r="U1818">
        <v>25</v>
      </c>
      <c r="V1818">
        <v>24</v>
      </c>
      <c r="W1818" s="1">
        <v>44160</v>
      </c>
      <c r="X1818" t="s">
        <v>56</v>
      </c>
      <c r="AA1818" t="s">
        <v>40</v>
      </c>
      <c r="AC1818" t="s">
        <v>40</v>
      </c>
      <c r="AE1818" t="s">
        <v>40</v>
      </c>
      <c r="AF1818" t="s">
        <v>40</v>
      </c>
      <c r="AG1818" t="s">
        <v>40</v>
      </c>
      <c r="AH1818" t="s">
        <v>40</v>
      </c>
      <c r="AK1818" t="s">
        <v>40</v>
      </c>
    </row>
    <row r="1819" spans="1:39" x14ac:dyDescent="0.3">
      <c r="A1819">
        <v>2020</v>
      </c>
      <c r="B1819">
        <v>4</v>
      </c>
      <c r="C1819" t="str">
        <f t="shared" si="56"/>
        <v>4/01/2020</v>
      </c>
      <c r="D1819" s="1" t="str">
        <f t="shared" si="57"/>
        <v>4/01/2020</v>
      </c>
      <c r="E1819" t="s">
        <v>37</v>
      </c>
      <c r="F1819" t="s">
        <v>50</v>
      </c>
      <c r="G1819" t="s">
        <v>47</v>
      </c>
      <c r="H1819">
        <v>183</v>
      </c>
      <c r="I1819">
        <v>178</v>
      </c>
      <c r="K1819">
        <v>33</v>
      </c>
      <c r="L1819">
        <v>11</v>
      </c>
      <c r="S1819">
        <v>31</v>
      </c>
      <c r="U1819">
        <v>37</v>
      </c>
      <c r="V1819">
        <v>36</v>
      </c>
      <c r="W1819" s="1">
        <v>44160</v>
      </c>
      <c r="X1819" t="s">
        <v>56</v>
      </c>
      <c r="AA1819" t="s">
        <v>40</v>
      </c>
      <c r="AD1819" t="s">
        <v>40</v>
      </c>
      <c r="AE1819" t="s">
        <v>40</v>
      </c>
      <c r="AF1819" t="s">
        <v>40</v>
      </c>
      <c r="AG1819" t="s">
        <v>40</v>
      </c>
      <c r="AH1819" t="s">
        <v>40</v>
      </c>
      <c r="AI1819" t="s">
        <v>40</v>
      </c>
      <c r="AK1819" t="s">
        <v>40</v>
      </c>
    </row>
    <row r="1820" spans="1:39" x14ac:dyDescent="0.3">
      <c r="A1820">
        <v>2020</v>
      </c>
      <c r="B1820">
        <v>4</v>
      </c>
      <c r="C1820" t="str">
        <f t="shared" si="56"/>
        <v>4/01/2020</v>
      </c>
      <c r="D1820" s="1" t="str">
        <f t="shared" si="57"/>
        <v>4/01/2020</v>
      </c>
      <c r="E1820" t="s">
        <v>37</v>
      </c>
      <c r="F1820" t="s">
        <v>50</v>
      </c>
      <c r="G1820" t="s">
        <v>48</v>
      </c>
      <c r="H1820">
        <v>173</v>
      </c>
      <c r="I1820">
        <v>171</v>
      </c>
      <c r="K1820">
        <v>13</v>
      </c>
      <c r="L1820">
        <v>10</v>
      </c>
      <c r="O1820">
        <v>20</v>
      </c>
      <c r="R1820">
        <v>0</v>
      </c>
      <c r="S1820">
        <v>40</v>
      </c>
      <c r="T1820">
        <v>11</v>
      </c>
      <c r="U1820">
        <v>25</v>
      </c>
      <c r="V1820">
        <v>25</v>
      </c>
      <c r="W1820" s="1">
        <v>44160</v>
      </c>
      <c r="X1820" t="s">
        <v>56</v>
      </c>
      <c r="AA1820" t="s">
        <v>40</v>
      </c>
      <c r="AD1820" t="s">
        <v>40</v>
      </c>
      <c r="AE1820" t="s">
        <v>40</v>
      </c>
      <c r="AG1820" t="s">
        <v>40</v>
      </c>
      <c r="AH1820" t="s">
        <v>40</v>
      </c>
    </row>
    <row r="1821" spans="1:39" x14ac:dyDescent="0.3">
      <c r="A1821">
        <v>2020</v>
      </c>
      <c r="B1821">
        <v>4</v>
      </c>
      <c r="C1821" t="str">
        <f t="shared" si="56"/>
        <v>4/01/2020</v>
      </c>
      <c r="D1821" s="1" t="str">
        <f t="shared" si="57"/>
        <v>4/01/2020</v>
      </c>
      <c r="E1821" t="s">
        <v>37</v>
      </c>
      <c r="F1821" t="s">
        <v>50</v>
      </c>
      <c r="G1821" t="s">
        <v>49</v>
      </c>
      <c r="H1821">
        <v>175</v>
      </c>
      <c r="I1821">
        <v>173</v>
      </c>
      <c r="K1821">
        <v>16</v>
      </c>
      <c r="M1821">
        <v>21</v>
      </c>
      <c r="S1821">
        <v>21</v>
      </c>
      <c r="T1821">
        <v>12</v>
      </c>
      <c r="U1821">
        <v>31</v>
      </c>
      <c r="V1821">
        <v>29</v>
      </c>
      <c r="W1821" s="1">
        <v>44160</v>
      </c>
      <c r="X1821" t="s">
        <v>56</v>
      </c>
      <c r="AA1821" t="s">
        <v>40</v>
      </c>
      <c r="AC1821" t="s">
        <v>40</v>
      </c>
      <c r="AE1821" t="s">
        <v>40</v>
      </c>
      <c r="AF1821" t="s">
        <v>40</v>
      </c>
      <c r="AG1821" t="s">
        <v>40</v>
      </c>
      <c r="AH1821" t="s">
        <v>40</v>
      </c>
      <c r="AI1821" t="s">
        <v>40</v>
      </c>
    </row>
    <row r="1822" spans="1:39" x14ac:dyDescent="0.3">
      <c r="A1822">
        <v>2020</v>
      </c>
      <c r="B1822">
        <v>4</v>
      </c>
      <c r="C1822" t="str">
        <f t="shared" si="56"/>
        <v>4/01/2020</v>
      </c>
      <c r="D1822" s="1" t="str">
        <f t="shared" si="57"/>
        <v>4/01/2020</v>
      </c>
      <c r="E1822" t="s">
        <v>37</v>
      </c>
      <c r="F1822" t="s">
        <v>51</v>
      </c>
      <c r="G1822" t="s">
        <v>39</v>
      </c>
      <c r="H1822">
        <v>20</v>
      </c>
      <c r="I1822">
        <v>18</v>
      </c>
      <c r="J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R1822">
        <v>0</v>
      </c>
      <c r="T1822">
        <v>0</v>
      </c>
      <c r="U1822">
        <v>0</v>
      </c>
      <c r="V1822">
        <v>0</v>
      </c>
      <c r="W1822" s="1">
        <v>44160</v>
      </c>
      <c r="X1822" t="s">
        <v>56</v>
      </c>
      <c r="AB1822" t="s">
        <v>40</v>
      </c>
      <c r="AH1822" t="s">
        <v>40</v>
      </c>
      <c r="AJ1822" t="s">
        <v>40</v>
      </c>
    </row>
    <row r="1823" spans="1:39" x14ac:dyDescent="0.3">
      <c r="A1823">
        <v>2020</v>
      </c>
      <c r="B1823">
        <v>4</v>
      </c>
      <c r="C1823" t="str">
        <f t="shared" si="56"/>
        <v>4/01/2020</v>
      </c>
      <c r="D1823" s="1" t="str">
        <f t="shared" si="57"/>
        <v>4/01/2020</v>
      </c>
      <c r="E1823" t="s">
        <v>37</v>
      </c>
      <c r="F1823" t="s">
        <v>51</v>
      </c>
      <c r="G1823" t="s">
        <v>41</v>
      </c>
      <c r="H1823">
        <v>18</v>
      </c>
      <c r="J1823">
        <v>0</v>
      </c>
      <c r="L1823">
        <v>0</v>
      </c>
      <c r="M1823">
        <v>0</v>
      </c>
      <c r="O1823">
        <v>0</v>
      </c>
      <c r="Q1823">
        <v>0</v>
      </c>
      <c r="R1823">
        <v>0</v>
      </c>
      <c r="T1823">
        <v>0</v>
      </c>
      <c r="U1823">
        <v>0</v>
      </c>
      <c r="V1823">
        <v>0</v>
      </c>
      <c r="W1823" s="1">
        <v>44160</v>
      </c>
      <c r="X1823" t="s">
        <v>56</v>
      </c>
      <c r="Z1823" t="s">
        <v>40</v>
      </c>
      <c r="AB1823" t="s">
        <v>40</v>
      </c>
      <c r="AE1823" t="s">
        <v>40</v>
      </c>
      <c r="AG1823" t="s">
        <v>40</v>
      </c>
      <c r="AJ1823" t="s">
        <v>40</v>
      </c>
    </row>
    <row r="1824" spans="1:39" x14ac:dyDescent="0.3">
      <c r="A1824">
        <v>2020</v>
      </c>
      <c r="B1824">
        <v>4</v>
      </c>
      <c r="C1824" t="str">
        <f t="shared" si="56"/>
        <v>4/01/2020</v>
      </c>
      <c r="D1824" s="1" t="str">
        <f t="shared" si="57"/>
        <v>4/01/2020</v>
      </c>
      <c r="E1824" t="s">
        <v>37</v>
      </c>
      <c r="F1824" t="s">
        <v>51</v>
      </c>
      <c r="G1824" t="s">
        <v>42</v>
      </c>
      <c r="H1824">
        <v>37</v>
      </c>
      <c r="I1824">
        <v>25</v>
      </c>
      <c r="M1824">
        <v>0</v>
      </c>
      <c r="N1824">
        <v>0</v>
      </c>
      <c r="O1824">
        <v>0</v>
      </c>
      <c r="P1824">
        <v>0</v>
      </c>
      <c r="Q1824">
        <v>0</v>
      </c>
      <c r="S1824">
        <v>0</v>
      </c>
      <c r="W1824" s="1">
        <v>44160</v>
      </c>
      <c r="X1824" t="s">
        <v>56</v>
      </c>
      <c r="AA1824" t="s">
        <v>40</v>
      </c>
      <c r="AB1824" t="s">
        <v>40</v>
      </c>
      <c r="AC1824" t="s">
        <v>40</v>
      </c>
      <c r="AI1824" t="s">
        <v>40</v>
      </c>
      <c r="AK1824" t="s">
        <v>40</v>
      </c>
      <c r="AL1824" t="s">
        <v>40</v>
      </c>
      <c r="AM1824" t="s">
        <v>40</v>
      </c>
    </row>
    <row r="1825" spans="1:39" x14ac:dyDescent="0.3">
      <c r="A1825">
        <v>2020</v>
      </c>
      <c r="B1825">
        <v>4</v>
      </c>
      <c r="C1825" t="str">
        <f t="shared" si="56"/>
        <v>4/01/2020</v>
      </c>
      <c r="D1825" s="1" t="str">
        <f t="shared" si="57"/>
        <v>4/01/2020</v>
      </c>
      <c r="E1825" t="s">
        <v>37</v>
      </c>
      <c r="F1825" t="s">
        <v>51</v>
      </c>
      <c r="G1825" t="s">
        <v>43</v>
      </c>
      <c r="H1825">
        <v>76</v>
      </c>
      <c r="I1825">
        <v>62</v>
      </c>
      <c r="K1825">
        <v>24</v>
      </c>
      <c r="M1825">
        <v>0</v>
      </c>
      <c r="O1825">
        <v>0</v>
      </c>
      <c r="P1825">
        <v>0</v>
      </c>
      <c r="R1825">
        <v>0</v>
      </c>
      <c r="U1825">
        <v>12</v>
      </c>
      <c r="V1825">
        <v>11</v>
      </c>
      <c r="W1825" s="1">
        <v>44160</v>
      </c>
      <c r="X1825" t="s">
        <v>56</v>
      </c>
      <c r="AA1825" t="s">
        <v>40</v>
      </c>
      <c r="AC1825" t="s">
        <v>40</v>
      </c>
      <c r="AE1825" t="s">
        <v>40</v>
      </c>
      <c r="AH1825" t="s">
        <v>40</v>
      </c>
      <c r="AJ1825" t="s">
        <v>40</v>
      </c>
      <c r="AK1825" t="s">
        <v>40</v>
      </c>
    </row>
    <row r="1826" spans="1:39" x14ac:dyDescent="0.3">
      <c r="A1826">
        <v>2020</v>
      </c>
      <c r="B1826">
        <v>4</v>
      </c>
      <c r="C1826" t="str">
        <f t="shared" si="56"/>
        <v>4/01/2020</v>
      </c>
      <c r="D1826" s="1" t="str">
        <f t="shared" si="57"/>
        <v>4/01/2020</v>
      </c>
      <c r="E1826" t="s">
        <v>37</v>
      </c>
      <c r="F1826" t="s">
        <v>51</v>
      </c>
      <c r="G1826" t="s">
        <v>44</v>
      </c>
      <c r="H1826">
        <v>204</v>
      </c>
      <c r="I1826">
        <v>195</v>
      </c>
      <c r="K1826">
        <v>73</v>
      </c>
      <c r="M1826">
        <v>0</v>
      </c>
      <c r="N1826">
        <v>0</v>
      </c>
      <c r="S1826">
        <v>13</v>
      </c>
      <c r="T1826">
        <v>13</v>
      </c>
      <c r="U1826">
        <v>65</v>
      </c>
      <c r="V1826">
        <v>61</v>
      </c>
      <c r="W1826" s="1">
        <v>44160</v>
      </c>
      <c r="X1826" t="s">
        <v>56</v>
      </c>
      <c r="AA1826" t="s">
        <v>40</v>
      </c>
      <c r="AC1826" t="s">
        <v>40</v>
      </c>
      <c r="AF1826" t="s">
        <v>40</v>
      </c>
      <c r="AG1826" t="s">
        <v>40</v>
      </c>
      <c r="AH1826" t="s">
        <v>40</v>
      </c>
      <c r="AI1826" t="s">
        <v>40</v>
      </c>
    </row>
    <row r="1827" spans="1:39" x14ac:dyDescent="0.3">
      <c r="A1827">
        <v>2020</v>
      </c>
      <c r="B1827">
        <v>4</v>
      </c>
      <c r="C1827" t="str">
        <f t="shared" si="56"/>
        <v>4/01/2020</v>
      </c>
      <c r="D1827" s="1" t="str">
        <f t="shared" si="57"/>
        <v>4/01/2020</v>
      </c>
      <c r="E1827" t="s">
        <v>37</v>
      </c>
      <c r="F1827" t="s">
        <v>51</v>
      </c>
      <c r="G1827" t="s">
        <v>45</v>
      </c>
      <c r="J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U1827">
        <v>0</v>
      </c>
      <c r="V1827">
        <v>0</v>
      </c>
      <c r="W1827" s="1">
        <v>44160</v>
      </c>
      <c r="X1827" t="s">
        <v>56</v>
      </c>
      <c r="Y1827" t="s">
        <v>40</v>
      </c>
      <c r="Z1827" t="s">
        <v>40</v>
      </c>
      <c r="AB1827" t="s">
        <v>40</v>
      </c>
      <c r="AK1827" t="s">
        <v>40</v>
      </c>
    </row>
    <row r="1828" spans="1:39" x14ac:dyDescent="0.3">
      <c r="A1828">
        <v>2020</v>
      </c>
      <c r="B1828">
        <v>4</v>
      </c>
      <c r="C1828" t="str">
        <f t="shared" si="56"/>
        <v>4/01/2020</v>
      </c>
      <c r="D1828" s="1" t="str">
        <f t="shared" si="57"/>
        <v>4/01/2020</v>
      </c>
      <c r="E1828" t="s">
        <v>37</v>
      </c>
      <c r="F1828" t="s">
        <v>51</v>
      </c>
      <c r="G1828" t="s">
        <v>46</v>
      </c>
      <c r="H1828">
        <v>447</v>
      </c>
      <c r="I1828">
        <v>431</v>
      </c>
      <c r="K1828">
        <v>150</v>
      </c>
      <c r="L1828">
        <v>17</v>
      </c>
      <c r="S1828">
        <v>42</v>
      </c>
      <c r="T1828">
        <v>18</v>
      </c>
      <c r="U1828">
        <v>137</v>
      </c>
      <c r="V1828">
        <v>135</v>
      </c>
      <c r="W1828" s="1">
        <v>44160</v>
      </c>
      <c r="X1828" t="s">
        <v>56</v>
      </c>
      <c r="AA1828" t="s">
        <v>40</v>
      </c>
      <c r="AD1828" t="s">
        <v>40</v>
      </c>
      <c r="AE1828" t="s">
        <v>40</v>
      </c>
      <c r="AF1828" t="s">
        <v>40</v>
      </c>
      <c r="AG1828" t="s">
        <v>40</v>
      </c>
      <c r="AH1828" t="s">
        <v>40</v>
      </c>
      <c r="AI1828" t="s">
        <v>40</v>
      </c>
    </row>
    <row r="1829" spans="1:39" x14ac:dyDescent="0.3">
      <c r="A1829">
        <v>2020</v>
      </c>
      <c r="B1829">
        <v>4</v>
      </c>
      <c r="C1829" t="str">
        <f t="shared" si="56"/>
        <v>4/01/2020</v>
      </c>
      <c r="D1829" s="1" t="str">
        <f t="shared" si="57"/>
        <v>4/01/2020</v>
      </c>
      <c r="E1829" t="s">
        <v>37</v>
      </c>
      <c r="F1829" t="s">
        <v>51</v>
      </c>
      <c r="G1829" t="s">
        <v>47</v>
      </c>
      <c r="H1829">
        <v>779</v>
      </c>
      <c r="I1829">
        <v>771</v>
      </c>
      <c r="K1829">
        <v>190</v>
      </c>
      <c r="L1829">
        <v>32</v>
      </c>
      <c r="N1829">
        <v>21</v>
      </c>
      <c r="O1829">
        <v>12</v>
      </c>
      <c r="Q1829">
        <v>13</v>
      </c>
      <c r="S1829">
        <v>110</v>
      </c>
      <c r="T1829">
        <v>41</v>
      </c>
      <c r="U1829">
        <v>242</v>
      </c>
      <c r="V1829">
        <v>227</v>
      </c>
      <c r="W1829" s="1">
        <v>44160</v>
      </c>
      <c r="X1829" t="s">
        <v>56</v>
      </c>
      <c r="AA1829" t="s">
        <v>40</v>
      </c>
      <c r="AD1829" t="s">
        <v>40</v>
      </c>
      <c r="AG1829" t="s">
        <v>40</v>
      </c>
      <c r="AI1829" t="s">
        <v>40</v>
      </c>
    </row>
    <row r="1830" spans="1:39" x14ac:dyDescent="0.3">
      <c r="A1830">
        <v>2020</v>
      </c>
      <c r="B1830">
        <v>4</v>
      </c>
      <c r="C1830" t="str">
        <f t="shared" si="56"/>
        <v>4/01/2020</v>
      </c>
      <c r="D1830" s="1" t="str">
        <f t="shared" si="57"/>
        <v>4/01/2020</v>
      </c>
      <c r="E1830" t="s">
        <v>37</v>
      </c>
      <c r="F1830" t="s">
        <v>51</v>
      </c>
      <c r="G1830" t="s">
        <v>48</v>
      </c>
      <c r="H1830" s="2">
        <v>1140</v>
      </c>
      <c r="I1830" s="2">
        <v>1126</v>
      </c>
      <c r="J1830">
        <v>15</v>
      </c>
      <c r="K1830">
        <v>183</v>
      </c>
      <c r="L1830">
        <v>35</v>
      </c>
      <c r="M1830">
        <v>38</v>
      </c>
      <c r="N1830">
        <v>18</v>
      </c>
      <c r="O1830">
        <v>21</v>
      </c>
      <c r="P1830">
        <v>13</v>
      </c>
      <c r="Q1830">
        <v>24</v>
      </c>
      <c r="R1830">
        <v>10</v>
      </c>
      <c r="S1830">
        <v>176</v>
      </c>
      <c r="T1830">
        <v>62</v>
      </c>
      <c r="U1830">
        <v>352</v>
      </c>
      <c r="V1830">
        <v>339</v>
      </c>
      <c r="W1830" s="1">
        <v>44160</v>
      </c>
      <c r="X1830" t="s">
        <v>56</v>
      </c>
    </row>
    <row r="1831" spans="1:39" x14ac:dyDescent="0.3">
      <c r="A1831">
        <v>2020</v>
      </c>
      <c r="B1831">
        <v>4</v>
      </c>
      <c r="C1831" t="str">
        <f t="shared" si="56"/>
        <v>4/01/2020</v>
      </c>
      <c r="D1831" s="1" t="str">
        <f t="shared" si="57"/>
        <v>4/01/2020</v>
      </c>
      <c r="E1831" t="s">
        <v>37</v>
      </c>
      <c r="F1831" t="s">
        <v>51</v>
      </c>
      <c r="G1831" t="s">
        <v>49</v>
      </c>
      <c r="H1831" s="2">
        <v>2149</v>
      </c>
      <c r="I1831" s="2">
        <v>2120</v>
      </c>
      <c r="J1831">
        <v>15</v>
      </c>
      <c r="K1831">
        <v>140</v>
      </c>
      <c r="L1831">
        <v>62</v>
      </c>
      <c r="M1831">
        <v>195</v>
      </c>
      <c r="N1831">
        <v>60</v>
      </c>
      <c r="O1831">
        <v>41</v>
      </c>
      <c r="P1831">
        <v>12</v>
      </c>
      <c r="Q1831">
        <v>24</v>
      </c>
      <c r="R1831">
        <v>25</v>
      </c>
      <c r="S1831">
        <v>462</v>
      </c>
      <c r="T1831">
        <v>145</v>
      </c>
      <c r="U1831">
        <v>559</v>
      </c>
      <c r="V1831">
        <v>505</v>
      </c>
      <c r="W1831" s="1">
        <v>44160</v>
      </c>
      <c r="X1831" t="s">
        <v>56</v>
      </c>
    </row>
    <row r="1832" spans="1:39" x14ac:dyDescent="0.3">
      <c r="A1832">
        <v>2020</v>
      </c>
      <c r="B1832">
        <v>4</v>
      </c>
      <c r="C1832" t="str">
        <f t="shared" si="56"/>
        <v>4/01/2020</v>
      </c>
      <c r="D1832" s="1" t="str">
        <f t="shared" si="57"/>
        <v>4/01/2020</v>
      </c>
      <c r="E1832" t="s">
        <v>37</v>
      </c>
      <c r="F1832" t="s">
        <v>52</v>
      </c>
      <c r="G1832" t="s">
        <v>39</v>
      </c>
      <c r="H1832">
        <v>214</v>
      </c>
      <c r="I1832">
        <v>189</v>
      </c>
      <c r="J1832">
        <v>0</v>
      </c>
      <c r="L1832">
        <v>0</v>
      </c>
      <c r="M1832">
        <v>0</v>
      </c>
      <c r="O1832">
        <v>0</v>
      </c>
      <c r="R1832">
        <v>34</v>
      </c>
      <c r="W1832" s="1">
        <v>44160</v>
      </c>
      <c r="X1832" t="s">
        <v>56</v>
      </c>
      <c r="AB1832" t="s">
        <v>40</v>
      </c>
      <c r="AE1832" t="s">
        <v>40</v>
      </c>
      <c r="AG1832" t="s">
        <v>40</v>
      </c>
      <c r="AH1832" t="s">
        <v>40</v>
      </c>
      <c r="AJ1832" t="s">
        <v>40</v>
      </c>
      <c r="AK1832" t="s">
        <v>40</v>
      </c>
      <c r="AL1832" t="s">
        <v>40</v>
      </c>
      <c r="AM1832" t="s">
        <v>40</v>
      </c>
    </row>
    <row r="1833" spans="1:39" x14ac:dyDescent="0.3">
      <c r="A1833">
        <v>2020</v>
      </c>
      <c r="B1833">
        <v>4</v>
      </c>
      <c r="C1833" t="str">
        <f t="shared" si="56"/>
        <v>4/01/2020</v>
      </c>
      <c r="D1833" s="1" t="str">
        <f t="shared" si="57"/>
        <v>4/01/2020</v>
      </c>
      <c r="E1833" t="s">
        <v>37</v>
      </c>
      <c r="F1833" t="s">
        <v>52</v>
      </c>
      <c r="G1833" t="s">
        <v>41</v>
      </c>
      <c r="H1833">
        <v>169</v>
      </c>
      <c r="I1833">
        <v>79</v>
      </c>
      <c r="M1833">
        <v>0</v>
      </c>
      <c r="N1833">
        <v>0</v>
      </c>
      <c r="U1833">
        <v>14</v>
      </c>
      <c r="V1833">
        <v>13</v>
      </c>
      <c r="W1833" s="1">
        <v>44160</v>
      </c>
      <c r="X1833" t="s">
        <v>56</v>
      </c>
      <c r="AA1833" t="s">
        <v>40</v>
      </c>
      <c r="AB1833" t="s">
        <v>40</v>
      </c>
      <c r="AC1833" t="s">
        <v>40</v>
      </c>
      <c r="AF1833" t="s">
        <v>40</v>
      </c>
      <c r="AG1833" t="s">
        <v>40</v>
      </c>
      <c r="AH1833" t="s">
        <v>40</v>
      </c>
      <c r="AI1833" t="s">
        <v>40</v>
      </c>
      <c r="AJ1833" t="s">
        <v>40</v>
      </c>
      <c r="AK1833" t="s">
        <v>40</v>
      </c>
    </row>
    <row r="1834" spans="1:39" x14ac:dyDescent="0.3">
      <c r="A1834">
        <v>2020</v>
      </c>
      <c r="B1834">
        <v>4</v>
      </c>
      <c r="C1834" t="str">
        <f t="shared" si="56"/>
        <v>4/01/2020</v>
      </c>
      <c r="D1834" s="1" t="str">
        <f t="shared" si="57"/>
        <v>4/01/2020</v>
      </c>
      <c r="E1834" t="s">
        <v>37</v>
      </c>
      <c r="F1834" t="s">
        <v>52</v>
      </c>
      <c r="G1834" t="s">
        <v>42</v>
      </c>
      <c r="H1834">
        <v>436</v>
      </c>
      <c r="I1834">
        <v>273</v>
      </c>
      <c r="K1834">
        <v>36</v>
      </c>
      <c r="L1834">
        <v>20</v>
      </c>
      <c r="M1834">
        <v>0</v>
      </c>
      <c r="R1834">
        <v>15</v>
      </c>
      <c r="S1834">
        <v>35</v>
      </c>
      <c r="U1834">
        <v>51</v>
      </c>
      <c r="V1834">
        <v>48</v>
      </c>
      <c r="W1834" s="1">
        <v>44160</v>
      </c>
      <c r="X1834" t="s">
        <v>56</v>
      </c>
      <c r="AA1834" t="s">
        <v>40</v>
      </c>
      <c r="AE1834" t="s">
        <v>40</v>
      </c>
      <c r="AF1834" t="s">
        <v>40</v>
      </c>
      <c r="AG1834" t="s">
        <v>40</v>
      </c>
      <c r="AH1834" t="s">
        <v>40</v>
      </c>
      <c r="AK1834" t="s">
        <v>40</v>
      </c>
    </row>
    <row r="1835" spans="1:39" x14ac:dyDescent="0.3">
      <c r="A1835">
        <v>2020</v>
      </c>
      <c r="B1835">
        <v>4</v>
      </c>
      <c r="C1835" t="str">
        <f t="shared" si="56"/>
        <v>4/01/2020</v>
      </c>
      <c r="D1835" s="1" t="str">
        <f t="shared" si="57"/>
        <v>4/01/2020</v>
      </c>
      <c r="E1835" t="s">
        <v>37</v>
      </c>
      <c r="F1835" t="s">
        <v>52</v>
      </c>
      <c r="G1835" t="s">
        <v>43</v>
      </c>
      <c r="H1835">
        <v>759</v>
      </c>
      <c r="I1835">
        <v>629</v>
      </c>
      <c r="J1835">
        <v>14</v>
      </c>
      <c r="K1835">
        <v>91</v>
      </c>
      <c r="L1835">
        <v>34</v>
      </c>
      <c r="M1835">
        <v>0</v>
      </c>
      <c r="N1835">
        <v>12</v>
      </c>
      <c r="O1835">
        <v>12</v>
      </c>
      <c r="R1835">
        <v>24</v>
      </c>
      <c r="S1835">
        <v>131</v>
      </c>
      <c r="T1835">
        <v>19</v>
      </c>
      <c r="U1835">
        <v>138</v>
      </c>
      <c r="V1835">
        <v>130</v>
      </c>
      <c r="W1835" s="1">
        <v>44160</v>
      </c>
      <c r="X1835" t="s">
        <v>56</v>
      </c>
      <c r="AG1835" t="s">
        <v>40</v>
      </c>
      <c r="AH1835" t="s">
        <v>40</v>
      </c>
    </row>
    <row r="1836" spans="1:39" x14ac:dyDescent="0.3">
      <c r="A1836">
        <v>2020</v>
      </c>
      <c r="B1836">
        <v>4</v>
      </c>
      <c r="C1836" t="str">
        <f t="shared" si="56"/>
        <v>4/01/2020</v>
      </c>
      <c r="D1836" s="1" t="str">
        <f t="shared" si="57"/>
        <v>4/01/2020</v>
      </c>
      <c r="E1836" t="s">
        <v>37</v>
      </c>
      <c r="F1836" t="s">
        <v>52</v>
      </c>
      <c r="G1836" t="s">
        <v>44</v>
      </c>
      <c r="H1836" s="2">
        <v>1562</v>
      </c>
      <c r="I1836" s="2">
        <v>1409</v>
      </c>
      <c r="J1836">
        <v>24</v>
      </c>
      <c r="K1836">
        <v>266</v>
      </c>
      <c r="L1836">
        <v>66</v>
      </c>
      <c r="M1836">
        <v>0</v>
      </c>
      <c r="N1836">
        <v>23</v>
      </c>
      <c r="O1836">
        <v>32</v>
      </c>
      <c r="P1836">
        <v>19</v>
      </c>
      <c r="Q1836">
        <v>21</v>
      </c>
      <c r="R1836">
        <v>18</v>
      </c>
      <c r="S1836">
        <v>264</v>
      </c>
      <c r="T1836">
        <v>54</v>
      </c>
      <c r="U1836">
        <v>383</v>
      </c>
      <c r="V1836">
        <v>371</v>
      </c>
      <c r="W1836" s="1">
        <v>44160</v>
      </c>
      <c r="X1836" t="s">
        <v>56</v>
      </c>
    </row>
    <row r="1837" spans="1:39" x14ac:dyDescent="0.3">
      <c r="A1837">
        <v>2020</v>
      </c>
      <c r="B1837">
        <v>4</v>
      </c>
      <c r="C1837" t="str">
        <f t="shared" si="56"/>
        <v>4/01/2020</v>
      </c>
      <c r="D1837" s="1" t="str">
        <f t="shared" si="57"/>
        <v>4/01/2020</v>
      </c>
      <c r="E1837" t="s">
        <v>37</v>
      </c>
      <c r="F1837" t="s">
        <v>52</v>
      </c>
      <c r="G1837" t="s">
        <v>45</v>
      </c>
      <c r="H1837">
        <v>38</v>
      </c>
      <c r="I1837">
        <v>23</v>
      </c>
      <c r="J1837">
        <v>0</v>
      </c>
      <c r="M1837">
        <v>0</v>
      </c>
      <c r="P1837">
        <v>0</v>
      </c>
      <c r="Q1837">
        <v>0</v>
      </c>
      <c r="T1837">
        <v>0</v>
      </c>
      <c r="W1837" s="1">
        <v>44160</v>
      </c>
      <c r="X1837" t="s">
        <v>56</v>
      </c>
      <c r="AB1837" t="s">
        <v>40</v>
      </c>
      <c r="AC1837" t="s">
        <v>40</v>
      </c>
      <c r="AE1837" t="s">
        <v>40</v>
      </c>
      <c r="AF1837" t="s">
        <v>40</v>
      </c>
      <c r="AI1837" t="s">
        <v>40</v>
      </c>
      <c r="AJ1837" t="s">
        <v>40</v>
      </c>
      <c r="AL1837" t="s">
        <v>40</v>
      </c>
      <c r="AM1837" t="s">
        <v>40</v>
      </c>
    </row>
    <row r="1838" spans="1:39" x14ac:dyDescent="0.3">
      <c r="A1838">
        <v>2020</v>
      </c>
      <c r="B1838">
        <v>4</v>
      </c>
      <c r="C1838" t="str">
        <f t="shared" si="56"/>
        <v>4/01/2020</v>
      </c>
      <c r="D1838" s="1" t="str">
        <f t="shared" si="57"/>
        <v>4/01/2020</v>
      </c>
      <c r="E1838" t="s">
        <v>37</v>
      </c>
      <c r="F1838" t="s">
        <v>52</v>
      </c>
      <c r="G1838" t="s">
        <v>46</v>
      </c>
      <c r="H1838" s="2">
        <v>3601</v>
      </c>
      <c r="I1838" s="2">
        <v>3477</v>
      </c>
      <c r="J1838">
        <v>49</v>
      </c>
      <c r="K1838">
        <v>675</v>
      </c>
      <c r="L1838">
        <v>182</v>
      </c>
      <c r="N1838">
        <v>66</v>
      </c>
      <c r="O1838">
        <v>125</v>
      </c>
      <c r="P1838">
        <v>63</v>
      </c>
      <c r="Q1838">
        <v>68</v>
      </c>
      <c r="R1838">
        <v>26</v>
      </c>
      <c r="S1838">
        <v>590</v>
      </c>
      <c r="T1838">
        <v>109</v>
      </c>
      <c r="U1838" s="2">
        <v>1091</v>
      </c>
      <c r="V1838" s="2">
        <v>1027</v>
      </c>
      <c r="W1838" s="1">
        <v>44160</v>
      </c>
      <c r="X1838" t="s">
        <v>56</v>
      </c>
      <c r="AD1838" t="s">
        <v>40</v>
      </c>
    </row>
    <row r="1839" spans="1:39" x14ac:dyDescent="0.3">
      <c r="A1839">
        <v>2020</v>
      </c>
      <c r="B1839">
        <v>4</v>
      </c>
      <c r="C1839" t="str">
        <f t="shared" si="56"/>
        <v>4/01/2020</v>
      </c>
      <c r="D1839" s="1" t="str">
        <f t="shared" si="57"/>
        <v>4/01/2020</v>
      </c>
      <c r="E1839" t="s">
        <v>37</v>
      </c>
      <c r="F1839" t="s">
        <v>52</v>
      </c>
      <c r="G1839" t="s">
        <v>47</v>
      </c>
      <c r="H1839" s="2">
        <v>5148</v>
      </c>
      <c r="I1839" s="2">
        <v>5063</v>
      </c>
      <c r="J1839">
        <v>73</v>
      </c>
      <c r="K1839">
        <v>826</v>
      </c>
      <c r="L1839">
        <v>253</v>
      </c>
      <c r="M1839">
        <v>55</v>
      </c>
      <c r="N1839">
        <v>86</v>
      </c>
      <c r="O1839">
        <v>157</v>
      </c>
      <c r="P1839">
        <v>61</v>
      </c>
      <c r="Q1839">
        <v>115</v>
      </c>
      <c r="R1839">
        <v>38</v>
      </c>
      <c r="S1839">
        <v>863</v>
      </c>
      <c r="T1839">
        <v>208</v>
      </c>
      <c r="U1839" s="2">
        <v>1720</v>
      </c>
      <c r="V1839" s="2">
        <v>1635</v>
      </c>
      <c r="W1839" s="1">
        <v>44160</v>
      </c>
      <c r="X1839" t="s">
        <v>56</v>
      </c>
    </row>
    <row r="1840" spans="1:39" x14ac:dyDescent="0.3">
      <c r="A1840">
        <v>2020</v>
      </c>
      <c r="B1840">
        <v>4</v>
      </c>
      <c r="C1840" t="str">
        <f t="shared" si="56"/>
        <v>4/01/2020</v>
      </c>
      <c r="D1840" s="1" t="str">
        <f t="shared" si="57"/>
        <v>4/01/2020</v>
      </c>
      <c r="E1840" t="s">
        <v>37</v>
      </c>
      <c r="F1840" t="s">
        <v>52</v>
      </c>
      <c r="G1840" t="s">
        <v>48</v>
      </c>
      <c r="H1840" s="2">
        <v>5838</v>
      </c>
      <c r="I1840" s="2">
        <v>5783</v>
      </c>
      <c r="J1840">
        <v>72</v>
      </c>
      <c r="K1840">
        <v>651</v>
      </c>
      <c r="L1840">
        <v>234</v>
      </c>
      <c r="M1840">
        <v>229</v>
      </c>
      <c r="N1840">
        <v>115</v>
      </c>
      <c r="O1840">
        <v>171</v>
      </c>
      <c r="P1840">
        <v>79</v>
      </c>
      <c r="Q1840">
        <v>119</v>
      </c>
      <c r="R1840">
        <v>26</v>
      </c>
      <c r="S1840" s="2">
        <v>1067</v>
      </c>
      <c r="T1840">
        <v>271</v>
      </c>
      <c r="U1840" s="2">
        <v>2015</v>
      </c>
      <c r="V1840" s="2">
        <v>1909</v>
      </c>
      <c r="W1840" s="1">
        <v>44160</v>
      </c>
      <c r="X1840" t="s">
        <v>56</v>
      </c>
    </row>
    <row r="1841" spans="1:39" x14ac:dyDescent="0.3">
      <c r="A1841">
        <v>2020</v>
      </c>
      <c r="B1841">
        <v>4</v>
      </c>
      <c r="C1841" t="str">
        <f t="shared" si="56"/>
        <v>4/01/2020</v>
      </c>
      <c r="D1841" s="1" t="str">
        <f t="shared" si="57"/>
        <v>4/01/2020</v>
      </c>
      <c r="E1841" t="s">
        <v>37</v>
      </c>
      <c r="F1841" t="s">
        <v>52</v>
      </c>
      <c r="G1841" t="s">
        <v>49</v>
      </c>
      <c r="H1841" s="2">
        <v>6595</v>
      </c>
      <c r="I1841" s="2">
        <v>6540</v>
      </c>
      <c r="J1841">
        <v>62</v>
      </c>
      <c r="K1841">
        <v>352</v>
      </c>
      <c r="L1841">
        <v>181</v>
      </c>
      <c r="M1841">
        <v>474</v>
      </c>
      <c r="N1841">
        <v>110</v>
      </c>
      <c r="O1841">
        <v>129</v>
      </c>
      <c r="P1841">
        <v>71</v>
      </c>
      <c r="Q1841">
        <v>91</v>
      </c>
      <c r="R1841">
        <v>76</v>
      </c>
      <c r="S1841" s="2">
        <v>1477</v>
      </c>
      <c r="T1841">
        <v>369</v>
      </c>
      <c r="U1841" s="2">
        <v>1991</v>
      </c>
      <c r="V1841" s="2">
        <v>1842</v>
      </c>
      <c r="W1841" s="1">
        <v>44160</v>
      </c>
      <c r="X1841" t="s">
        <v>56</v>
      </c>
    </row>
    <row r="1842" spans="1:39" x14ac:dyDescent="0.3">
      <c r="A1842">
        <v>2020</v>
      </c>
      <c r="B1842">
        <v>4</v>
      </c>
      <c r="C1842" t="str">
        <f t="shared" si="56"/>
        <v>4/01/2020</v>
      </c>
      <c r="D1842" s="1" t="str">
        <f t="shared" si="57"/>
        <v>4/01/2020</v>
      </c>
      <c r="E1842" t="s">
        <v>37</v>
      </c>
      <c r="F1842" t="s">
        <v>53</v>
      </c>
      <c r="G1842" t="s">
        <v>39</v>
      </c>
      <c r="H1842">
        <v>315</v>
      </c>
      <c r="I1842">
        <v>273</v>
      </c>
      <c r="L1842">
        <v>0</v>
      </c>
      <c r="M1842">
        <v>0</v>
      </c>
      <c r="O1842">
        <v>0</v>
      </c>
      <c r="R1842">
        <v>31</v>
      </c>
      <c r="U1842">
        <v>0</v>
      </c>
      <c r="V1842">
        <v>0</v>
      </c>
      <c r="W1842" s="1">
        <v>44160</v>
      </c>
      <c r="X1842" t="s">
        <v>56</v>
      </c>
      <c r="AA1842" t="s">
        <v>40</v>
      </c>
      <c r="AB1842" t="s">
        <v>40</v>
      </c>
      <c r="AE1842" t="s">
        <v>40</v>
      </c>
      <c r="AG1842" t="s">
        <v>40</v>
      </c>
      <c r="AH1842" t="s">
        <v>40</v>
      </c>
      <c r="AJ1842" t="s">
        <v>40</v>
      </c>
      <c r="AK1842" t="s">
        <v>40</v>
      </c>
    </row>
    <row r="1843" spans="1:39" x14ac:dyDescent="0.3">
      <c r="A1843">
        <v>2020</v>
      </c>
      <c r="B1843">
        <v>4</v>
      </c>
      <c r="C1843" t="str">
        <f t="shared" si="56"/>
        <v>4/01/2020</v>
      </c>
      <c r="D1843" s="1" t="str">
        <f t="shared" si="57"/>
        <v>4/01/2020</v>
      </c>
      <c r="E1843" t="s">
        <v>37</v>
      </c>
      <c r="F1843" t="s">
        <v>53</v>
      </c>
      <c r="G1843" t="s">
        <v>41</v>
      </c>
      <c r="H1843">
        <v>374</v>
      </c>
      <c r="I1843">
        <v>122</v>
      </c>
      <c r="K1843">
        <v>15</v>
      </c>
      <c r="M1843">
        <v>0</v>
      </c>
      <c r="Q1843">
        <v>0</v>
      </c>
      <c r="S1843">
        <v>14</v>
      </c>
      <c r="W1843" s="1">
        <v>44160</v>
      </c>
      <c r="X1843" t="s">
        <v>56</v>
      </c>
      <c r="AA1843" t="s">
        <v>40</v>
      </c>
      <c r="AC1843" t="s">
        <v>40</v>
      </c>
      <c r="AE1843" t="s">
        <v>40</v>
      </c>
      <c r="AF1843" t="s">
        <v>40</v>
      </c>
      <c r="AG1843" t="s">
        <v>40</v>
      </c>
      <c r="AI1843" t="s">
        <v>40</v>
      </c>
      <c r="AK1843" t="s">
        <v>40</v>
      </c>
      <c r="AL1843" t="s">
        <v>40</v>
      </c>
      <c r="AM1843" t="s">
        <v>40</v>
      </c>
    </row>
    <row r="1844" spans="1:39" x14ac:dyDescent="0.3">
      <c r="A1844">
        <v>2020</v>
      </c>
      <c r="B1844">
        <v>4</v>
      </c>
      <c r="C1844" t="str">
        <f t="shared" si="56"/>
        <v>4/01/2020</v>
      </c>
      <c r="D1844" s="1" t="str">
        <f t="shared" si="57"/>
        <v>4/01/2020</v>
      </c>
      <c r="E1844" t="s">
        <v>37</v>
      </c>
      <c r="F1844" t="s">
        <v>53</v>
      </c>
      <c r="G1844" t="s">
        <v>42</v>
      </c>
      <c r="H1844" s="2">
        <v>1001</v>
      </c>
      <c r="I1844">
        <v>406</v>
      </c>
      <c r="K1844">
        <v>81</v>
      </c>
      <c r="M1844">
        <v>0</v>
      </c>
      <c r="R1844">
        <v>37</v>
      </c>
      <c r="S1844">
        <v>60</v>
      </c>
      <c r="U1844">
        <v>25</v>
      </c>
      <c r="V1844">
        <v>20</v>
      </c>
      <c r="W1844" s="1">
        <v>44160</v>
      </c>
      <c r="X1844" t="s">
        <v>56</v>
      </c>
      <c r="AA1844" t="s">
        <v>40</v>
      </c>
      <c r="AC1844" t="s">
        <v>40</v>
      </c>
      <c r="AE1844" t="s">
        <v>40</v>
      </c>
      <c r="AF1844" t="s">
        <v>40</v>
      </c>
      <c r="AG1844" t="s">
        <v>40</v>
      </c>
      <c r="AH1844" t="s">
        <v>40</v>
      </c>
      <c r="AK1844" t="s">
        <v>40</v>
      </c>
    </row>
    <row r="1845" spans="1:39" x14ac:dyDescent="0.3">
      <c r="A1845">
        <v>2020</v>
      </c>
      <c r="B1845">
        <v>4</v>
      </c>
      <c r="C1845" t="str">
        <f t="shared" si="56"/>
        <v>4/01/2020</v>
      </c>
      <c r="D1845" s="1" t="str">
        <f t="shared" si="57"/>
        <v>4/01/2020</v>
      </c>
      <c r="E1845" t="s">
        <v>37</v>
      </c>
      <c r="F1845" t="s">
        <v>53</v>
      </c>
      <c r="G1845" t="s">
        <v>43</v>
      </c>
      <c r="H1845" s="2">
        <v>1680</v>
      </c>
      <c r="I1845" s="2">
        <v>1036</v>
      </c>
      <c r="J1845">
        <v>21</v>
      </c>
      <c r="K1845">
        <v>285</v>
      </c>
      <c r="L1845">
        <v>32</v>
      </c>
      <c r="M1845">
        <v>0</v>
      </c>
      <c r="N1845">
        <v>25</v>
      </c>
      <c r="O1845">
        <v>16</v>
      </c>
      <c r="P1845">
        <v>10</v>
      </c>
      <c r="Q1845">
        <v>10</v>
      </c>
      <c r="R1845">
        <v>47</v>
      </c>
      <c r="S1845">
        <v>166</v>
      </c>
      <c r="T1845">
        <v>30</v>
      </c>
      <c r="U1845">
        <v>50</v>
      </c>
      <c r="V1845">
        <v>45</v>
      </c>
      <c r="W1845" s="1">
        <v>44160</v>
      </c>
      <c r="X1845" t="s">
        <v>56</v>
      </c>
    </row>
    <row r="1846" spans="1:39" x14ac:dyDescent="0.3">
      <c r="A1846">
        <v>2020</v>
      </c>
      <c r="B1846">
        <v>4</v>
      </c>
      <c r="C1846" t="str">
        <f t="shared" si="56"/>
        <v>4/01/2020</v>
      </c>
      <c r="D1846" s="1" t="str">
        <f t="shared" si="57"/>
        <v>4/01/2020</v>
      </c>
      <c r="E1846" t="s">
        <v>37</v>
      </c>
      <c r="F1846" t="s">
        <v>53</v>
      </c>
      <c r="G1846" t="s">
        <v>44</v>
      </c>
      <c r="H1846" s="2">
        <v>3513</v>
      </c>
      <c r="I1846" s="2">
        <v>2930</v>
      </c>
      <c r="J1846">
        <v>83</v>
      </c>
      <c r="K1846">
        <v>940</v>
      </c>
      <c r="L1846">
        <v>109</v>
      </c>
      <c r="N1846">
        <v>49</v>
      </c>
      <c r="O1846">
        <v>125</v>
      </c>
      <c r="P1846">
        <v>39</v>
      </c>
      <c r="Q1846">
        <v>38</v>
      </c>
      <c r="R1846">
        <v>63</v>
      </c>
      <c r="S1846">
        <v>464</v>
      </c>
      <c r="T1846">
        <v>99</v>
      </c>
      <c r="U1846">
        <v>208</v>
      </c>
      <c r="V1846">
        <v>194</v>
      </c>
      <c r="W1846" s="1">
        <v>44160</v>
      </c>
      <c r="X1846" t="s">
        <v>56</v>
      </c>
      <c r="AD1846" t="s">
        <v>40</v>
      </c>
    </row>
    <row r="1847" spans="1:39" x14ac:dyDescent="0.3">
      <c r="A1847">
        <v>2020</v>
      </c>
      <c r="B1847">
        <v>4</v>
      </c>
      <c r="C1847" t="str">
        <f t="shared" si="56"/>
        <v>4/01/2020</v>
      </c>
      <c r="D1847" s="1" t="str">
        <f t="shared" si="57"/>
        <v>4/01/2020</v>
      </c>
      <c r="E1847" t="s">
        <v>37</v>
      </c>
      <c r="F1847" t="s">
        <v>53</v>
      </c>
      <c r="G1847" t="s">
        <v>45</v>
      </c>
      <c r="H1847">
        <v>71</v>
      </c>
      <c r="I1847">
        <v>46</v>
      </c>
      <c r="J1847">
        <v>0</v>
      </c>
      <c r="K1847">
        <v>18</v>
      </c>
      <c r="M1847">
        <v>0</v>
      </c>
      <c r="Q1847">
        <v>0</v>
      </c>
      <c r="T1847">
        <v>0</v>
      </c>
      <c r="U1847">
        <v>0</v>
      </c>
      <c r="V1847">
        <v>0</v>
      </c>
      <c r="W1847" s="1">
        <v>44160</v>
      </c>
      <c r="X1847" t="s">
        <v>56</v>
      </c>
      <c r="AC1847" t="s">
        <v>40</v>
      </c>
      <c r="AE1847" t="s">
        <v>40</v>
      </c>
      <c r="AF1847" t="s">
        <v>40</v>
      </c>
      <c r="AG1847" t="s">
        <v>40</v>
      </c>
      <c r="AI1847" t="s">
        <v>40</v>
      </c>
      <c r="AJ1847" t="s">
        <v>40</v>
      </c>
    </row>
    <row r="1848" spans="1:39" x14ac:dyDescent="0.3">
      <c r="A1848">
        <v>2020</v>
      </c>
      <c r="B1848">
        <v>4</v>
      </c>
      <c r="C1848" t="str">
        <f t="shared" si="56"/>
        <v>4/01/2020</v>
      </c>
      <c r="D1848" s="1" t="str">
        <f t="shared" si="57"/>
        <v>4/01/2020</v>
      </c>
      <c r="E1848" t="s">
        <v>37</v>
      </c>
      <c r="F1848" t="s">
        <v>53</v>
      </c>
      <c r="G1848" t="s">
        <v>46</v>
      </c>
      <c r="H1848" s="2">
        <v>9269</v>
      </c>
      <c r="I1848" s="2">
        <v>8665</v>
      </c>
      <c r="J1848">
        <v>166</v>
      </c>
      <c r="K1848" s="2">
        <v>2953</v>
      </c>
      <c r="L1848">
        <v>348</v>
      </c>
      <c r="M1848">
        <v>58</v>
      </c>
      <c r="N1848">
        <v>167</v>
      </c>
      <c r="O1848">
        <v>628</v>
      </c>
      <c r="P1848">
        <v>104</v>
      </c>
      <c r="Q1848">
        <v>91</v>
      </c>
      <c r="R1848">
        <v>87</v>
      </c>
      <c r="S1848" s="2">
        <v>1360</v>
      </c>
      <c r="T1848">
        <v>271</v>
      </c>
      <c r="U1848">
        <v>820</v>
      </c>
      <c r="V1848">
        <v>773</v>
      </c>
      <c r="W1848" s="1">
        <v>44160</v>
      </c>
      <c r="X1848" t="s">
        <v>56</v>
      </c>
    </row>
    <row r="1849" spans="1:39" x14ac:dyDescent="0.3">
      <c r="A1849">
        <v>2020</v>
      </c>
      <c r="B1849">
        <v>4</v>
      </c>
      <c r="C1849" t="str">
        <f t="shared" si="56"/>
        <v>4/01/2020</v>
      </c>
      <c r="D1849" s="1" t="str">
        <f t="shared" si="57"/>
        <v>4/01/2020</v>
      </c>
      <c r="E1849" t="s">
        <v>37</v>
      </c>
      <c r="F1849" t="s">
        <v>53</v>
      </c>
      <c r="G1849" t="s">
        <v>47</v>
      </c>
      <c r="H1849" s="2">
        <v>17194</v>
      </c>
      <c r="I1849" s="2">
        <v>16748</v>
      </c>
      <c r="J1849">
        <v>266</v>
      </c>
      <c r="K1849" s="2">
        <v>4812</v>
      </c>
      <c r="L1849">
        <v>567</v>
      </c>
      <c r="M1849">
        <v>408</v>
      </c>
      <c r="N1849">
        <v>288</v>
      </c>
      <c r="O1849" s="2">
        <v>1325</v>
      </c>
      <c r="P1849">
        <v>264</v>
      </c>
      <c r="Q1849">
        <v>238</v>
      </c>
      <c r="R1849">
        <v>142</v>
      </c>
      <c r="S1849" s="2">
        <v>2735</v>
      </c>
      <c r="T1849">
        <v>669</v>
      </c>
      <c r="U1849" s="2">
        <v>2106</v>
      </c>
      <c r="V1849" s="2">
        <v>1997</v>
      </c>
      <c r="W1849" s="1">
        <v>44160</v>
      </c>
      <c r="X1849" t="s">
        <v>56</v>
      </c>
    </row>
    <row r="1850" spans="1:39" x14ac:dyDescent="0.3">
      <c r="A1850">
        <v>2020</v>
      </c>
      <c r="B1850">
        <v>4</v>
      </c>
      <c r="C1850" t="str">
        <f t="shared" si="56"/>
        <v>4/01/2020</v>
      </c>
      <c r="D1850" s="1" t="str">
        <f t="shared" si="57"/>
        <v>4/01/2020</v>
      </c>
      <c r="E1850" t="s">
        <v>37</v>
      </c>
      <c r="F1850" t="s">
        <v>53</v>
      </c>
      <c r="G1850" t="s">
        <v>48</v>
      </c>
      <c r="H1850" s="2">
        <v>26809</v>
      </c>
      <c r="I1850" s="2">
        <v>26260</v>
      </c>
      <c r="J1850">
        <v>301</v>
      </c>
      <c r="K1850" s="2">
        <v>4720</v>
      </c>
      <c r="L1850">
        <v>669</v>
      </c>
      <c r="M1850" s="2">
        <v>1761</v>
      </c>
      <c r="N1850">
        <v>528</v>
      </c>
      <c r="O1850" s="2">
        <v>1980</v>
      </c>
      <c r="P1850">
        <v>386</v>
      </c>
      <c r="Q1850">
        <v>396</v>
      </c>
      <c r="R1850">
        <v>220</v>
      </c>
      <c r="S1850" s="2">
        <v>4713</v>
      </c>
      <c r="T1850" s="2">
        <v>1362</v>
      </c>
      <c r="U1850" s="2">
        <v>4180</v>
      </c>
      <c r="V1850" s="2">
        <v>3933</v>
      </c>
      <c r="W1850" s="1">
        <v>44160</v>
      </c>
      <c r="X1850" t="s">
        <v>56</v>
      </c>
    </row>
    <row r="1851" spans="1:39" x14ac:dyDescent="0.3">
      <c r="A1851">
        <v>2020</v>
      </c>
      <c r="B1851">
        <v>4</v>
      </c>
      <c r="C1851" t="str">
        <f t="shared" si="56"/>
        <v>4/01/2020</v>
      </c>
      <c r="D1851" s="1" t="str">
        <f t="shared" si="57"/>
        <v>4/01/2020</v>
      </c>
      <c r="E1851" t="s">
        <v>37</v>
      </c>
      <c r="F1851" t="s">
        <v>53</v>
      </c>
      <c r="G1851" t="s">
        <v>49</v>
      </c>
      <c r="H1851" s="2">
        <v>48967</v>
      </c>
      <c r="I1851" s="2">
        <v>47998</v>
      </c>
      <c r="J1851">
        <v>378</v>
      </c>
      <c r="K1851" s="2">
        <v>3498</v>
      </c>
      <c r="L1851">
        <v>657</v>
      </c>
      <c r="M1851" s="2">
        <v>4725</v>
      </c>
      <c r="N1851">
        <v>876</v>
      </c>
      <c r="O1851" s="2">
        <v>1946</v>
      </c>
      <c r="P1851">
        <v>576</v>
      </c>
      <c r="Q1851">
        <v>589</v>
      </c>
      <c r="R1851">
        <v>683</v>
      </c>
      <c r="S1851" s="2">
        <v>11431</v>
      </c>
      <c r="T1851" s="2">
        <v>3080</v>
      </c>
      <c r="U1851" s="2">
        <v>8702</v>
      </c>
      <c r="V1851" s="2">
        <v>8081</v>
      </c>
      <c r="W1851" s="1">
        <v>44160</v>
      </c>
      <c r="X1851" t="s">
        <v>56</v>
      </c>
    </row>
    <row r="1852" spans="1:39" x14ac:dyDescent="0.3">
      <c r="A1852">
        <v>2020</v>
      </c>
      <c r="B1852">
        <v>4</v>
      </c>
      <c r="C1852" t="str">
        <f t="shared" si="56"/>
        <v>4/01/2020</v>
      </c>
      <c r="D1852" s="1" t="str">
        <f t="shared" si="57"/>
        <v>4/01/2020</v>
      </c>
      <c r="E1852" t="s">
        <v>37</v>
      </c>
      <c r="F1852" t="s">
        <v>54</v>
      </c>
      <c r="G1852" t="s">
        <v>39</v>
      </c>
      <c r="H1852">
        <v>40</v>
      </c>
      <c r="I1852">
        <v>33</v>
      </c>
      <c r="L1852">
        <v>0</v>
      </c>
      <c r="M1852">
        <v>0</v>
      </c>
      <c r="N1852">
        <v>0</v>
      </c>
      <c r="O1852">
        <v>0</v>
      </c>
      <c r="P1852">
        <v>0</v>
      </c>
      <c r="T1852">
        <v>0</v>
      </c>
      <c r="U1852">
        <v>0</v>
      </c>
      <c r="V1852">
        <v>0</v>
      </c>
      <c r="W1852" s="1">
        <v>44160</v>
      </c>
      <c r="X1852" t="s">
        <v>56</v>
      </c>
      <c r="AA1852" t="s">
        <v>40</v>
      </c>
      <c r="AB1852" t="s">
        <v>40</v>
      </c>
      <c r="AH1852" t="s">
        <v>40</v>
      </c>
      <c r="AI1852" t="s">
        <v>40</v>
      </c>
      <c r="AJ1852" t="s">
        <v>40</v>
      </c>
    </row>
    <row r="1853" spans="1:39" x14ac:dyDescent="0.3">
      <c r="A1853">
        <v>2020</v>
      </c>
      <c r="B1853">
        <v>4</v>
      </c>
      <c r="C1853" t="str">
        <f t="shared" si="56"/>
        <v>4/01/2020</v>
      </c>
      <c r="D1853" s="1" t="str">
        <f t="shared" si="57"/>
        <v>4/01/2020</v>
      </c>
      <c r="E1853" t="s">
        <v>37</v>
      </c>
      <c r="F1853" t="s">
        <v>54</v>
      </c>
      <c r="G1853" t="s">
        <v>41</v>
      </c>
      <c r="H1853">
        <v>30</v>
      </c>
      <c r="J1853">
        <v>0</v>
      </c>
      <c r="M1853">
        <v>0</v>
      </c>
      <c r="O1853">
        <v>0</v>
      </c>
      <c r="P1853">
        <v>0</v>
      </c>
      <c r="Q1853">
        <v>0</v>
      </c>
      <c r="S1853">
        <v>0</v>
      </c>
      <c r="T1853">
        <v>0</v>
      </c>
      <c r="W1853" s="1">
        <v>44160</v>
      </c>
      <c r="X1853" t="s">
        <v>56</v>
      </c>
      <c r="Z1853" t="s">
        <v>40</v>
      </c>
      <c r="AB1853" t="s">
        <v>40</v>
      </c>
      <c r="AC1853" t="s">
        <v>40</v>
      </c>
      <c r="AE1853" t="s">
        <v>40</v>
      </c>
      <c r="AI1853" t="s">
        <v>40</v>
      </c>
      <c r="AL1853" t="s">
        <v>40</v>
      </c>
      <c r="AM1853" t="s">
        <v>40</v>
      </c>
    </row>
    <row r="1854" spans="1:39" x14ac:dyDescent="0.3">
      <c r="A1854">
        <v>2020</v>
      </c>
      <c r="B1854">
        <v>4</v>
      </c>
      <c r="C1854" t="str">
        <f t="shared" si="56"/>
        <v>4/01/2020</v>
      </c>
      <c r="D1854" s="1" t="str">
        <f t="shared" si="57"/>
        <v>4/01/2020</v>
      </c>
      <c r="E1854" t="s">
        <v>37</v>
      </c>
      <c r="F1854" t="s">
        <v>54</v>
      </c>
      <c r="G1854" t="s">
        <v>42</v>
      </c>
      <c r="H1854">
        <v>35</v>
      </c>
      <c r="I1854">
        <v>19</v>
      </c>
      <c r="J1854">
        <v>0</v>
      </c>
      <c r="M1854">
        <v>0</v>
      </c>
      <c r="N1854">
        <v>0</v>
      </c>
      <c r="O1854">
        <v>0</v>
      </c>
      <c r="Q1854">
        <v>0</v>
      </c>
      <c r="R1854">
        <v>0</v>
      </c>
      <c r="T1854">
        <v>0</v>
      </c>
      <c r="W1854" s="1">
        <v>44160</v>
      </c>
      <c r="X1854" t="s">
        <v>56</v>
      </c>
      <c r="AB1854" t="s">
        <v>40</v>
      </c>
      <c r="AC1854" t="s">
        <v>40</v>
      </c>
      <c r="AG1854" t="s">
        <v>40</v>
      </c>
      <c r="AJ1854" t="s">
        <v>40</v>
      </c>
      <c r="AL1854" t="s">
        <v>40</v>
      </c>
      <c r="AM1854" t="s">
        <v>40</v>
      </c>
    </row>
    <row r="1855" spans="1:39" x14ac:dyDescent="0.3">
      <c r="A1855">
        <v>2020</v>
      </c>
      <c r="B1855">
        <v>4</v>
      </c>
      <c r="C1855" t="str">
        <f t="shared" si="56"/>
        <v>4/01/2020</v>
      </c>
      <c r="D1855" s="1" t="str">
        <f t="shared" si="57"/>
        <v>4/01/2020</v>
      </c>
      <c r="E1855" t="s">
        <v>37</v>
      </c>
      <c r="F1855" t="s">
        <v>54</v>
      </c>
      <c r="G1855" t="s">
        <v>43</v>
      </c>
      <c r="H1855">
        <v>53</v>
      </c>
      <c r="I1855">
        <v>38</v>
      </c>
      <c r="M1855">
        <v>0</v>
      </c>
      <c r="N1855">
        <v>0</v>
      </c>
      <c r="P1855">
        <v>0</v>
      </c>
      <c r="Q1855">
        <v>0</v>
      </c>
      <c r="W1855" s="1">
        <v>44160</v>
      </c>
      <c r="X1855" t="s">
        <v>56</v>
      </c>
      <c r="AA1855" t="s">
        <v>40</v>
      </c>
      <c r="AB1855" t="s">
        <v>40</v>
      </c>
      <c r="AC1855" t="s">
        <v>40</v>
      </c>
      <c r="AF1855" t="s">
        <v>40</v>
      </c>
      <c r="AI1855" t="s">
        <v>40</v>
      </c>
      <c r="AJ1855" t="s">
        <v>40</v>
      </c>
      <c r="AK1855" t="s">
        <v>40</v>
      </c>
      <c r="AL1855" t="s">
        <v>40</v>
      </c>
      <c r="AM1855" t="s">
        <v>40</v>
      </c>
    </row>
    <row r="1856" spans="1:39" x14ac:dyDescent="0.3">
      <c r="A1856">
        <v>2020</v>
      </c>
      <c r="B1856">
        <v>4</v>
      </c>
      <c r="C1856" t="str">
        <f t="shared" si="56"/>
        <v>4/01/2020</v>
      </c>
      <c r="D1856" s="1" t="str">
        <f t="shared" si="57"/>
        <v>4/01/2020</v>
      </c>
      <c r="E1856" t="s">
        <v>37</v>
      </c>
      <c r="F1856" t="s">
        <v>54</v>
      </c>
      <c r="G1856" t="s">
        <v>44</v>
      </c>
      <c r="H1856">
        <v>109</v>
      </c>
      <c r="I1856">
        <v>99</v>
      </c>
      <c r="K1856">
        <v>24</v>
      </c>
      <c r="M1856">
        <v>0</v>
      </c>
      <c r="S1856">
        <v>18</v>
      </c>
      <c r="U1856">
        <v>19</v>
      </c>
      <c r="V1856">
        <v>19</v>
      </c>
      <c r="W1856" s="1">
        <v>44160</v>
      </c>
      <c r="X1856" t="s">
        <v>56</v>
      </c>
      <c r="AA1856" t="s">
        <v>40</v>
      </c>
      <c r="AC1856" t="s">
        <v>40</v>
      </c>
      <c r="AE1856" t="s">
        <v>40</v>
      </c>
      <c r="AF1856" t="s">
        <v>40</v>
      </c>
      <c r="AG1856" t="s">
        <v>40</v>
      </c>
      <c r="AH1856" t="s">
        <v>40</v>
      </c>
      <c r="AI1856" t="s">
        <v>40</v>
      </c>
      <c r="AK1856" t="s">
        <v>40</v>
      </c>
    </row>
    <row r="1857" spans="1:37" x14ac:dyDescent="0.3">
      <c r="A1857">
        <v>2020</v>
      </c>
      <c r="B1857">
        <v>4</v>
      </c>
      <c r="C1857" t="str">
        <f t="shared" si="56"/>
        <v>4/01/2020</v>
      </c>
      <c r="D1857" s="1" t="str">
        <f t="shared" si="57"/>
        <v>4/01/2020</v>
      </c>
      <c r="E1857" t="s">
        <v>37</v>
      </c>
      <c r="F1857" t="s">
        <v>54</v>
      </c>
      <c r="G1857" t="s">
        <v>45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 s="1">
        <v>44160</v>
      </c>
      <c r="X1857" t="s">
        <v>56</v>
      </c>
      <c r="Y1857" t="s">
        <v>40</v>
      </c>
      <c r="Z1857" t="s">
        <v>40</v>
      </c>
    </row>
    <row r="1858" spans="1:37" x14ac:dyDescent="0.3">
      <c r="A1858">
        <v>2020</v>
      </c>
      <c r="B1858">
        <v>4</v>
      </c>
      <c r="C1858" t="str">
        <f t="shared" si="56"/>
        <v>4/01/2020</v>
      </c>
      <c r="D1858" s="1" t="str">
        <f t="shared" si="57"/>
        <v>4/01/2020</v>
      </c>
      <c r="E1858" t="s">
        <v>37</v>
      </c>
      <c r="F1858" t="s">
        <v>54</v>
      </c>
      <c r="G1858" t="s">
        <v>46</v>
      </c>
      <c r="H1858">
        <v>189</v>
      </c>
      <c r="I1858">
        <v>181</v>
      </c>
      <c r="J1858">
        <v>0</v>
      </c>
      <c r="K1858">
        <v>37</v>
      </c>
      <c r="O1858">
        <v>11</v>
      </c>
      <c r="S1858">
        <v>29</v>
      </c>
      <c r="T1858">
        <v>14</v>
      </c>
      <c r="U1858">
        <v>46</v>
      </c>
      <c r="V1858">
        <v>44</v>
      </c>
      <c r="W1858" s="1">
        <v>44160</v>
      </c>
      <c r="X1858" t="s">
        <v>56</v>
      </c>
      <c r="AC1858" t="s">
        <v>40</v>
      </c>
      <c r="AD1858" t="s">
        <v>40</v>
      </c>
      <c r="AE1858" t="s">
        <v>40</v>
      </c>
      <c r="AG1858" t="s">
        <v>40</v>
      </c>
      <c r="AH1858" t="s">
        <v>40</v>
      </c>
      <c r="AI1858" t="s">
        <v>40</v>
      </c>
    </row>
    <row r="1859" spans="1:37" x14ac:dyDescent="0.3">
      <c r="A1859">
        <v>2020</v>
      </c>
      <c r="B1859">
        <v>4</v>
      </c>
      <c r="C1859" t="str">
        <f t="shared" ref="C1859:C1922" si="58">CONCATENATE(B1859,"/01/",A1859)</f>
        <v>4/01/2020</v>
      </c>
      <c r="D1859" s="1" t="str">
        <f t="shared" ref="D1859:D1922" si="59">C1859</f>
        <v>4/01/2020</v>
      </c>
      <c r="E1859" t="s">
        <v>37</v>
      </c>
      <c r="F1859" t="s">
        <v>54</v>
      </c>
      <c r="G1859" t="s">
        <v>47</v>
      </c>
      <c r="H1859">
        <v>295</v>
      </c>
      <c r="I1859">
        <v>289</v>
      </c>
      <c r="K1859">
        <v>53</v>
      </c>
      <c r="O1859">
        <v>16</v>
      </c>
      <c r="P1859">
        <v>0</v>
      </c>
      <c r="S1859">
        <v>55</v>
      </c>
      <c r="U1859">
        <v>102</v>
      </c>
      <c r="V1859">
        <v>97</v>
      </c>
      <c r="W1859" s="1">
        <v>44160</v>
      </c>
      <c r="X1859" t="s">
        <v>56</v>
      </c>
      <c r="AA1859" t="s">
        <v>40</v>
      </c>
      <c r="AC1859" t="s">
        <v>40</v>
      </c>
      <c r="AD1859" t="s">
        <v>40</v>
      </c>
      <c r="AE1859" t="s">
        <v>40</v>
      </c>
      <c r="AH1859" t="s">
        <v>40</v>
      </c>
      <c r="AI1859" t="s">
        <v>40</v>
      </c>
      <c r="AK1859" t="s">
        <v>40</v>
      </c>
    </row>
    <row r="1860" spans="1:37" x14ac:dyDescent="0.3">
      <c r="A1860">
        <v>2020</v>
      </c>
      <c r="B1860">
        <v>4</v>
      </c>
      <c r="C1860" t="str">
        <f t="shared" si="58"/>
        <v>4/01/2020</v>
      </c>
      <c r="D1860" s="1" t="str">
        <f t="shared" si="59"/>
        <v>4/01/2020</v>
      </c>
      <c r="E1860" t="s">
        <v>37</v>
      </c>
      <c r="F1860" t="s">
        <v>54</v>
      </c>
      <c r="G1860" t="s">
        <v>48</v>
      </c>
      <c r="H1860">
        <v>290</v>
      </c>
      <c r="I1860">
        <v>284</v>
      </c>
      <c r="K1860">
        <v>31</v>
      </c>
      <c r="L1860">
        <v>11</v>
      </c>
      <c r="M1860">
        <v>12</v>
      </c>
      <c r="O1860">
        <v>12</v>
      </c>
      <c r="R1860">
        <v>0</v>
      </c>
      <c r="S1860">
        <v>52</v>
      </c>
      <c r="T1860">
        <v>12</v>
      </c>
      <c r="U1860">
        <v>95</v>
      </c>
      <c r="V1860">
        <v>89</v>
      </c>
      <c r="W1860" s="1">
        <v>44160</v>
      </c>
      <c r="X1860" t="s">
        <v>56</v>
      </c>
      <c r="AA1860" t="s">
        <v>40</v>
      </c>
      <c r="AE1860" t="s">
        <v>40</v>
      </c>
      <c r="AG1860" t="s">
        <v>40</v>
      </c>
      <c r="AH1860" t="s">
        <v>40</v>
      </c>
    </row>
    <row r="1861" spans="1:37" x14ac:dyDescent="0.3">
      <c r="A1861">
        <v>2020</v>
      </c>
      <c r="B1861">
        <v>4</v>
      </c>
      <c r="C1861" t="str">
        <f t="shared" si="58"/>
        <v>4/01/2020</v>
      </c>
      <c r="D1861" s="1" t="str">
        <f t="shared" si="59"/>
        <v>4/01/2020</v>
      </c>
      <c r="E1861" t="s">
        <v>37</v>
      </c>
      <c r="F1861" t="s">
        <v>54</v>
      </c>
      <c r="G1861" t="s">
        <v>49</v>
      </c>
      <c r="H1861">
        <v>322</v>
      </c>
      <c r="I1861">
        <v>318</v>
      </c>
      <c r="J1861">
        <v>0</v>
      </c>
      <c r="K1861">
        <v>17</v>
      </c>
      <c r="L1861">
        <v>14</v>
      </c>
      <c r="M1861">
        <v>19</v>
      </c>
      <c r="O1861">
        <v>12</v>
      </c>
      <c r="S1861">
        <v>84</v>
      </c>
      <c r="T1861">
        <v>17</v>
      </c>
      <c r="U1861">
        <v>92</v>
      </c>
      <c r="V1861">
        <v>86</v>
      </c>
      <c r="W1861" s="1">
        <v>44160</v>
      </c>
      <c r="X1861" t="s">
        <v>56</v>
      </c>
      <c r="AE1861" t="s">
        <v>40</v>
      </c>
      <c r="AG1861" t="s">
        <v>40</v>
      </c>
      <c r="AH1861" t="s">
        <v>40</v>
      </c>
      <c r="AI1861" t="s">
        <v>40</v>
      </c>
    </row>
    <row r="1862" spans="1:37" x14ac:dyDescent="0.3">
      <c r="A1862">
        <v>2020</v>
      </c>
      <c r="B1862">
        <v>4</v>
      </c>
      <c r="C1862" t="str">
        <f t="shared" si="58"/>
        <v>4/01/2020</v>
      </c>
      <c r="D1862" s="1" t="str">
        <f t="shared" si="59"/>
        <v>4/01/2020</v>
      </c>
      <c r="E1862" t="s">
        <v>55</v>
      </c>
      <c r="F1862" t="s">
        <v>38</v>
      </c>
      <c r="G1862" t="s">
        <v>39</v>
      </c>
      <c r="H1862">
        <v>212</v>
      </c>
      <c r="I1862">
        <v>188</v>
      </c>
      <c r="L1862">
        <v>0</v>
      </c>
      <c r="M1862">
        <v>0</v>
      </c>
      <c r="N1862">
        <v>0</v>
      </c>
      <c r="O1862">
        <v>0</v>
      </c>
      <c r="R1862">
        <v>12</v>
      </c>
      <c r="U1862">
        <v>0</v>
      </c>
      <c r="V1862">
        <v>0</v>
      </c>
      <c r="W1862" s="1">
        <v>44160</v>
      </c>
      <c r="X1862" t="s">
        <v>56</v>
      </c>
      <c r="AA1862" t="s">
        <v>40</v>
      </c>
      <c r="AB1862" t="s">
        <v>40</v>
      </c>
      <c r="AG1862" t="s">
        <v>40</v>
      </c>
      <c r="AH1862" t="s">
        <v>40</v>
      </c>
      <c r="AJ1862" t="s">
        <v>40</v>
      </c>
      <c r="AK1862" t="s">
        <v>40</v>
      </c>
    </row>
    <row r="1863" spans="1:37" x14ac:dyDescent="0.3">
      <c r="A1863">
        <v>2020</v>
      </c>
      <c r="B1863">
        <v>4</v>
      </c>
      <c r="C1863" t="str">
        <f t="shared" si="58"/>
        <v>4/01/2020</v>
      </c>
      <c r="D1863" s="1" t="str">
        <f t="shared" si="59"/>
        <v>4/01/2020</v>
      </c>
      <c r="E1863" t="s">
        <v>55</v>
      </c>
      <c r="F1863" t="s">
        <v>38</v>
      </c>
      <c r="G1863" t="s">
        <v>41</v>
      </c>
      <c r="H1863">
        <v>476</v>
      </c>
      <c r="I1863">
        <v>104</v>
      </c>
      <c r="K1863">
        <v>19</v>
      </c>
      <c r="M1863">
        <v>0</v>
      </c>
      <c r="N1863">
        <v>0</v>
      </c>
      <c r="P1863">
        <v>0</v>
      </c>
      <c r="Q1863">
        <v>0</v>
      </c>
      <c r="R1863">
        <v>10</v>
      </c>
      <c r="U1863">
        <v>23</v>
      </c>
      <c r="V1863">
        <v>22</v>
      </c>
      <c r="W1863" s="1">
        <v>44160</v>
      </c>
      <c r="X1863" t="s">
        <v>56</v>
      </c>
      <c r="AA1863" t="s">
        <v>40</v>
      </c>
      <c r="AC1863" t="s">
        <v>40</v>
      </c>
      <c r="AF1863" t="s">
        <v>40</v>
      </c>
      <c r="AJ1863" t="s">
        <v>40</v>
      </c>
      <c r="AK1863" t="s">
        <v>40</v>
      </c>
    </row>
    <row r="1864" spans="1:37" x14ac:dyDescent="0.3">
      <c r="A1864">
        <v>2020</v>
      </c>
      <c r="B1864">
        <v>4</v>
      </c>
      <c r="C1864" t="str">
        <f t="shared" si="58"/>
        <v>4/01/2020</v>
      </c>
      <c r="D1864" s="1" t="str">
        <f t="shared" si="59"/>
        <v>4/01/2020</v>
      </c>
      <c r="E1864" t="s">
        <v>55</v>
      </c>
      <c r="F1864" t="s">
        <v>38</v>
      </c>
      <c r="G1864" t="s">
        <v>42</v>
      </c>
      <c r="H1864">
        <v>727</v>
      </c>
      <c r="I1864">
        <v>314</v>
      </c>
      <c r="K1864">
        <v>26</v>
      </c>
      <c r="M1864">
        <v>0</v>
      </c>
      <c r="R1864">
        <v>21</v>
      </c>
      <c r="S1864">
        <v>25</v>
      </c>
      <c r="U1864">
        <v>120</v>
      </c>
      <c r="V1864">
        <v>115</v>
      </c>
      <c r="W1864" s="1">
        <v>44160</v>
      </c>
      <c r="X1864" t="s">
        <v>56</v>
      </c>
      <c r="AA1864" t="s">
        <v>40</v>
      </c>
      <c r="AC1864" t="s">
        <v>40</v>
      </c>
      <c r="AE1864" t="s">
        <v>40</v>
      </c>
      <c r="AF1864" t="s">
        <v>40</v>
      </c>
      <c r="AG1864" t="s">
        <v>40</v>
      </c>
      <c r="AH1864" t="s">
        <v>40</v>
      </c>
      <c r="AK1864" t="s">
        <v>40</v>
      </c>
    </row>
    <row r="1865" spans="1:37" x14ac:dyDescent="0.3">
      <c r="A1865">
        <v>2020</v>
      </c>
      <c r="B1865">
        <v>4</v>
      </c>
      <c r="C1865" t="str">
        <f t="shared" si="58"/>
        <v>4/01/2020</v>
      </c>
      <c r="D1865" s="1" t="str">
        <f t="shared" si="59"/>
        <v>4/01/2020</v>
      </c>
      <c r="E1865" t="s">
        <v>55</v>
      </c>
      <c r="F1865" t="s">
        <v>38</v>
      </c>
      <c r="G1865" t="s">
        <v>43</v>
      </c>
      <c r="H1865" s="2">
        <v>1211</v>
      </c>
      <c r="I1865">
        <v>875</v>
      </c>
      <c r="J1865">
        <v>15</v>
      </c>
      <c r="K1865">
        <v>74</v>
      </c>
      <c r="L1865">
        <v>29</v>
      </c>
      <c r="M1865">
        <v>0</v>
      </c>
      <c r="N1865">
        <v>13</v>
      </c>
      <c r="P1865">
        <v>16</v>
      </c>
      <c r="R1865">
        <v>27</v>
      </c>
      <c r="S1865">
        <v>93</v>
      </c>
      <c r="T1865">
        <v>28</v>
      </c>
      <c r="U1865">
        <v>418</v>
      </c>
      <c r="V1865">
        <v>406</v>
      </c>
      <c r="W1865" s="1">
        <v>44160</v>
      </c>
      <c r="X1865" t="s">
        <v>56</v>
      </c>
      <c r="AF1865" t="s">
        <v>40</v>
      </c>
      <c r="AH1865" t="s">
        <v>40</v>
      </c>
    </row>
    <row r="1866" spans="1:37" x14ac:dyDescent="0.3">
      <c r="A1866">
        <v>2020</v>
      </c>
      <c r="B1866">
        <v>4</v>
      </c>
      <c r="C1866" t="str">
        <f t="shared" si="58"/>
        <v>4/01/2020</v>
      </c>
      <c r="D1866" s="1" t="str">
        <f t="shared" si="59"/>
        <v>4/01/2020</v>
      </c>
      <c r="E1866" t="s">
        <v>55</v>
      </c>
      <c r="F1866" t="s">
        <v>38</v>
      </c>
      <c r="G1866" t="s">
        <v>44</v>
      </c>
      <c r="H1866" s="2">
        <v>2051</v>
      </c>
      <c r="I1866" s="2">
        <v>1811</v>
      </c>
      <c r="J1866">
        <v>18</v>
      </c>
      <c r="K1866">
        <v>174</v>
      </c>
      <c r="L1866">
        <v>80</v>
      </c>
      <c r="N1866">
        <v>33</v>
      </c>
      <c r="P1866">
        <v>19</v>
      </c>
      <c r="Q1866">
        <v>19</v>
      </c>
      <c r="R1866">
        <v>29</v>
      </c>
      <c r="S1866">
        <v>226</v>
      </c>
      <c r="T1866">
        <v>48</v>
      </c>
      <c r="U1866">
        <v>900</v>
      </c>
      <c r="V1866">
        <v>878</v>
      </c>
      <c r="W1866" s="1">
        <v>44160</v>
      </c>
      <c r="X1866" t="s">
        <v>56</v>
      </c>
      <c r="AD1866" t="s">
        <v>40</v>
      </c>
      <c r="AF1866" t="s">
        <v>40</v>
      </c>
    </row>
    <row r="1867" spans="1:37" x14ac:dyDescent="0.3">
      <c r="A1867">
        <v>2020</v>
      </c>
      <c r="B1867">
        <v>4</v>
      </c>
      <c r="C1867" t="str">
        <f t="shared" si="58"/>
        <v>4/01/2020</v>
      </c>
      <c r="D1867" s="1" t="str">
        <f t="shared" si="59"/>
        <v>4/01/2020</v>
      </c>
      <c r="E1867" t="s">
        <v>55</v>
      </c>
      <c r="F1867" t="s">
        <v>38</v>
      </c>
      <c r="G1867" t="s">
        <v>45</v>
      </c>
      <c r="H1867">
        <v>48</v>
      </c>
      <c r="I1867">
        <v>25</v>
      </c>
      <c r="M1867">
        <v>0</v>
      </c>
      <c r="N1867">
        <v>0</v>
      </c>
      <c r="P1867">
        <v>0</v>
      </c>
      <c r="Q1867">
        <v>0</v>
      </c>
      <c r="U1867">
        <v>0</v>
      </c>
      <c r="V1867">
        <v>0</v>
      </c>
      <c r="W1867" s="1">
        <v>44160</v>
      </c>
      <c r="X1867" t="s">
        <v>56</v>
      </c>
      <c r="AA1867" t="s">
        <v>40</v>
      </c>
      <c r="AB1867" t="s">
        <v>40</v>
      </c>
      <c r="AC1867" t="s">
        <v>40</v>
      </c>
      <c r="AF1867" t="s">
        <v>40</v>
      </c>
      <c r="AI1867" t="s">
        <v>40</v>
      </c>
      <c r="AJ1867" t="s">
        <v>40</v>
      </c>
      <c r="AK1867" t="s">
        <v>40</v>
      </c>
    </row>
    <row r="1868" spans="1:37" x14ac:dyDescent="0.3">
      <c r="A1868">
        <v>2020</v>
      </c>
      <c r="B1868">
        <v>4</v>
      </c>
      <c r="C1868" t="str">
        <f t="shared" si="58"/>
        <v>4/01/2020</v>
      </c>
      <c r="D1868" s="1" t="str">
        <f t="shared" si="59"/>
        <v>4/01/2020</v>
      </c>
      <c r="E1868" t="s">
        <v>55</v>
      </c>
      <c r="F1868" t="s">
        <v>38</v>
      </c>
      <c r="G1868" t="s">
        <v>46</v>
      </c>
      <c r="H1868" s="2">
        <v>3323</v>
      </c>
      <c r="I1868" s="2">
        <v>3115</v>
      </c>
      <c r="J1868">
        <v>28</v>
      </c>
      <c r="K1868">
        <v>378</v>
      </c>
      <c r="L1868">
        <v>153</v>
      </c>
      <c r="N1868">
        <v>57</v>
      </c>
      <c r="O1868">
        <v>36</v>
      </c>
      <c r="P1868">
        <v>31</v>
      </c>
      <c r="Q1868">
        <v>46</v>
      </c>
      <c r="R1868">
        <v>26</v>
      </c>
      <c r="S1868">
        <v>466</v>
      </c>
      <c r="T1868">
        <v>69</v>
      </c>
      <c r="U1868" s="2">
        <v>1432</v>
      </c>
      <c r="V1868" s="2">
        <v>1379</v>
      </c>
      <c r="W1868" s="1">
        <v>44160</v>
      </c>
      <c r="X1868" t="s">
        <v>56</v>
      </c>
      <c r="AD1868" t="s">
        <v>40</v>
      </c>
    </row>
    <row r="1869" spans="1:37" x14ac:dyDescent="0.3">
      <c r="A1869">
        <v>2020</v>
      </c>
      <c r="B1869">
        <v>4</v>
      </c>
      <c r="C1869" t="str">
        <f t="shared" si="58"/>
        <v>4/01/2020</v>
      </c>
      <c r="D1869" s="1" t="str">
        <f t="shared" si="59"/>
        <v>4/01/2020</v>
      </c>
      <c r="E1869" t="s">
        <v>55</v>
      </c>
      <c r="F1869" t="s">
        <v>38</v>
      </c>
      <c r="G1869" t="s">
        <v>47</v>
      </c>
      <c r="H1869" s="2">
        <v>3862</v>
      </c>
      <c r="I1869" s="2">
        <v>3766</v>
      </c>
      <c r="J1869">
        <v>29</v>
      </c>
      <c r="K1869">
        <v>486</v>
      </c>
      <c r="L1869">
        <v>176</v>
      </c>
      <c r="M1869">
        <v>28</v>
      </c>
      <c r="N1869">
        <v>70</v>
      </c>
      <c r="O1869">
        <v>61</v>
      </c>
      <c r="P1869">
        <v>52</v>
      </c>
      <c r="Q1869">
        <v>59</v>
      </c>
      <c r="R1869">
        <v>17</v>
      </c>
      <c r="S1869">
        <v>619</v>
      </c>
      <c r="T1869">
        <v>126</v>
      </c>
      <c r="U1869" s="2">
        <v>1669</v>
      </c>
      <c r="V1869" s="2">
        <v>1614</v>
      </c>
      <c r="W1869" s="1">
        <v>44160</v>
      </c>
      <c r="X1869" t="s">
        <v>56</v>
      </c>
    </row>
    <row r="1870" spans="1:37" x14ac:dyDescent="0.3">
      <c r="A1870">
        <v>2020</v>
      </c>
      <c r="B1870">
        <v>4</v>
      </c>
      <c r="C1870" t="str">
        <f t="shared" si="58"/>
        <v>4/01/2020</v>
      </c>
      <c r="D1870" s="1" t="str">
        <f t="shared" si="59"/>
        <v>4/01/2020</v>
      </c>
      <c r="E1870" t="s">
        <v>55</v>
      </c>
      <c r="F1870" t="s">
        <v>38</v>
      </c>
      <c r="G1870" t="s">
        <v>48</v>
      </c>
      <c r="H1870" s="2">
        <v>3643</v>
      </c>
      <c r="I1870" s="2">
        <v>3594</v>
      </c>
      <c r="J1870">
        <v>30</v>
      </c>
      <c r="K1870">
        <v>481</v>
      </c>
      <c r="L1870">
        <v>126</v>
      </c>
      <c r="M1870">
        <v>90</v>
      </c>
      <c r="N1870">
        <v>69</v>
      </c>
      <c r="O1870">
        <v>96</v>
      </c>
      <c r="P1870">
        <v>52</v>
      </c>
      <c r="Q1870">
        <v>46</v>
      </c>
      <c r="R1870">
        <v>13</v>
      </c>
      <c r="S1870">
        <v>607</v>
      </c>
      <c r="T1870">
        <v>114</v>
      </c>
      <c r="U1870" s="2">
        <v>1485</v>
      </c>
      <c r="V1870" s="2">
        <v>1420</v>
      </c>
      <c r="W1870" s="1">
        <v>44160</v>
      </c>
      <c r="X1870" t="s">
        <v>56</v>
      </c>
    </row>
    <row r="1871" spans="1:37" x14ac:dyDescent="0.3">
      <c r="A1871">
        <v>2020</v>
      </c>
      <c r="B1871">
        <v>4</v>
      </c>
      <c r="C1871" t="str">
        <f t="shared" si="58"/>
        <v>4/01/2020</v>
      </c>
      <c r="D1871" s="1" t="str">
        <f t="shared" si="59"/>
        <v>4/01/2020</v>
      </c>
      <c r="E1871" t="s">
        <v>55</v>
      </c>
      <c r="F1871" t="s">
        <v>38</v>
      </c>
      <c r="G1871" t="s">
        <v>49</v>
      </c>
      <c r="H1871" s="2">
        <v>2837</v>
      </c>
      <c r="I1871" s="2">
        <v>2793</v>
      </c>
      <c r="J1871">
        <v>18</v>
      </c>
      <c r="K1871">
        <v>262</v>
      </c>
      <c r="L1871">
        <v>96</v>
      </c>
      <c r="M1871">
        <v>139</v>
      </c>
      <c r="N1871">
        <v>74</v>
      </c>
      <c r="O1871">
        <v>83</v>
      </c>
      <c r="P1871">
        <v>39</v>
      </c>
      <c r="Q1871">
        <v>33</v>
      </c>
      <c r="R1871">
        <v>13</v>
      </c>
      <c r="S1871">
        <v>628</v>
      </c>
      <c r="T1871">
        <v>125</v>
      </c>
      <c r="U1871">
        <v>927</v>
      </c>
      <c r="V1871">
        <v>876</v>
      </c>
      <c r="W1871" s="1">
        <v>44160</v>
      </c>
      <c r="X1871" t="s">
        <v>56</v>
      </c>
    </row>
    <row r="1872" spans="1:37" x14ac:dyDescent="0.3">
      <c r="A1872">
        <v>2020</v>
      </c>
      <c r="B1872">
        <v>4</v>
      </c>
      <c r="C1872" t="str">
        <f t="shared" si="58"/>
        <v>4/01/2020</v>
      </c>
      <c r="D1872" s="1" t="str">
        <f t="shared" si="59"/>
        <v>4/01/2020</v>
      </c>
      <c r="E1872" t="s">
        <v>55</v>
      </c>
      <c r="F1872" t="s">
        <v>50</v>
      </c>
      <c r="G1872" t="s">
        <v>39</v>
      </c>
      <c r="H1872">
        <v>13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S1872">
        <v>0</v>
      </c>
      <c r="T1872">
        <v>0</v>
      </c>
      <c r="U1872">
        <v>0</v>
      </c>
      <c r="V1872">
        <v>0</v>
      </c>
      <c r="W1872" s="1">
        <v>44160</v>
      </c>
      <c r="X1872" t="s">
        <v>56</v>
      </c>
      <c r="Z1872" t="s">
        <v>40</v>
      </c>
      <c r="AI1872" t="s">
        <v>40</v>
      </c>
    </row>
    <row r="1873" spans="1:39" x14ac:dyDescent="0.3">
      <c r="A1873">
        <v>2020</v>
      </c>
      <c r="B1873">
        <v>4</v>
      </c>
      <c r="C1873" t="str">
        <f t="shared" si="58"/>
        <v>4/01/2020</v>
      </c>
      <c r="D1873" s="1" t="str">
        <f t="shared" si="59"/>
        <v>4/01/2020</v>
      </c>
      <c r="E1873" t="s">
        <v>55</v>
      </c>
      <c r="F1873" t="s">
        <v>50</v>
      </c>
      <c r="G1873" t="s">
        <v>41</v>
      </c>
      <c r="H1873">
        <v>32</v>
      </c>
      <c r="J1873">
        <v>0</v>
      </c>
      <c r="K1873">
        <v>0</v>
      </c>
      <c r="L1873">
        <v>0</v>
      </c>
      <c r="M1873">
        <v>0</v>
      </c>
      <c r="N1873">
        <v>0</v>
      </c>
      <c r="P1873">
        <v>0</v>
      </c>
      <c r="Q1873">
        <v>0</v>
      </c>
      <c r="S1873">
        <v>0</v>
      </c>
      <c r="T1873">
        <v>0</v>
      </c>
      <c r="U1873">
        <v>0</v>
      </c>
      <c r="V1873">
        <v>0</v>
      </c>
      <c r="W1873" s="1">
        <v>44160</v>
      </c>
      <c r="X1873" t="s">
        <v>56</v>
      </c>
      <c r="Z1873" t="s">
        <v>40</v>
      </c>
      <c r="AF1873" t="s">
        <v>40</v>
      </c>
      <c r="AI1873" t="s">
        <v>40</v>
      </c>
    </row>
    <row r="1874" spans="1:39" x14ac:dyDescent="0.3">
      <c r="A1874">
        <v>2020</v>
      </c>
      <c r="B1874">
        <v>4</v>
      </c>
      <c r="C1874" t="str">
        <f t="shared" si="58"/>
        <v>4/01/2020</v>
      </c>
      <c r="D1874" s="1" t="str">
        <f t="shared" si="59"/>
        <v>4/01/2020</v>
      </c>
      <c r="E1874" t="s">
        <v>55</v>
      </c>
      <c r="F1874" t="s">
        <v>50</v>
      </c>
      <c r="G1874" t="s">
        <v>42</v>
      </c>
      <c r="H1874">
        <v>74</v>
      </c>
      <c r="I1874">
        <v>29</v>
      </c>
      <c r="M1874">
        <v>0</v>
      </c>
      <c r="N1874">
        <v>0</v>
      </c>
      <c r="O1874">
        <v>0</v>
      </c>
      <c r="Q1874">
        <v>0</v>
      </c>
      <c r="S1874">
        <v>0</v>
      </c>
      <c r="T1874">
        <v>0</v>
      </c>
      <c r="W1874" s="1">
        <v>44160</v>
      </c>
      <c r="X1874" t="s">
        <v>56</v>
      </c>
      <c r="AA1874" t="s">
        <v>40</v>
      </c>
      <c r="AB1874" t="s">
        <v>40</v>
      </c>
      <c r="AC1874" t="s">
        <v>40</v>
      </c>
      <c r="AG1874" t="s">
        <v>40</v>
      </c>
      <c r="AI1874" t="s">
        <v>40</v>
      </c>
      <c r="AL1874" t="s">
        <v>40</v>
      </c>
      <c r="AM1874" t="s">
        <v>40</v>
      </c>
    </row>
    <row r="1875" spans="1:39" x14ac:dyDescent="0.3">
      <c r="A1875">
        <v>2020</v>
      </c>
      <c r="B1875">
        <v>4</v>
      </c>
      <c r="C1875" t="str">
        <f t="shared" si="58"/>
        <v>4/01/2020</v>
      </c>
      <c r="D1875" s="1" t="str">
        <f t="shared" si="59"/>
        <v>4/01/2020</v>
      </c>
      <c r="E1875" t="s">
        <v>55</v>
      </c>
      <c r="F1875" t="s">
        <v>50</v>
      </c>
      <c r="G1875" t="s">
        <v>43</v>
      </c>
      <c r="H1875">
        <v>85</v>
      </c>
      <c r="I1875">
        <v>58</v>
      </c>
      <c r="K1875">
        <v>0</v>
      </c>
      <c r="M1875">
        <v>0</v>
      </c>
      <c r="O1875">
        <v>0</v>
      </c>
      <c r="Q1875">
        <v>0</v>
      </c>
      <c r="S1875">
        <v>12</v>
      </c>
      <c r="T1875">
        <v>0</v>
      </c>
      <c r="U1875">
        <v>12</v>
      </c>
      <c r="V1875">
        <v>12</v>
      </c>
      <c r="W1875" s="1">
        <v>44160</v>
      </c>
      <c r="X1875" t="s">
        <v>56</v>
      </c>
      <c r="AA1875" t="s">
        <v>40</v>
      </c>
      <c r="AC1875" t="s">
        <v>40</v>
      </c>
      <c r="AE1875" t="s">
        <v>40</v>
      </c>
      <c r="AG1875" t="s">
        <v>40</v>
      </c>
      <c r="AI1875" t="s">
        <v>40</v>
      </c>
    </row>
    <row r="1876" spans="1:39" x14ac:dyDescent="0.3">
      <c r="A1876">
        <v>2020</v>
      </c>
      <c r="B1876">
        <v>4</v>
      </c>
      <c r="C1876" t="str">
        <f t="shared" si="58"/>
        <v>4/01/2020</v>
      </c>
      <c r="D1876" s="1" t="str">
        <f t="shared" si="59"/>
        <v>4/01/2020</v>
      </c>
      <c r="E1876" t="s">
        <v>55</v>
      </c>
      <c r="F1876" t="s">
        <v>50</v>
      </c>
      <c r="G1876" t="s">
        <v>44</v>
      </c>
      <c r="H1876">
        <v>129</v>
      </c>
      <c r="I1876">
        <v>108</v>
      </c>
      <c r="K1876">
        <v>13</v>
      </c>
      <c r="L1876">
        <v>15</v>
      </c>
      <c r="M1876">
        <v>0</v>
      </c>
      <c r="O1876">
        <v>0</v>
      </c>
      <c r="S1876">
        <v>17</v>
      </c>
      <c r="U1876">
        <v>15</v>
      </c>
      <c r="V1876">
        <v>14</v>
      </c>
      <c r="W1876" s="1">
        <v>44160</v>
      </c>
      <c r="X1876" t="s">
        <v>56</v>
      </c>
      <c r="AA1876" t="s">
        <v>40</v>
      </c>
      <c r="AE1876" t="s">
        <v>40</v>
      </c>
      <c r="AG1876" t="s">
        <v>40</v>
      </c>
      <c r="AH1876" t="s">
        <v>40</v>
      </c>
      <c r="AI1876" t="s">
        <v>40</v>
      </c>
      <c r="AK1876" t="s">
        <v>40</v>
      </c>
    </row>
    <row r="1877" spans="1:39" x14ac:dyDescent="0.3">
      <c r="A1877">
        <v>2020</v>
      </c>
      <c r="B1877">
        <v>4</v>
      </c>
      <c r="C1877" t="str">
        <f t="shared" si="58"/>
        <v>4/01/2020</v>
      </c>
      <c r="D1877" s="1" t="str">
        <f t="shared" si="59"/>
        <v>4/01/2020</v>
      </c>
      <c r="E1877" t="s">
        <v>55</v>
      </c>
      <c r="F1877" t="s">
        <v>50</v>
      </c>
      <c r="G1877" t="s">
        <v>45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 s="1">
        <v>44160</v>
      </c>
      <c r="X1877" t="s">
        <v>56</v>
      </c>
      <c r="Y1877" t="s">
        <v>40</v>
      </c>
    </row>
    <row r="1878" spans="1:39" x14ac:dyDescent="0.3">
      <c r="A1878">
        <v>2020</v>
      </c>
      <c r="B1878">
        <v>4</v>
      </c>
      <c r="C1878" t="str">
        <f t="shared" si="58"/>
        <v>4/01/2020</v>
      </c>
      <c r="D1878" s="1" t="str">
        <f t="shared" si="59"/>
        <v>4/01/2020</v>
      </c>
      <c r="E1878" t="s">
        <v>55</v>
      </c>
      <c r="F1878" t="s">
        <v>50</v>
      </c>
      <c r="G1878" t="s">
        <v>46</v>
      </c>
      <c r="H1878">
        <v>214</v>
      </c>
      <c r="I1878">
        <v>194</v>
      </c>
      <c r="K1878">
        <v>44</v>
      </c>
      <c r="M1878">
        <v>0</v>
      </c>
      <c r="Q1878">
        <v>0</v>
      </c>
      <c r="S1878">
        <v>51</v>
      </c>
      <c r="U1878">
        <v>30</v>
      </c>
      <c r="V1878">
        <v>28</v>
      </c>
      <c r="W1878" s="1">
        <v>44160</v>
      </c>
      <c r="X1878" t="s">
        <v>56</v>
      </c>
      <c r="AA1878" t="s">
        <v>40</v>
      </c>
      <c r="AC1878" t="s">
        <v>40</v>
      </c>
      <c r="AE1878" t="s">
        <v>40</v>
      </c>
      <c r="AF1878" t="s">
        <v>40</v>
      </c>
      <c r="AG1878" t="s">
        <v>40</v>
      </c>
      <c r="AI1878" t="s">
        <v>40</v>
      </c>
      <c r="AK1878" t="s">
        <v>40</v>
      </c>
    </row>
    <row r="1879" spans="1:39" x14ac:dyDescent="0.3">
      <c r="A1879">
        <v>2020</v>
      </c>
      <c r="B1879">
        <v>4</v>
      </c>
      <c r="C1879" t="str">
        <f t="shared" si="58"/>
        <v>4/01/2020</v>
      </c>
      <c r="D1879" s="1" t="str">
        <f t="shared" si="59"/>
        <v>4/01/2020</v>
      </c>
      <c r="E1879" t="s">
        <v>55</v>
      </c>
      <c r="F1879" t="s">
        <v>50</v>
      </c>
      <c r="G1879" t="s">
        <v>47</v>
      </c>
      <c r="H1879">
        <v>207</v>
      </c>
      <c r="I1879">
        <v>197</v>
      </c>
      <c r="K1879">
        <v>42</v>
      </c>
      <c r="S1879">
        <v>49</v>
      </c>
      <c r="U1879">
        <v>37</v>
      </c>
      <c r="V1879">
        <v>34</v>
      </c>
      <c r="W1879" s="1">
        <v>44160</v>
      </c>
      <c r="X1879" t="s">
        <v>56</v>
      </c>
      <c r="AA1879" t="s">
        <v>40</v>
      </c>
      <c r="AC1879" t="s">
        <v>40</v>
      </c>
      <c r="AD1879" t="s">
        <v>40</v>
      </c>
      <c r="AE1879" t="s">
        <v>40</v>
      </c>
      <c r="AF1879" t="s">
        <v>40</v>
      </c>
      <c r="AG1879" t="s">
        <v>40</v>
      </c>
      <c r="AH1879" t="s">
        <v>40</v>
      </c>
      <c r="AI1879" t="s">
        <v>40</v>
      </c>
      <c r="AK1879" t="s">
        <v>40</v>
      </c>
    </row>
    <row r="1880" spans="1:39" x14ac:dyDescent="0.3">
      <c r="A1880">
        <v>2020</v>
      </c>
      <c r="B1880">
        <v>4</v>
      </c>
      <c r="C1880" t="str">
        <f t="shared" si="58"/>
        <v>4/01/2020</v>
      </c>
      <c r="D1880" s="1" t="str">
        <f t="shared" si="59"/>
        <v>4/01/2020</v>
      </c>
      <c r="E1880" t="s">
        <v>55</v>
      </c>
      <c r="F1880" t="s">
        <v>50</v>
      </c>
      <c r="G1880" t="s">
        <v>48</v>
      </c>
      <c r="H1880">
        <v>166</v>
      </c>
      <c r="I1880">
        <v>164</v>
      </c>
      <c r="K1880">
        <v>31</v>
      </c>
      <c r="O1880">
        <v>11</v>
      </c>
      <c r="S1880">
        <v>35</v>
      </c>
      <c r="T1880">
        <v>12</v>
      </c>
      <c r="U1880">
        <v>33</v>
      </c>
      <c r="V1880">
        <v>29</v>
      </c>
      <c r="W1880" s="1">
        <v>44160</v>
      </c>
      <c r="X1880" t="s">
        <v>56</v>
      </c>
      <c r="AA1880" t="s">
        <v>40</v>
      </c>
      <c r="AC1880" t="s">
        <v>40</v>
      </c>
      <c r="AD1880" t="s">
        <v>40</v>
      </c>
      <c r="AE1880" t="s">
        <v>40</v>
      </c>
      <c r="AG1880" t="s">
        <v>40</v>
      </c>
      <c r="AH1880" t="s">
        <v>40</v>
      </c>
      <c r="AI1880" t="s">
        <v>40</v>
      </c>
    </row>
    <row r="1881" spans="1:39" x14ac:dyDescent="0.3">
      <c r="A1881">
        <v>2020</v>
      </c>
      <c r="B1881">
        <v>4</v>
      </c>
      <c r="C1881" t="str">
        <f t="shared" si="58"/>
        <v>4/01/2020</v>
      </c>
      <c r="D1881" s="1" t="str">
        <f t="shared" si="59"/>
        <v>4/01/2020</v>
      </c>
      <c r="E1881" t="s">
        <v>55</v>
      </c>
      <c r="F1881" t="s">
        <v>50</v>
      </c>
      <c r="G1881" t="s">
        <v>49</v>
      </c>
      <c r="H1881">
        <v>94</v>
      </c>
      <c r="I1881">
        <v>91</v>
      </c>
      <c r="R1881">
        <v>0</v>
      </c>
      <c r="S1881">
        <v>22</v>
      </c>
      <c r="U1881">
        <v>20</v>
      </c>
      <c r="V1881">
        <v>19</v>
      </c>
      <c r="W1881" s="1">
        <v>44160</v>
      </c>
      <c r="X1881" t="s">
        <v>56</v>
      </c>
      <c r="AA1881" t="s">
        <v>40</v>
      </c>
      <c r="AB1881" t="s">
        <v>40</v>
      </c>
      <c r="AC1881" t="s">
        <v>40</v>
      </c>
      <c r="AD1881" t="s">
        <v>40</v>
      </c>
      <c r="AE1881" t="s">
        <v>40</v>
      </c>
      <c r="AF1881" t="s">
        <v>40</v>
      </c>
      <c r="AG1881" t="s">
        <v>40</v>
      </c>
      <c r="AH1881" t="s">
        <v>40</v>
      </c>
      <c r="AK1881" t="s">
        <v>40</v>
      </c>
    </row>
    <row r="1882" spans="1:39" x14ac:dyDescent="0.3">
      <c r="A1882">
        <v>2020</v>
      </c>
      <c r="B1882">
        <v>4</v>
      </c>
      <c r="C1882" t="str">
        <f t="shared" si="58"/>
        <v>4/01/2020</v>
      </c>
      <c r="D1882" s="1" t="str">
        <f t="shared" si="59"/>
        <v>4/01/2020</v>
      </c>
      <c r="E1882" t="s">
        <v>55</v>
      </c>
      <c r="F1882" t="s">
        <v>51</v>
      </c>
      <c r="G1882" t="s">
        <v>39</v>
      </c>
      <c r="H1882">
        <v>23</v>
      </c>
      <c r="I1882">
        <v>22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S1882">
        <v>0</v>
      </c>
      <c r="T1882">
        <v>0</v>
      </c>
      <c r="U1882">
        <v>0</v>
      </c>
      <c r="V1882">
        <v>0</v>
      </c>
      <c r="W1882" s="1">
        <v>44160</v>
      </c>
      <c r="X1882" t="s">
        <v>56</v>
      </c>
      <c r="AG1882" t="s">
        <v>40</v>
      </c>
      <c r="AH1882" t="s">
        <v>40</v>
      </c>
      <c r="AI1882" t="s">
        <v>40</v>
      </c>
    </row>
    <row r="1883" spans="1:39" x14ac:dyDescent="0.3">
      <c r="A1883">
        <v>2020</v>
      </c>
      <c r="B1883">
        <v>4</v>
      </c>
      <c r="C1883" t="str">
        <f t="shared" si="58"/>
        <v>4/01/2020</v>
      </c>
      <c r="D1883" s="1" t="str">
        <f t="shared" si="59"/>
        <v>4/01/2020</v>
      </c>
      <c r="E1883" t="s">
        <v>55</v>
      </c>
      <c r="F1883" t="s">
        <v>51</v>
      </c>
      <c r="G1883" t="s">
        <v>41</v>
      </c>
      <c r="H1883">
        <v>39</v>
      </c>
      <c r="I1883">
        <v>12</v>
      </c>
      <c r="J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T1883">
        <v>0</v>
      </c>
      <c r="W1883" s="1">
        <v>44160</v>
      </c>
      <c r="X1883" t="s">
        <v>56</v>
      </c>
      <c r="AB1883" t="s">
        <v>40</v>
      </c>
      <c r="AI1883" t="s">
        <v>40</v>
      </c>
      <c r="AJ1883" t="s">
        <v>40</v>
      </c>
      <c r="AL1883" t="s">
        <v>40</v>
      </c>
      <c r="AM1883" t="s">
        <v>40</v>
      </c>
    </row>
    <row r="1884" spans="1:39" x14ac:dyDescent="0.3">
      <c r="A1884">
        <v>2020</v>
      </c>
      <c r="B1884">
        <v>4</v>
      </c>
      <c r="C1884" t="str">
        <f t="shared" si="58"/>
        <v>4/01/2020</v>
      </c>
      <c r="D1884" s="1" t="str">
        <f t="shared" si="59"/>
        <v>4/01/2020</v>
      </c>
      <c r="E1884" t="s">
        <v>55</v>
      </c>
      <c r="F1884" t="s">
        <v>51</v>
      </c>
      <c r="G1884" t="s">
        <v>42</v>
      </c>
      <c r="H1884">
        <v>106</v>
      </c>
      <c r="I1884">
        <v>52</v>
      </c>
      <c r="J1884">
        <v>0</v>
      </c>
      <c r="M1884">
        <v>0</v>
      </c>
      <c r="O1884">
        <v>0</v>
      </c>
      <c r="P1884">
        <v>0</v>
      </c>
      <c r="Q1884">
        <v>0</v>
      </c>
      <c r="U1884">
        <v>14</v>
      </c>
      <c r="V1884">
        <v>14</v>
      </c>
      <c r="W1884" s="1">
        <v>44160</v>
      </c>
      <c r="X1884" t="s">
        <v>56</v>
      </c>
      <c r="AB1884" t="s">
        <v>40</v>
      </c>
      <c r="AC1884" t="s">
        <v>40</v>
      </c>
      <c r="AE1884" t="s">
        <v>40</v>
      </c>
      <c r="AI1884" t="s">
        <v>40</v>
      </c>
      <c r="AJ1884" t="s">
        <v>40</v>
      </c>
      <c r="AK1884" t="s">
        <v>40</v>
      </c>
    </row>
    <row r="1885" spans="1:39" x14ac:dyDescent="0.3">
      <c r="A1885">
        <v>2020</v>
      </c>
      <c r="B1885">
        <v>4</v>
      </c>
      <c r="C1885" t="str">
        <f t="shared" si="58"/>
        <v>4/01/2020</v>
      </c>
      <c r="D1885" s="1" t="str">
        <f t="shared" si="59"/>
        <v>4/01/2020</v>
      </c>
      <c r="E1885" t="s">
        <v>55</v>
      </c>
      <c r="F1885" t="s">
        <v>51</v>
      </c>
      <c r="G1885" t="s">
        <v>43</v>
      </c>
      <c r="H1885">
        <v>140</v>
      </c>
      <c r="I1885">
        <v>109</v>
      </c>
      <c r="K1885">
        <v>21</v>
      </c>
      <c r="M1885">
        <v>0</v>
      </c>
      <c r="O1885">
        <v>0</v>
      </c>
      <c r="Q1885">
        <v>0</v>
      </c>
      <c r="S1885">
        <v>19</v>
      </c>
      <c r="U1885">
        <v>34</v>
      </c>
      <c r="V1885">
        <v>33</v>
      </c>
      <c r="W1885" s="1">
        <v>44160</v>
      </c>
      <c r="X1885" t="s">
        <v>56</v>
      </c>
      <c r="AA1885" t="s">
        <v>40</v>
      </c>
      <c r="AC1885" t="s">
        <v>40</v>
      </c>
      <c r="AE1885" t="s">
        <v>40</v>
      </c>
      <c r="AG1885" t="s">
        <v>40</v>
      </c>
      <c r="AI1885" t="s">
        <v>40</v>
      </c>
      <c r="AK1885" t="s">
        <v>40</v>
      </c>
    </row>
    <row r="1886" spans="1:39" x14ac:dyDescent="0.3">
      <c r="A1886">
        <v>2020</v>
      </c>
      <c r="B1886">
        <v>4</v>
      </c>
      <c r="C1886" t="str">
        <f t="shared" si="58"/>
        <v>4/01/2020</v>
      </c>
      <c r="D1886" s="1" t="str">
        <f t="shared" si="59"/>
        <v>4/01/2020</v>
      </c>
      <c r="E1886" t="s">
        <v>55</v>
      </c>
      <c r="F1886" t="s">
        <v>51</v>
      </c>
      <c r="G1886" t="s">
        <v>44</v>
      </c>
      <c r="H1886">
        <v>347</v>
      </c>
      <c r="I1886">
        <v>317</v>
      </c>
      <c r="K1886">
        <v>54</v>
      </c>
      <c r="L1886">
        <v>15</v>
      </c>
      <c r="M1886">
        <v>0</v>
      </c>
      <c r="O1886">
        <v>0</v>
      </c>
      <c r="S1886">
        <v>51</v>
      </c>
      <c r="T1886">
        <v>13</v>
      </c>
      <c r="U1886">
        <v>132</v>
      </c>
      <c r="V1886">
        <v>126</v>
      </c>
      <c r="W1886" s="1">
        <v>44160</v>
      </c>
      <c r="X1886" t="s">
        <v>56</v>
      </c>
      <c r="AA1886" t="s">
        <v>40</v>
      </c>
      <c r="AE1886" t="s">
        <v>40</v>
      </c>
      <c r="AG1886" t="s">
        <v>40</v>
      </c>
      <c r="AH1886" t="s">
        <v>40</v>
      </c>
      <c r="AI1886" t="s">
        <v>40</v>
      </c>
    </row>
    <row r="1887" spans="1:39" x14ac:dyDescent="0.3">
      <c r="A1887">
        <v>2020</v>
      </c>
      <c r="B1887">
        <v>4</v>
      </c>
      <c r="C1887" t="str">
        <f t="shared" si="58"/>
        <v>4/01/2020</v>
      </c>
      <c r="D1887" s="1" t="str">
        <f t="shared" si="59"/>
        <v>4/01/2020</v>
      </c>
      <c r="E1887" t="s">
        <v>55</v>
      </c>
      <c r="F1887" t="s">
        <v>51</v>
      </c>
      <c r="G1887" t="s">
        <v>45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 s="1">
        <v>44160</v>
      </c>
      <c r="X1887" t="s">
        <v>56</v>
      </c>
      <c r="Y1887" t="s">
        <v>40</v>
      </c>
      <c r="Z1887" t="s">
        <v>40</v>
      </c>
      <c r="AH1887" t="s">
        <v>40</v>
      </c>
    </row>
    <row r="1888" spans="1:39" x14ac:dyDescent="0.3">
      <c r="A1888">
        <v>2020</v>
      </c>
      <c r="B1888">
        <v>4</v>
      </c>
      <c r="C1888" t="str">
        <f t="shared" si="58"/>
        <v>4/01/2020</v>
      </c>
      <c r="D1888" s="1" t="str">
        <f t="shared" si="59"/>
        <v>4/01/2020</v>
      </c>
      <c r="E1888" t="s">
        <v>55</v>
      </c>
      <c r="F1888" t="s">
        <v>51</v>
      </c>
      <c r="G1888" t="s">
        <v>46</v>
      </c>
      <c r="H1888">
        <v>844</v>
      </c>
      <c r="I1888">
        <v>816</v>
      </c>
      <c r="K1888">
        <v>142</v>
      </c>
      <c r="L1888">
        <v>29</v>
      </c>
      <c r="N1888">
        <v>14</v>
      </c>
      <c r="S1888">
        <v>127</v>
      </c>
      <c r="T1888">
        <v>25</v>
      </c>
      <c r="U1888">
        <v>387</v>
      </c>
      <c r="V1888">
        <v>373</v>
      </c>
      <c r="W1888" s="1">
        <v>44160</v>
      </c>
      <c r="X1888" t="s">
        <v>56</v>
      </c>
      <c r="AA1888" t="s">
        <v>40</v>
      </c>
      <c r="AD1888" t="s">
        <v>40</v>
      </c>
      <c r="AF1888" t="s">
        <v>40</v>
      </c>
      <c r="AG1888" t="s">
        <v>40</v>
      </c>
      <c r="AH1888" t="s">
        <v>40</v>
      </c>
      <c r="AI1888" t="s">
        <v>40</v>
      </c>
    </row>
    <row r="1889" spans="1:39" x14ac:dyDescent="0.3">
      <c r="A1889">
        <v>2020</v>
      </c>
      <c r="B1889">
        <v>4</v>
      </c>
      <c r="C1889" t="str">
        <f t="shared" si="58"/>
        <v>4/01/2020</v>
      </c>
      <c r="D1889" s="1" t="str">
        <f t="shared" si="59"/>
        <v>4/01/2020</v>
      </c>
      <c r="E1889" t="s">
        <v>55</v>
      </c>
      <c r="F1889" t="s">
        <v>51</v>
      </c>
      <c r="G1889" t="s">
        <v>47</v>
      </c>
      <c r="H1889" s="2">
        <v>1283</v>
      </c>
      <c r="I1889" s="2">
        <v>1258</v>
      </c>
      <c r="K1889">
        <v>213</v>
      </c>
      <c r="L1889">
        <v>48</v>
      </c>
      <c r="N1889">
        <v>21</v>
      </c>
      <c r="O1889">
        <v>26</v>
      </c>
      <c r="Q1889">
        <v>16</v>
      </c>
      <c r="R1889">
        <v>11</v>
      </c>
      <c r="S1889">
        <v>216</v>
      </c>
      <c r="T1889">
        <v>38</v>
      </c>
      <c r="U1889">
        <v>557</v>
      </c>
      <c r="V1889">
        <v>530</v>
      </c>
      <c r="W1889" s="1">
        <v>44160</v>
      </c>
      <c r="X1889" t="s">
        <v>56</v>
      </c>
      <c r="AA1889" t="s">
        <v>40</v>
      </c>
      <c r="AD1889" t="s">
        <v>40</v>
      </c>
      <c r="AG1889" t="s">
        <v>40</v>
      </c>
    </row>
    <row r="1890" spans="1:39" x14ac:dyDescent="0.3">
      <c r="A1890">
        <v>2020</v>
      </c>
      <c r="B1890">
        <v>4</v>
      </c>
      <c r="C1890" t="str">
        <f t="shared" si="58"/>
        <v>4/01/2020</v>
      </c>
      <c r="D1890" s="1" t="str">
        <f t="shared" si="59"/>
        <v>4/01/2020</v>
      </c>
      <c r="E1890" t="s">
        <v>55</v>
      </c>
      <c r="F1890" t="s">
        <v>51</v>
      </c>
      <c r="G1890" t="s">
        <v>48</v>
      </c>
      <c r="H1890" s="2">
        <v>1493</v>
      </c>
      <c r="I1890" s="2">
        <v>1468</v>
      </c>
      <c r="K1890">
        <v>214</v>
      </c>
      <c r="L1890">
        <v>66</v>
      </c>
      <c r="M1890">
        <v>26</v>
      </c>
      <c r="N1890">
        <v>40</v>
      </c>
      <c r="O1890">
        <v>31</v>
      </c>
      <c r="P1890">
        <v>13</v>
      </c>
      <c r="Q1890">
        <v>27</v>
      </c>
      <c r="S1890">
        <v>261</v>
      </c>
      <c r="T1890">
        <v>69</v>
      </c>
      <c r="U1890">
        <v>543</v>
      </c>
      <c r="V1890">
        <v>517</v>
      </c>
      <c r="W1890" s="1">
        <v>44160</v>
      </c>
      <c r="X1890" t="s">
        <v>56</v>
      </c>
      <c r="AA1890" t="s">
        <v>40</v>
      </c>
      <c r="AI1890" t="s">
        <v>40</v>
      </c>
    </row>
    <row r="1891" spans="1:39" x14ac:dyDescent="0.3">
      <c r="A1891">
        <v>2020</v>
      </c>
      <c r="B1891">
        <v>4</v>
      </c>
      <c r="C1891" t="str">
        <f t="shared" si="58"/>
        <v>4/01/2020</v>
      </c>
      <c r="D1891" s="1" t="str">
        <f t="shared" si="59"/>
        <v>4/01/2020</v>
      </c>
      <c r="E1891" t="s">
        <v>55</v>
      </c>
      <c r="F1891" t="s">
        <v>51</v>
      </c>
      <c r="G1891" t="s">
        <v>49</v>
      </c>
      <c r="H1891" s="2">
        <v>1460</v>
      </c>
      <c r="I1891" s="2">
        <v>1434</v>
      </c>
      <c r="K1891">
        <v>125</v>
      </c>
      <c r="L1891">
        <v>44</v>
      </c>
      <c r="M1891">
        <v>66</v>
      </c>
      <c r="N1891">
        <v>50</v>
      </c>
      <c r="O1891">
        <v>61</v>
      </c>
      <c r="P1891">
        <v>22</v>
      </c>
      <c r="Q1891">
        <v>33</v>
      </c>
      <c r="R1891">
        <v>16</v>
      </c>
      <c r="S1891">
        <v>337</v>
      </c>
      <c r="T1891">
        <v>69</v>
      </c>
      <c r="U1891">
        <v>404</v>
      </c>
      <c r="V1891">
        <v>376</v>
      </c>
      <c r="W1891" s="1">
        <v>44160</v>
      </c>
      <c r="X1891" t="s">
        <v>56</v>
      </c>
      <c r="AA1891" t="s">
        <v>40</v>
      </c>
    </row>
    <row r="1892" spans="1:39" x14ac:dyDescent="0.3">
      <c r="A1892">
        <v>2020</v>
      </c>
      <c r="B1892">
        <v>4</v>
      </c>
      <c r="C1892" t="str">
        <f t="shared" si="58"/>
        <v>4/01/2020</v>
      </c>
      <c r="D1892" s="1" t="str">
        <f t="shared" si="59"/>
        <v>4/01/2020</v>
      </c>
      <c r="E1892" t="s">
        <v>55</v>
      </c>
      <c r="F1892" t="s">
        <v>52</v>
      </c>
      <c r="G1892" t="s">
        <v>39</v>
      </c>
      <c r="H1892">
        <v>302</v>
      </c>
      <c r="I1892">
        <v>248</v>
      </c>
      <c r="J1892">
        <v>0</v>
      </c>
      <c r="L1892">
        <v>0</v>
      </c>
      <c r="M1892">
        <v>0</v>
      </c>
      <c r="O1892">
        <v>0</v>
      </c>
      <c r="R1892">
        <v>34</v>
      </c>
      <c r="U1892">
        <v>0</v>
      </c>
      <c r="V1892">
        <v>0</v>
      </c>
      <c r="W1892" s="1">
        <v>44160</v>
      </c>
      <c r="X1892" t="s">
        <v>56</v>
      </c>
      <c r="AB1892" t="s">
        <v>40</v>
      </c>
      <c r="AE1892" t="s">
        <v>40</v>
      </c>
      <c r="AG1892" t="s">
        <v>40</v>
      </c>
      <c r="AH1892" t="s">
        <v>40</v>
      </c>
      <c r="AJ1892" t="s">
        <v>40</v>
      </c>
      <c r="AK1892" t="s">
        <v>40</v>
      </c>
    </row>
    <row r="1893" spans="1:39" x14ac:dyDescent="0.3">
      <c r="A1893">
        <v>2020</v>
      </c>
      <c r="B1893">
        <v>4</v>
      </c>
      <c r="C1893" t="str">
        <f t="shared" si="58"/>
        <v>4/01/2020</v>
      </c>
      <c r="D1893" s="1" t="str">
        <f t="shared" si="59"/>
        <v>4/01/2020</v>
      </c>
      <c r="E1893" t="s">
        <v>55</v>
      </c>
      <c r="F1893" t="s">
        <v>52</v>
      </c>
      <c r="G1893" t="s">
        <v>41</v>
      </c>
      <c r="H1893">
        <v>556</v>
      </c>
      <c r="I1893">
        <v>117</v>
      </c>
      <c r="M1893">
        <v>0</v>
      </c>
      <c r="P1893">
        <v>0</v>
      </c>
      <c r="R1893">
        <v>19</v>
      </c>
      <c r="S1893">
        <v>17</v>
      </c>
      <c r="U1893">
        <v>15</v>
      </c>
      <c r="V1893">
        <v>14</v>
      </c>
      <c r="W1893" s="1">
        <v>44160</v>
      </c>
      <c r="X1893" t="s">
        <v>56</v>
      </c>
      <c r="AA1893" t="s">
        <v>40</v>
      </c>
      <c r="AB1893" t="s">
        <v>40</v>
      </c>
      <c r="AC1893" t="s">
        <v>40</v>
      </c>
      <c r="AE1893" t="s">
        <v>40</v>
      </c>
      <c r="AF1893" t="s">
        <v>40</v>
      </c>
      <c r="AH1893" t="s">
        <v>40</v>
      </c>
      <c r="AK1893" t="s">
        <v>40</v>
      </c>
    </row>
    <row r="1894" spans="1:39" x14ac:dyDescent="0.3">
      <c r="A1894">
        <v>2020</v>
      </c>
      <c r="B1894">
        <v>4</v>
      </c>
      <c r="C1894" t="str">
        <f t="shared" si="58"/>
        <v>4/01/2020</v>
      </c>
      <c r="D1894" s="1" t="str">
        <f t="shared" si="59"/>
        <v>4/01/2020</v>
      </c>
      <c r="E1894" t="s">
        <v>55</v>
      </c>
      <c r="F1894" t="s">
        <v>52</v>
      </c>
      <c r="G1894" t="s">
        <v>42</v>
      </c>
      <c r="H1894" s="2">
        <v>1014</v>
      </c>
      <c r="I1894">
        <v>365</v>
      </c>
      <c r="K1894">
        <v>33</v>
      </c>
      <c r="L1894">
        <v>24</v>
      </c>
      <c r="M1894">
        <v>0</v>
      </c>
      <c r="R1894">
        <v>21</v>
      </c>
      <c r="S1894">
        <v>61</v>
      </c>
      <c r="U1894">
        <v>99</v>
      </c>
      <c r="V1894">
        <v>95</v>
      </c>
      <c r="W1894" s="1">
        <v>44160</v>
      </c>
      <c r="X1894" t="s">
        <v>56</v>
      </c>
      <c r="AA1894" t="s">
        <v>40</v>
      </c>
      <c r="AE1894" t="s">
        <v>40</v>
      </c>
      <c r="AF1894" t="s">
        <v>40</v>
      </c>
      <c r="AG1894" t="s">
        <v>40</v>
      </c>
      <c r="AH1894" t="s">
        <v>40</v>
      </c>
      <c r="AK1894" t="s">
        <v>40</v>
      </c>
    </row>
    <row r="1895" spans="1:39" x14ac:dyDescent="0.3">
      <c r="A1895">
        <v>2020</v>
      </c>
      <c r="B1895">
        <v>4</v>
      </c>
      <c r="C1895" t="str">
        <f t="shared" si="58"/>
        <v>4/01/2020</v>
      </c>
      <c r="D1895" s="1" t="str">
        <f t="shared" si="59"/>
        <v>4/01/2020</v>
      </c>
      <c r="E1895" t="s">
        <v>55</v>
      </c>
      <c r="F1895" t="s">
        <v>52</v>
      </c>
      <c r="G1895" t="s">
        <v>43</v>
      </c>
      <c r="H1895" s="2">
        <v>1283</v>
      </c>
      <c r="I1895">
        <v>836</v>
      </c>
      <c r="J1895">
        <v>12</v>
      </c>
      <c r="K1895">
        <v>61</v>
      </c>
      <c r="L1895">
        <v>56</v>
      </c>
      <c r="M1895">
        <v>0</v>
      </c>
      <c r="N1895">
        <v>16</v>
      </c>
      <c r="O1895">
        <v>13</v>
      </c>
      <c r="P1895">
        <v>13</v>
      </c>
      <c r="Q1895">
        <v>15</v>
      </c>
      <c r="R1895">
        <v>33</v>
      </c>
      <c r="S1895">
        <v>190</v>
      </c>
      <c r="T1895">
        <v>37</v>
      </c>
      <c r="U1895">
        <v>230</v>
      </c>
      <c r="V1895">
        <v>215</v>
      </c>
      <c r="W1895" s="1">
        <v>44160</v>
      </c>
      <c r="X1895" t="s">
        <v>56</v>
      </c>
    </row>
    <row r="1896" spans="1:39" x14ac:dyDescent="0.3">
      <c r="A1896">
        <v>2020</v>
      </c>
      <c r="B1896">
        <v>4</v>
      </c>
      <c r="C1896" t="str">
        <f t="shared" si="58"/>
        <v>4/01/2020</v>
      </c>
      <c r="D1896" s="1" t="str">
        <f t="shared" si="59"/>
        <v>4/01/2020</v>
      </c>
      <c r="E1896" t="s">
        <v>55</v>
      </c>
      <c r="F1896" t="s">
        <v>52</v>
      </c>
      <c r="G1896" t="s">
        <v>44</v>
      </c>
      <c r="H1896" s="2">
        <v>2476</v>
      </c>
      <c r="I1896" s="2">
        <v>2113</v>
      </c>
      <c r="J1896">
        <v>35</v>
      </c>
      <c r="K1896">
        <v>211</v>
      </c>
      <c r="L1896">
        <v>114</v>
      </c>
      <c r="N1896">
        <v>37</v>
      </c>
      <c r="O1896">
        <v>27</v>
      </c>
      <c r="P1896">
        <v>12</v>
      </c>
      <c r="Q1896">
        <v>48</v>
      </c>
      <c r="R1896">
        <v>31</v>
      </c>
      <c r="S1896">
        <v>486</v>
      </c>
      <c r="T1896">
        <v>69</v>
      </c>
      <c r="U1896">
        <v>690</v>
      </c>
      <c r="V1896">
        <v>660</v>
      </c>
      <c r="W1896" s="1">
        <v>44160</v>
      </c>
      <c r="X1896" t="s">
        <v>56</v>
      </c>
      <c r="AD1896" t="s">
        <v>40</v>
      </c>
    </row>
    <row r="1897" spans="1:39" x14ac:dyDescent="0.3">
      <c r="A1897">
        <v>2020</v>
      </c>
      <c r="B1897">
        <v>4</v>
      </c>
      <c r="C1897" t="str">
        <f t="shared" si="58"/>
        <v>4/01/2020</v>
      </c>
      <c r="D1897" s="1" t="str">
        <f t="shared" si="59"/>
        <v>4/01/2020</v>
      </c>
      <c r="E1897" t="s">
        <v>55</v>
      </c>
      <c r="F1897" t="s">
        <v>52</v>
      </c>
      <c r="G1897" t="s">
        <v>45</v>
      </c>
      <c r="H1897">
        <v>77</v>
      </c>
      <c r="I1897">
        <v>36</v>
      </c>
      <c r="J1897">
        <v>0</v>
      </c>
      <c r="L1897">
        <v>0</v>
      </c>
      <c r="M1897">
        <v>0</v>
      </c>
      <c r="Q1897">
        <v>0</v>
      </c>
      <c r="W1897" s="1">
        <v>44160</v>
      </c>
      <c r="X1897" t="s">
        <v>56</v>
      </c>
      <c r="AB1897" t="s">
        <v>40</v>
      </c>
      <c r="AE1897" t="s">
        <v>40</v>
      </c>
      <c r="AF1897" t="s">
        <v>40</v>
      </c>
      <c r="AG1897" t="s">
        <v>40</v>
      </c>
      <c r="AI1897" t="s">
        <v>40</v>
      </c>
      <c r="AJ1897" t="s">
        <v>40</v>
      </c>
      <c r="AK1897" t="s">
        <v>40</v>
      </c>
      <c r="AL1897" t="s">
        <v>40</v>
      </c>
      <c r="AM1897" t="s">
        <v>40</v>
      </c>
    </row>
    <row r="1898" spans="1:39" x14ac:dyDescent="0.3">
      <c r="A1898">
        <v>2020</v>
      </c>
      <c r="B1898">
        <v>4</v>
      </c>
      <c r="C1898" t="str">
        <f t="shared" si="58"/>
        <v>4/01/2020</v>
      </c>
      <c r="D1898" s="1" t="str">
        <f t="shared" si="59"/>
        <v>4/01/2020</v>
      </c>
      <c r="E1898" t="s">
        <v>55</v>
      </c>
      <c r="F1898" t="s">
        <v>52</v>
      </c>
      <c r="G1898" t="s">
        <v>46</v>
      </c>
      <c r="H1898" s="2">
        <v>5478</v>
      </c>
      <c r="I1898" s="2">
        <v>5065</v>
      </c>
      <c r="J1898">
        <v>65</v>
      </c>
      <c r="K1898">
        <v>772</v>
      </c>
      <c r="L1898">
        <v>248</v>
      </c>
      <c r="N1898">
        <v>88</v>
      </c>
      <c r="O1898">
        <v>123</v>
      </c>
      <c r="P1898">
        <v>49</v>
      </c>
      <c r="Q1898">
        <v>108</v>
      </c>
      <c r="R1898">
        <v>52</v>
      </c>
      <c r="S1898" s="2">
        <v>1088</v>
      </c>
      <c r="T1898">
        <v>188</v>
      </c>
      <c r="U1898" s="2">
        <v>1681</v>
      </c>
      <c r="V1898" s="2">
        <v>1594</v>
      </c>
      <c r="W1898" s="1">
        <v>44160</v>
      </c>
      <c r="X1898" t="s">
        <v>56</v>
      </c>
      <c r="AD1898" t="s">
        <v>40</v>
      </c>
    </row>
    <row r="1899" spans="1:39" x14ac:dyDescent="0.3">
      <c r="A1899">
        <v>2020</v>
      </c>
      <c r="B1899">
        <v>4</v>
      </c>
      <c r="C1899" t="str">
        <f t="shared" si="58"/>
        <v>4/01/2020</v>
      </c>
      <c r="D1899" s="1" t="str">
        <f t="shared" si="59"/>
        <v>4/01/2020</v>
      </c>
      <c r="E1899" t="s">
        <v>55</v>
      </c>
      <c r="F1899" t="s">
        <v>52</v>
      </c>
      <c r="G1899" t="s">
        <v>47</v>
      </c>
      <c r="H1899" s="2">
        <v>7014</v>
      </c>
      <c r="I1899" s="2">
        <v>6839</v>
      </c>
      <c r="J1899">
        <v>87</v>
      </c>
      <c r="K1899">
        <v>974</v>
      </c>
      <c r="L1899">
        <v>294</v>
      </c>
      <c r="M1899">
        <v>38</v>
      </c>
      <c r="N1899">
        <v>129</v>
      </c>
      <c r="O1899">
        <v>190</v>
      </c>
      <c r="P1899">
        <v>82</v>
      </c>
      <c r="Q1899">
        <v>144</v>
      </c>
      <c r="R1899">
        <v>48</v>
      </c>
      <c r="S1899" s="2">
        <v>1328</v>
      </c>
      <c r="T1899">
        <v>258</v>
      </c>
      <c r="U1899" s="2">
        <v>2592</v>
      </c>
      <c r="V1899" s="2">
        <v>2474</v>
      </c>
      <c r="W1899" s="1">
        <v>44160</v>
      </c>
      <c r="X1899" t="s">
        <v>56</v>
      </c>
    </row>
    <row r="1900" spans="1:39" x14ac:dyDescent="0.3">
      <c r="A1900">
        <v>2020</v>
      </c>
      <c r="B1900">
        <v>4</v>
      </c>
      <c r="C1900" t="str">
        <f t="shared" si="58"/>
        <v>4/01/2020</v>
      </c>
      <c r="D1900" s="1" t="str">
        <f t="shared" si="59"/>
        <v>4/01/2020</v>
      </c>
      <c r="E1900" t="s">
        <v>55</v>
      </c>
      <c r="F1900" t="s">
        <v>52</v>
      </c>
      <c r="G1900" t="s">
        <v>48</v>
      </c>
      <c r="H1900" s="2">
        <v>5804</v>
      </c>
      <c r="I1900" s="2">
        <v>5728</v>
      </c>
      <c r="J1900">
        <v>63</v>
      </c>
      <c r="K1900">
        <v>637</v>
      </c>
      <c r="L1900">
        <v>214</v>
      </c>
      <c r="M1900">
        <v>125</v>
      </c>
      <c r="N1900">
        <v>118</v>
      </c>
      <c r="O1900">
        <v>170</v>
      </c>
      <c r="P1900">
        <v>51</v>
      </c>
      <c r="Q1900">
        <v>122</v>
      </c>
      <c r="R1900">
        <v>41</v>
      </c>
      <c r="S1900" s="2">
        <v>1041</v>
      </c>
      <c r="T1900">
        <v>219</v>
      </c>
      <c r="U1900" s="2">
        <v>2330</v>
      </c>
      <c r="V1900" s="2">
        <v>2230</v>
      </c>
      <c r="W1900" s="1">
        <v>44160</v>
      </c>
      <c r="X1900" t="s">
        <v>56</v>
      </c>
    </row>
    <row r="1901" spans="1:39" x14ac:dyDescent="0.3">
      <c r="A1901">
        <v>2020</v>
      </c>
      <c r="B1901">
        <v>4</v>
      </c>
      <c r="C1901" t="str">
        <f t="shared" si="58"/>
        <v>4/01/2020</v>
      </c>
      <c r="D1901" s="1" t="str">
        <f t="shared" si="59"/>
        <v>4/01/2020</v>
      </c>
      <c r="E1901" t="s">
        <v>55</v>
      </c>
      <c r="F1901" t="s">
        <v>52</v>
      </c>
      <c r="G1901" t="s">
        <v>49</v>
      </c>
      <c r="H1901" s="2">
        <v>3480</v>
      </c>
      <c r="I1901" s="2">
        <v>3447</v>
      </c>
      <c r="J1901">
        <v>33</v>
      </c>
      <c r="K1901">
        <v>273</v>
      </c>
      <c r="L1901">
        <v>102</v>
      </c>
      <c r="M1901">
        <v>133</v>
      </c>
      <c r="N1901">
        <v>68</v>
      </c>
      <c r="O1901">
        <v>81</v>
      </c>
      <c r="P1901">
        <v>31</v>
      </c>
      <c r="Q1901">
        <v>66</v>
      </c>
      <c r="R1901">
        <v>29</v>
      </c>
      <c r="S1901">
        <v>765</v>
      </c>
      <c r="T1901">
        <v>159</v>
      </c>
      <c r="U1901" s="2">
        <v>1248</v>
      </c>
      <c r="V1901" s="2">
        <v>1185</v>
      </c>
      <c r="W1901" s="1">
        <v>44160</v>
      </c>
      <c r="X1901" t="s">
        <v>56</v>
      </c>
    </row>
    <row r="1902" spans="1:39" x14ac:dyDescent="0.3">
      <c r="A1902">
        <v>2020</v>
      </c>
      <c r="B1902">
        <v>4</v>
      </c>
      <c r="C1902" t="str">
        <f t="shared" si="58"/>
        <v>4/01/2020</v>
      </c>
      <c r="D1902" s="1" t="str">
        <f t="shared" si="59"/>
        <v>4/01/2020</v>
      </c>
      <c r="E1902" t="s">
        <v>55</v>
      </c>
      <c r="F1902" t="s">
        <v>53</v>
      </c>
      <c r="G1902" t="s">
        <v>39</v>
      </c>
      <c r="H1902">
        <v>410</v>
      </c>
      <c r="I1902">
        <v>345</v>
      </c>
      <c r="L1902">
        <v>0</v>
      </c>
      <c r="M1902">
        <v>0</v>
      </c>
      <c r="O1902">
        <v>0</v>
      </c>
      <c r="Q1902">
        <v>0</v>
      </c>
      <c r="R1902">
        <v>48</v>
      </c>
      <c r="W1902" s="1">
        <v>44160</v>
      </c>
      <c r="X1902" t="s">
        <v>56</v>
      </c>
      <c r="AA1902" t="s">
        <v>40</v>
      </c>
      <c r="AB1902" t="s">
        <v>40</v>
      </c>
      <c r="AE1902" t="s">
        <v>40</v>
      </c>
      <c r="AG1902" t="s">
        <v>40</v>
      </c>
      <c r="AJ1902" t="s">
        <v>40</v>
      </c>
      <c r="AK1902" t="s">
        <v>40</v>
      </c>
      <c r="AL1902" t="s">
        <v>40</v>
      </c>
      <c r="AM1902" t="s">
        <v>40</v>
      </c>
    </row>
    <row r="1903" spans="1:39" x14ac:dyDescent="0.3">
      <c r="A1903">
        <v>2020</v>
      </c>
      <c r="B1903">
        <v>4</v>
      </c>
      <c r="C1903" t="str">
        <f t="shared" si="58"/>
        <v>4/01/2020</v>
      </c>
      <c r="D1903" s="1" t="str">
        <f t="shared" si="59"/>
        <v>4/01/2020</v>
      </c>
      <c r="E1903" t="s">
        <v>55</v>
      </c>
      <c r="F1903" t="s">
        <v>53</v>
      </c>
      <c r="G1903" t="s">
        <v>41</v>
      </c>
      <c r="H1903">
        <v>923</v>
      </c>
      <c r="I1903">
        <v>174</v>
      </c>
      <c r="K1903">
        <v>37</v>
      </c>
      <c r="M1903">
        <v>0</v>
      </c>
      <c r="R1903">
        <v>18</v>
      </c>
      <c r="S1903">
        <v>19</v>
      </c>
      <c r="U1903">
        <v>10</v>
      </c>
      <c r="W1903" s="1">
        <v>44160</v>
      </c>
      <c r="X1903" t="s">
        <v>56</v>
      </c>
      <c r="AA1903" t="s">
        <v>40</v>
      </c>
      <c r="AC1903" t="s">
        <v>40</v>
      </c>
      <c r="AE1903" t="s">
        <v>40</v>
      </c>
      <c r="AF1903" t="s">
        <v>40</v>
      </c>
      <c r="AG1903" t="s">
        <v>40</v>
      </c>
      <c r="AH1903" t="s">
        <v>40</v>
      </c>
      <c r="AK1903" t="s">
        <v>40</v>
      </c>
      <c r="AM1903" t="s">
        <v>40</v>
      </c>
    </row>
    <row r="1904" spans="1:39" x14ac:dyDescent="0.3">
      <c r="A1904">
        <v>2020</v>
      </c>
      <c r="B1904">
        <v>4</v>
      </c>
      <c r="C1904" t="str">
        <f t="shared" si="58"/>
        <v>4/01/2020</v>
      </c>
      <c r="D1904" s="1" t="str">
        <f t="shared" si="59"/>
        <v>4/01/2020</v>
      </c>
      <c r="E1904" t="s">
        <v>55</v>
      </c>
      <c r="F1904" t="s">
        <v>53</v>
      </c>
      <c r="G1904" t="s">
        <v>42</v>
      </c>
      <c r="H1904" s="2">
        <v>2324</v>
      </c>
      <c r="I1904">
        <v>640</v>
      </c>
      <c r="K1904">
        <v>71</v>
      </c>
      <c r="L1904">
        <v>31</v>
      </c>
      <c r="M1904">
        <v>0</v>
      </c>
      <c r="N1904">
        <v>13</v>
      </c>
      <c r="Q1904">
        <v>11</v>
      </c>
      <c r="R1904">
        <v>93</v>
      </c>
      <c r="S1904">
        <v>98</v>
      </c>
      <c r="T1904">
        <v>11</v>
      </c>
      <c r="U1904">
        <v>48</v>
      </c>
      <c r="V1904">
        <v>44</v>
      </c>
      <c r="W1904" s="1">
        <v>44160</v>
      </c>
      <c r="X1904" t="s">
        <v>56</v>
      </c>
      <c r="AA1904" t="s">
        <v>40</v>
      </c>
      <c r="AF1904" t="s">
        <v>40</v>
      </c>
      <c r="AG1904" t="s">
        <v>40</v>
      </c>
    </row>
    <row r="1905" spans="1:39" x14ac:dyDescent="0.3">
      <c r="A1905">
        <v>2020</v>
      </c>
      <c r="B1905">
        <v>4</v>
      </c>
      <c r="C1905" t="str">
        <f t="shared" si="58"/>
        <v>4/01/2020</v>
      </c>
      <c r="D1905" s="1" t="str">
        <f t="shared" si="59"/>
        <v>4/01/2020</v>
      </c>
      <c r="E1905" t="s">
        <v>55</v>
      </c>
      <c r="F1905" t="s">
        <v>53</v>
      </c>
      <c r="G1905" t="s">
        <v>43</v>
      </c>
      <c r="H1905" s="2">
        <v>3188</v>
      </c>
      <c r="I1905" s="2">
        <v>1580</v>
      </c>
      <c r="J1905">
        <v>24</v>
      </c>
      <c r="K1905">
        <v>210</v>
      </c>
      <c r="L1905">
        <v>68</v>
      </c>
      <c r="N1905">
        <v>38</v>
      </c>
      <c r="O1905">
        <v>22</v>
      </c>
      <c r="P1905">
        <v>24</v>
      </c>
      <c r="Q1905">
        <v>20</v>
      </c>
      <c r="R1905">
        <v>87</v>
      </c>
      <c r="S1905">
        <v>374</v>
      </c>
      <c r="T1905">
        <v>60</v>
      </c>
      <c r="U1905">
        <v>96</v>
      </c>
      <c r="V1905">
        <v>88</v>
      </c>
      <c r="W1905" s="1">
        <v>44160</v>
      </c>
      <c r="X1905" t="s">
        <v>56</v>
      </c>
      <c r="AD1905" t="s">
        <v>40</v>
      </c>
    </row>
    <row r="1906" spans="1:39" x14ac:dyDescent="0.3">
      <c r="A1906">
        <v>2020</v>
      </c>
      <c r="B1906">
        <v>4</v>
      </c>
      <c r="C1906" t="str">
        <f t="shared" si="58"/>
        <v>4/01/2020</v>
      </c>
      <c r="D1906" s="1" t="str">
        <f t="shared" si="59"/>
        <v>4/01/2020</v>
      </c>
      <c r="E1906" t="s">
        <v>55</v>
      </c>
      <c r="F1906" t="s">
        <v>53</v>
      </c>
      <c r="G1906" t="s">
        <v>44</v>
      </c>
      <c r="H1906" s="2">
        <v>5913</v>
      </c>
      <c r="I1906" s="2">
        <v>4560</v>
      </c>
      <c r="J1906">
        <v>58</v>
      </c>
      <c r="K1906">
        <v>971</v>
      </c>
      <c r="L1906">
        <v>247</v>
      </c>
      <c r="N1906">
        <v>65</v>
      </c>
      <c r="O1906">
        <v>118</v>
      </c>
      <c r="P1906">
        <v>47</v>
      </c>
      <c r="Q1906">
        <v>50</v>
      </c>
      <c r="R1906">
        <v>90</v>
      </c>
      <c r="S1906" s="2">
        <v>1172</v>
      </c>
      <c r="T1906">
        <v>140</v>
      </c>
      <c r="U1906">
        <v>467</v>
      </c>
      <c r="V1906">
        <v>452</v>
      </c>
      <c r="W1906" s="1">
        <v>44160</v>
      </c>
      <c r="X1906" t="s">
        <v>56</v>
      </c>
      <c r="AD1906" t="s">
        <v>40</v>
      </c>
    </row>
    <row r="1907" spans="1:39" x14ac:dyDescent="0.3">
      <c r="A1907">
        <v>2020</v>
      </c>
      <c r="B1907">
        <v>4</v>
      </c>
      <c r="C1907" t="str">
        <f t="shared" si="58"/>
        <v>4/01/2020</v>
      </c>
      <c r="D1907" s="1" t="str">
        <f t="shared" si="59"/>
        <v>4/01/2020</v>
      </c>
      <c r="E1907" t="s">
        <v>55</v>
      </c>
      <c r="F1907" t="s">
        <v>53</v>
      </c>
      <c r="G1907" t="s">
        <v>45</v>
      </c>
      <c r="H1907">
        <v>108</v>
      </c>
      <c r="I1907">
        <v>58</v>
      </c>
      <c r="J1907">
        <v>0</v>
      </c>
      <c r="K1907">
        <v>19</v>
      </c>
      <c r="M1907">
        <v>0</v>
      </c>
      <c r="N1907">
        <v>0</v>
      </c>
      <c r="P1907">
        <v>0</v>
      </c>
      <c r="Q1907">
        <v>0</v>
      </c>
      <c r="T1907">
        <v>0</v>
      </c>
      <c r="V1907">
        <v>0</v>
      </c>
      <c r="W1907" s="1">
        <v>44160</v>
      </c>
      <c r="X1907" t="s">
        <v>56</v>
      </c>
      <c r="AC1907" t="s">
        <v>40</v>
      </c>
      <c r="AF1907" t="s">
        <v>40</v>
      </c>
      <c r="AI1907" t="s">
        <v>40</v>
      </c>
      <c r="AJ1907" t="s">
        <v>40</v>
      </c>
      <c r="AL1907" t="s">
        <v>40</v>
      </c>
    </row>
    <row r="1908" spans="1:39" x14ac:dyDescent="0.3">
      <c r="A1908">
        <v>2020</v>
      </c>
      <c r="B1908">
        <v>4</v>
      </c>
      <c r="C1908" t="str">
        <f t="shared" si="58"/>
        <v>4/01/2020</v>
      </c>
      <c r="D1908" s="1" t="str">
        <f t="shared" si="59"/>
        <v>4/01/2020</v>
      </c>
      <c r="E1908" t="s">
        <v>55</v>
      </c>
      <c r="F1908" t="s">
        <v>53</v>
      </c>
      <c r="G1908" t="s">
        <v>46</v>
      </c>
      <c r="H1908" s="2">
        <v>15203</v>
      </c>
      <c r="I1908" s="2">
        <v>13693</v>
      </c>
      <c r="J1908">
        <v>169</v>
      </c>
      <c r="K1908" s="2">
        <v>3477</v>
      </c>
      <c r="L1908">
        <v>549</v>
      </c>
      <c r="M1908">
        <v>40</v>
      </c>
      <c r="N1908">
        <v>257</v>
      </c>
      <c r="O1908">
        <v>685</v>
      </c>
      <c r="P1908">
        <v>173</v>
      </c>
      <c r="Q1908">
        <v>159</v>
      </c>
      <c r="R1908">
        <v>156</v>
      </c>
      <c r="S1908" s="2">
        <v>3377</v>
      </c>
      <c r="T1908">
        <v>421</v>
      </c>
      <c r="U1908" s="2">
        <v>1619</v>
      </c>
      <c r="V1908" s="2">
        <v>1534</v>
      </c>
      <c r="W1908" s="1">
        <v>44160</v>
      </c>
      <c r="X1908" t="s">
        <v>56</v>
      </c>
    </row>
    <row r="1909" spans="1:39" x14ac:dyDescent="0.3">
      <c r="A1909">
        <v>2020</v>
      </c>
      <c r="B1909">
        <v>4</v>
      </c>
      <c r="C1909" t="str">
        <f t="shared" si="58"/>
        <v>4/01/2020</v>
      </c>
      <c r="D1909" s="1" t="str">
        <f t="shared" si="59"/>
        <v>4/01/2020</v>
      </c>
      <c r="E1909" t="s">
        <v>55</v>
      </c>
      <c r="F1909" t="s">
        <v>53</v>
      </c>
      <c r="G1909" t="s">
        <v>47</v>
      </c>
      <c r="H1909" s="2">
        <v>24653</v>
      </c>
      <c r="I1909" s="2">
        <v>23730</v>
      </c>
      <c r="J1909">
        <v>278</v>
      </c>
      <c r="K1909" s="2">
        <v>6120</v>
      </c>
      <c r="L1909">
        <v>939</v>
      </c>
      <c r="M1909">
        <v>233</v>
      </c>
      <c r="N1909">
        <v>457</v>
      </c>
      <c r="O1909" s="2">
        <v>1483</v>
      </c>
      <c r="P1909">
        <v>422</v>
      </c>
      <c r="Q1909">
        <v>325</v>
      </c>
      <c r="R1909">
        <v>179</v>
      </c>
      <c r="S1909" s="2">
        <v>5142</v>
      </c>
      <c r="T1909">
        <v>760</v>
      </c>
      <c r="U1909" s="2">
        <v>3616</v>
      </c>
      <c r="V1909" s="2">
        <v>3452</v>
      </c>
      <c r="W1909" s="1">
        <v>44160</v>
      </c>
      <c r="X1909" t="s">
        <v>56</v>
      </c>
    </row>
    <row r="1910" spans="1:39" x14ac:dyDescent="0.3">
      <c r="A1910">
        <v>2020</v>
      </c>
      <c r="B1910">
        <v>4</v>
      </c>
      <c r="C1910" t="str">
        <f t="shared" si="58"/>
        <v>4/01/2020</v>
      </c>
      <c r="D1910" s="1" t="str">
        <f t="shared" si="59"/>
        <v>4/01/2020</v>
      </c>
      <c r="E1910" t="s">
        <v>55</v>
      </c>
      <c r="F1910" t="s">
        <v>53</v>
      </c>
      <c r="G1910" t="s">
        <v>48</v>
      </c>
      <c r="H1910" s="2">
        <v>29960</v>
      </c>
      <c r="I1910" s="2">
        <v>29067</v>
      </c>
      <c r="J1910">
        <v>329</v>
      </c>
      <c r="K1910" s="2">
        <v>5572</v>
      </c>
      <c r="L1910">
        <v>812</v>
      </c>
      <c r="M1910" s="2">
        <v>1020</v>
      </c>
      <c r="N1910">
        <v>611</v>
      </c>
      <c r="O1910" s="2">
        <v>1835</v>
      </c>
      <c r="P1910">
        <v>477</v>
      </c>
      <c r="Q1910">
        <v>456</v>
      </c>
      <c r="R1910">
        <v>180</v>
      </c>
      <c r="S1910" s="2">
        <v>6343</v>
      </c>
      <c r="T1910" s="2">
        <v>1223</v>
      </c>
      <c r="U1910" s="2">
        <v>5194</v>
      </c>
      <c r="V1910" s="2">
        <v>4928</v>
      </c>
      <c r="W1910" s="1">
        <v>44160</v>
      </c>
      <c r="X1910" t="s">
        <v>56</v>
      </c>
    </row>
    <row r="1911" spans="1:39" x14ac:dyDescent="0.3">
      <c r="A1911">
        <v>2020</v>
      </c>
      <c r="B1911">
        <v>4</v>
      </c>
      <c r="C1911" t="str">
        <f t="shared" si="58"/>
        <v>4/01/2020</v>
      </c>
      <c r="D1911" s="1" t="str">
        <f t="shared" si="59"/>
        <v>4/01/2020</v>
      </c>
      <c r="E1911" t="s">
        <v>55</v>
      </c>
      <c r="F1911" t="s">
        <v>53</v>
      </c>
      <c r="G1911" t="s">
        <v>49</v>
      </c>
      <c r="H1911" s="2">
        <v>30811</v>
      </c>
      <c r="I1911" s="2">
        <v>29991</v>
      </c>
      <c r="J1911">
        <v>271</v>
      </c>
      <c r="K1911" s="2">
        <v>3286</v>
      </c>
      <c r="L1911">
        <v>562</v>
      </c>
      <c r="M1911" s="2">
        <v>1684</v>
      </c>
      <c r="N1911">
        <v>667</v>
      </c>
      <c r="O1911" s="2">
        <v>1304</v>
      </c>
      <c r="P1911">
        <v>437</v>
      </c>
      <c r="Q1911">
        <v>523</v>
      </c>
      <c r="R1911">
        <v>312</v>
      </c>
      <c r="S1911" s="2">
        <v>7776</v>
      </c>
      <c r="T1911" s="2">
        <v>1511</v>
      </c>
      <c r="U1911" s="2">
        <v>5826</v>
      </c>
      <c r="V1911" s="2">
        <v>5486</v>
      </c>
      <c r="W1911" s="1">
        <v>44160</v>
      </c>
      <c r="X1911" t="s">
        <v>56</v>
      </c>
    </row>
    <row r="1912" spans="1:39" x14ac:dyDescent="0.3">
      <c r="A1912">
        <v>2020</v>
      </c>
      <c r="B1912">
        <v>4</v>
      </c>
      <c r="C1912" t="str">
        <f t="shared" si="58"/>
        <v>4/01/2020</v>
      </c>
      <c r="D1912" s="1" t="str">
        <f t="shared" si="59"/>
        <v>4/01/2020</v>
      </c>
      <c r="E1912" t="s">
        <v>55</v>
      </c>
      <c r="F1912" t="s">
        <v>54</v>
      </c>
      <c r="G1912" t="s">
        <v>39</v>
      </c>
      <c r="H1912">
        <v>55</v>
      </c>
      <c r="I1912">
        <v>49</v>
      </c>
      <c r="L1912">
        <v>0</v>
      </c>
      <c r="M1912">
        <v>0</v>
      </c>
      <c r="O1912">
        <v>0</v>
      </c>
      <c r="Q1912">
        <v>0</v>
      </c>
      <c r="R1912">
        <v>10</v>
      </c>
      <c r="S1912">
        <v>0</v>
      </c>
      <c r="T1912">
        <v>0</v>
      </c>
      <c r="U1912">
        <v>0</v>
      </c>
      <c r="V1912">
        <v>0</v>
      </c>
      <c r="W1912" s="1">
        <v>44160</v>
      </c>
      <c r="X1912" t="s">
        <v>56</v>
      </c>
      <c r="AA1912" t="s">
        <v>40</v>
      </c>
      <c r="AB1912" t="s">
        <v>40</v>
      </c>
      <c r="AE1912" t="s">
        <v>40</v>
      </c>
      <c r="AG1912" t="s">
        <v>40</v>
      </c>
    </row>
    <row r="1913" spans="1:39" x14ac:dyDescent="0.3">
      <c r="A1913">
        <v>2020</v>
      </c>
      <c r="B1913">
        <v>4</v>
      </c>
      <c r="C1913" t="str">
        <f t="shared" si="58"/>
        <v>4/01/2020</v>
      </c>
      <c r="D1913" s="1" t="str">
        <f t="shared" si="59"/>
        <v>4/01/2020</v>
      </c>
      <c r="E1913" t="s">
        <v>55</v>
      </c>
      <c r="F1913" t="s">
        <v>54</v>
      </c>
      <c r="G1913" t="s">
        <v>41</v>
      </c>
      <c r="H1913">
        <v>45</v>
      </c>
      <c r="I1913">
        <v>13</v>
      </c>
      <c r="M1913">
        <v>0</v>
      </c>
      <c r="N1913">
        <v>0</v>
      </c>
      <c r="O1913">
        <v>0</v>
      </c>
      <c r="P1913">
        <v>0</v>
      </c>
      <c r="Q1913">
        <v>0</v>
      </c>
      <c r="T1913">
        <v>0</v>
      </c>
      <c r="W1913" s="1">
        <v>44160</v>
      </c>
      <c r="X1913" t="s">
        <v>56</v>
      </c>
      <c r="AA1913" t="s">
        <v>40</v>
      </c>
      <c r="AB1913" t="s">
        <v>40</v>
      </c>
      <c r="AC1913" t="s">
        <v>40</v>
      </c>
      <c r="AI1913" t="s">
        <v>40</v>
      </c>
      <c r="AJ1913" t="s">
        <v>40</v>
      </c>
      <c r="AL1913" t="s">
        <v>40</v>
      </c>
      <c r="AM1913" t="s">
        <v>40</v>
      </c>
    </row>
    <row r="1914" spans="1:39" x14ac:dyDescent="0.3">
      <c r="A1914">
        <v>2020</v>
      </c>
      <c r="B1914">
        <v>4</v>
      </c>
      <c r="C1914" t="str">
        <f t="shared" si="58"/>
        <v>4/01/2020</v>
      </c>
      <c r="D1914" s="1" t="str">
        <f t="shared" si="59"/>
        <v>4/01/2020</v>
      </c>
      <c r="E1914" t="s">
        <v>55</v>
      </c>
      <c r="F1914" t="s">
        <v>54</v>
      </c>
      <c r="G1914" t="s">
        <v>42</v>
      </c>
      <c r="H1914">
        <v>80</v>
      </c>
      <c r="I1914">
        <v>27</v>
      </c>
      <c r="J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T1914">
        <v>0</v>
      </c>
      <c r="W1914" s="1">
        <v>44160</v>
      </c>
      <c r="X1914" t="s">
        <v>56</v>
      </c>
      <c r="AB1914" t="s">
        <v>40</v>
      </c>
      <c r="AI1914" t="s">
        <v>40</v>
      </c>
      <c r="AJ1914" t="s">
        <v>40</v>
      </c>
      <c r="AL1914" t="s">
        <v>40</v>
      </c>
      <c r="AM1914" t="s">
        <v>40</v>
      </c>
    </row>
    <row r="1915" spans="1:39" x14ac:dyDescent="0.3">
      <c r="A1915">
        <v>2020</v>
      </c>
      <c r="B1915">
        <v>4</v>
      </c>
      <c r="C1915" t="str">
        <f t="shared" si="58"/>
        <v>4/01/2020</v>
      </c>
      <c r="D1915" s="1" t="str">
        <f t="shared" si="59"/>
        <v>4/01/2020</v>
      </c>
      <c r="E1915" t="s">
        <v>55</v>
      </c>
      <c r="F1915" t="s">
        <v>54</v>
      </c>
      <c r="G1915" t="s">
        <v>43</v>
      </c>
      <c r="H1915">
        <v>92</v>
      </c>
      <c r="I1915">
        <v>52</v>
      </c>
      <c r="M1915">
        <v>0</v>
      </c>
      <c r="N1915">
        <v>0</v>
      </c>
      <c r="P1915">
        <v>0</v>
      </c>
      <c r="Q1915">
        <v>0</v>
      </c>
      <c r="U1915">
        <v>10</v>
      </c>
      <c r="W1915" s="1">
        <v>44160</v>
      </c>
      <c r="X1915" t="s">
        <v>56</v>
      </c>
      <c r="AA1915" t="s">
        <v>40</v>
      </c>
      <c r="AB1915" t="s">
        <v>40</v>
      </c>
      <c r="AC1915" t="s">
        <v>40</v>
      </c>
      <c r="AF1915" t="s">
        <v>40</v>
      </c>
      <c r="AI1915" t="s">
        <v>40</v>
      </c>
      <c r="AJ1915" t="s">
        <v>40</v>
      </c>
      <c r="AK1915" t="s">
        <v>40</v>
      </c>
      <c r="AM1915" t="s">
        <v>40</v>
      </c>
    </row>
    <row r="1916" spans="1:39" x14ac:dyDescent="0.3">
      <c r="A1916">
        <v>2020</v>
      </c>
      <c r="B1916">
        <v>4</v>
      </c>
      <c r="C1916" t="str">
        <f t="shared" si="58"/>
        <v>4/01/2020</v>
      </c>
      <c r="D1916" s="1" t="str">
        <f t="shared" si="59"/>
        <v>4/01/2020</v>
      </c>
      <c r="E1916" t="s">
        <v>55</v>
      </c>
      <c r="F1916" t="s">
        <v>54</v>
      </c>
      <c r="G1916" t="s">
        <v>44</v>
      </c>
      <c r="H1916">
        <v>146</v>
      </c>
      <c r="I1916">
        <v>122</v>
      </c>
      <c r="K1916">
        <v>13</v>
      </c>
      <c r="M1916">
        <v>0</v>
      </c>
      <c r="S1916">
        <v>26</v>
      </c>
      <c r="U1916">
        <v>42</v>
      </c>
      <c r="V1916">
        <v>40</v>
      </c>
      <c r="W1916" s="1">
        <v>44160</v>
      </c>
      <c r="X1916" t="s">
        <v>56</v>
      </c>
      <c r="AA1916" t="s">
        <v>40</v>
      </c>
      <c r="AC1916" t="s">
        <v>40</v>
      </c>
      <c r="AE1916" t="s">
        <v>40</v>
      </c>
      <c r="AF1916" t="s">
        <v>40</v>
      </c>
      <c r="AG1916" t="s">
        <v>40</v>
      </c>
      <c r="AH1916" t="s">
        <v>40</v>
      </c>
      <c r="AI1916" t="s">
        <v>40</v>
      </c>
      <c r="AK1916" t="s">
        <v>40</v>
      </c>
    </row>
    <row r="1917" spans="1:39" x14ac:dyDescent="0.3">
      <c r="A1917">
        <v>2020</v>
      </c>
      <c r="B1917">
        <v>4</v>
      </c>
      <c r="C1917" t="str">
        <f t="shared" si="58"/>
        <v>4/01/2020</v>
      </c>
      <c r="D1917" s="1" t="str">
        <f t="shared" si="59"/>
        <v>4/01/2020</v>
      </c>
      <c r="E1917" t="s">
        <v>55</v>
      </c>
      <c r="F1917" t="s">
        <v>54</v>
      </c>
      <c r="G1917" t="s">
        <v>45</v>
      </c>
      <c r="H1917">
        <v>11</v>
      </c>
      <c r="J1917">
        <v>0</v>
      </c>
      <c r="L1917">
        <v>0</v>
      </c>
      <c r="M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 s="1">
        <v>44160</v>
      </c>
      <c r="X1917" t="s">
        <v>56</v>
      </c>
      <c r="Z1917" t="s">
        <v>40</v>
      </c>
      <c r="AB1917" t="s">
        <v>40</v>
      </c>
      <c r="AE1917" t="s">
        <v>40</v>
      </c>
      <c r="AF1917" t="s">
        <v>40</v>
      </c>
    </row>
    <row r="1918" spans="1:39" x14ac:dyDescent="0.3">
      <c r="A1918">
        <v>2020</v>
      </c>
      <c r="B1918">
        <v>4</v>
      </c>
      <c r="C1918" t="str">
        <f t="shared" si="58"/>
        <v>4/01/2020</v>
      </c>
      <c r="D1918" s="1" t="str">
        <f t="shared" si="59"/>
        <v>4/01/2020</v>
      </c>
      <c r="E1918" t="s">
        <v>55</v>
      </c>
      <c r="F1918" t="s">
        <v>54</v>
      </c>
      <c r="G1918" t="s">
        <v>46</v>
      </c>
      <c r="H1918">
        <v>385</v>
      </c>
      <c r="I1918">
        <v>352</v>
      </c>
      <c r="K1918">
        <v>51</v>
      </c>
      <c r="L1918">
        <v>23</v>
      </c>
      <c r="M1918">
        <v>0</v>
      </c>
      <c r="N1918">
        <v>10</v>
      </c>
      <c r="S1918">
        <v>71</v>
      </c>
      <c r="T1918">
        <v>15</v>
      </c>
      <c r="U1918">
        <v>112</v>
      </c>
      <c r="V1918">
        <v>106</v>
      </c>
      <c r="W1918" s="1">
        <v>44160</v>
      </c>
      <c r="X1918" t="s">
        <v>56</v>
      </c>
      <c r="AA1918" t="s">
        <v>40</v>
      </c>
      <c r="AF1918" t="s">
        <v>40</v>
      </c>
      <c r="AG1918" t="s">
        <v>40</v>
      </c>
      <c r="AH1918" t="s">
        <v>40</v>
      </c>
      <c r="AI1918" t="s">
        <v>40</v>
      </c>
    </row>
    <row r="1919" spans="1:39" x14ac:dyDescent="0.3">
      <c r="A1919">
        <v>2020</v>
      </c>
      <c r="B1919">
        <v>4</v>
      </c>
      <c r="C1919" t="str">
        <f t="shared" si="58"/>
        <v>4/01/2020</v>
      </c>
      <c r="D1919" s="1" t="str">
        <f t="shared" si="59"/>
        <v>4/01/2020</v>
      </c>
      <c r="E1919" t="s">
        <v>55</v>
      </c>
      <c r="F1919" t="s">
        <v>54</v>
      </c>
      <c r="G1919" t="s">
        <v>47</v>
      </c>
      <c r="H1919">
        <v>527</v>
      </c>
      <c r="I1919">
        <v>508</v>
      </c>
      <c r="K1919">
        <v>68</v>
      </c>
      <c r="L1919">
        <v>22</v>
      </c>
      <c r="N1919">
        <v>13</v>
      </c>
      <c r="O1919">
        <v>19</v>
      </c>
      <c r="P1919">
        <v>11</v>
      </c>
      <c r="S1919">
        <v>114</v>
      </c>
      <c r="T1919">
        <v>11</v>
      </c>
      <c r="U1919">
        <v>202</v>
      </c>
      <c r="V1919">
        <v>193</v>
      </c>
      <c r="W1919" s="1">
        <v>44160</v>
      </c>
      <c r="X1919" t="s">
        <v>56</v>
      </c>
      <c r="AA1919" t="s">
        <v>40</v>
      </c>
      <c r="AD1919" t="s">
        <v>40</v>
      </c>
      <c r="AH1919" t="s">
        <v>40</v>
      </c>
      <c r="AI1919" t="s">
        <v>40</v>
      </c>
    </row>
    <row r="1920" spans="1:39" x14ac:dyDescent="0.3">
      <c r="A1920">
        <v>2020</v>
      </c>
      <c r="B1920">
        <v>4</v>
      </c>
      <c r="C1920" t="str">
        <f t="shared" si="58"/>
        <v>4/01/2020</v>
      </c>
      <c r="D1920" s="1" t="str">
        <f t="shared" si="59"/>
        <v>4/01/2020</v>
      </c>
      <c r="E1920" t="s">
        <v>55</v>
      </c>
      <c r="F1920" t="s">
        <v>54</v>
      </c>
      <c r="G1920" t="s">
        <v>48</v>
      </c>
      <c r="H1920">
        <v>427</v>
      </c>
      <c r="I1920">
        <v>424</v>
      </c>
      <c r="K1920">
        <v>32</v>
      </c>
      <c r="L1920">
        <v>13</v>
      </c>
      <c r="M1920">
        <v>10</v>
      </c>
      <c r="O1920">
        <v>23</v>
      </c>
      <c r="S1920">
        <v>79</v>
      </c>
      <c r="T1920">
        <v>14</v>
      </c>
      <c r="U1920">
        <v>190</v>
      </c>
      <c r="V1920">
        <v>178</v>
      </c>
      <c r="W1920" s="1">
        <v>44160</v>
      </c>
      <c r="X1920" t="s">
        <v>56</v>
      </c>
      <c r="AA1920" t="s">
        <v>40</v>
      </c>
      <c r="AE1920" t="s">
        <v>40</v>
      </c>
      <c r="AG1920" t="s">
        <v>40</v>
      </c>
      <c r="AH1920" t="s">
        <v>40</v>
      </c>
      <c r="AI1920" t="s">
        <v>40</v>
      </c>
    </row>
    <row r="1921" spans="1:39" x14ac:dyDescent="0.3">
      <c r="A1921">
        <v>2020</v>
      </c>
      <c r="B1921">
        <v>4</v>
      </c>
      <c r="C1921" t="str">
        <f t="shared" si="58"/>
        <v>4/01/2020</v>
      </c>
      <c r="D1921" s="1" t="str">
        <f t="shared" si="59"/>
        <v>4/01/2020</v>
      </c>
      <c r="E1921" t="s">
        <v>55</v>
      </c>
      <c r="F1921" t="s">
        <v>54</v>
      </c>
      <c r="G1921" t="s">
        <v>49</v>
      </c>
      <c r="H1921">
        <v>263</v>
      </c>
      <c r="I1921">
        <v>261</v>
      </c>
      <c r="K1921">
        <v>15</v>
      </c>
      <c r="M1921">
        <v>12</v>
      </c>
      <c r="N1921">
        <v>10</v>
      </c>
      <c r="S1921">
        <v>61</v>
      </c>
      <c r="U1921">
        <v>112</v>
      </c>
      <c r="V1921">
        <v>102</v>
      </c>
      <c r="W1921" s="1">
        <v>44160</v>
      </c>
      <c r="X1921" t="s">
        <v>56</v>
      </c>
      <c r="AA1921" t="s">
        <v>40</v>
      </c>
      <c r="AC1921" t="s">
        <v>40</v>
      </c>
      <c r="AF1921" t="s">
        <v>40</v>
      </c>
      <c r="AG1921" t="s">
        <v>40</v>
      </c>
      <c r="AH1921" t="s">
        <v>40</v>
      </c>
      <c r="AI1921" t="s">
        <v>40</v>
      </c>
      <c r="AK1921" t="s">
        <v>40</v>
      </c>
    </row>
    <row r="1922" spans="1:39" x14ac:dyDescent="0.3">
      <c r="A1922">
        <v>2020</v>
      </c>
      <c r="B1922">
        <v>5</v>
      </c>
      <c r="C1922" t="str">
        <f t="shared" si="58"/>
        <v>5/01/2020</v>
      </c>
      <c r="D1922" s="1" t="str">
        <f t="shared" si="59"/>
        <v>5/01/2020</v>
      </c>
      <c r="E1922" t="s">
        <v>37</v>
      </c>
      <c r="F1922" t="s">
        <v>38</v>
      </c>
      <c r="G1922" t="s">
        <v>39</v>
      </c>
      <c r="H1922">
        <v>156</v>
      </c>
      <c r="I1922">
        <v>143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14</v>
      </c>
      <c r="S1922">
        <v>0</v>
      </c>
      <c r="V1922">
        <v>0</v>
      </c>
      <c r="W1922" s="1">
        <v>44160</v>
      </c>
      <c r="X1922" t="s">
        <v>56</v>
      </c>
      <c r="AA1922" t="s">
        <v>40</v>
      </c>
      <c r="AB1922" t="s">
        <v>40</v>
      </c>
      <c r="AK1922" t="s">
        <v>40</v>
      </c>
      <c r="AL1922" t="s">
        <v>40</v>
      </c>
    </row>
    <row r="1923" spans="1:39" x14ac:dyDescent="0.3">
      <c r="A1923">
        <v>2020</v>
      </c>
      <c r="B1923">
        <v>5</v>
      </c>
      <c r="C1923" t="str">
        <f t="shared" ref="C1923:C1986" si="60">CONCATENATE(B1923,"/01/",A1923)</f>
        <v>5/01/2020</v>
      </c>
      <c r="D1923" s="1" t="str">
        <f t="shared" ref="D1923:D1986" si="61">C1923</f>
        <v>5/01/2020</v>
      </c>
      <c r="E1923" t="s">
        <v>37</v>
      </c>
      <c r="F1923" t="s">
        <v>38</v>
      </c>
      <c r="G1923" t="s">
        <v>41</v>
      </c>
      <c r="H1923">
        <v>141</v>
      </c>
      <c r="I1923">
        <v>56</v>
      </c>
      <c r="J1923">
        <v>0</v>
      </c>
      <c r="K1923">
        <v>10</v>
      </c>
      <c r="M1923">
        <v>0</v>
      </c>
      <c r="P1923">
        <v>0</v>
      </c>
      <c r="Q1923">
        <v>0</v>
      </c>
      <c r="W1923" s="1">
        <v>44160</v>
      </c>
      <c r="X1923" t="s">
        <v>56</v>
      </c>
      <c r="AC1923" t="s">
        <v>40</v>
      </c>
      <c r="AE1923" t="s">
        <v>40</v>
      </c>
      <c r="AF1923" t="s">
        <v>40</v>
      </c>
      <c r="AI1923" t="s">
        <v>40</v>
      </c>
      <c r="AJ1923" t="s">
        <v>40</v>
      </c>
      <c r="AK1923" t="s">
        <v>40</v>
      </c>
      <c r="AL1923" t="s">
        <v>40</v>
      </c>
      <c r="AM1923" t="s">
        <v>40</v>
      </c>
    </row>
    <row r="1924" spans="1:39" x14ac:dyDescent="0.3">
      <c r="A1924">
        <v>2020</v>
      </c>
      <c r="B1924">
        <v>5</v>
      </c>
      <c r="C1924" t="str">
        <f t="shared" si="60"/>
        <v>5/01/2020</v>
      </c>
      <c r="D1924" s="1" t="str">
        <f t="shared" si="61"/>
        <v>5/01/2020</v>
      </c>
      <c r="E1924" t="s">
        <v>37</v>
      </c>
      <c r="F1924" t="s">
        <v>38</v>
      </c>
      <c r="G1924" t="s">
        <v>42</v>
      </c>
      <c r="H1924">
        <v>274</v>
      </c>
      <c r="I1924">
        <v>147</v>
      </c>
      <c r="K1924">
        <v>28</v>
      </c>
      <c r="M1924">
        <v>0</v>
      </c>
      <c r="R1924">
        <v>16</v>
      </c>
      <c r="U1924">
        <v>22</v>
      </c>
      <c r="V1924">
        <v>21</v>
      </c>
      <c r="W1924" s="1">
        <v>44160</v>
      </c>
      <c r="X1924" t="s">
        <v>56</v>
      </c>
      <c r="AA1924" t="s">
        <v>40</v>
      </c>
      <c r="AC1924" t="s">
        <v>40</v>
      </c>
      <c r="AE1924" t="s">
        <v>40</v>
      </c>
      <c r="AF1924" t="s">
        <v>40</v>
      </c>
      <c r="AG1924" t="s">
        <v>40</v>
      </c>
      <c r="AH1924" t="s">
        <v>40</v>
      </c>
      <c r="AJ1924" t="s">
        <v>40</v>
      </c>
      <c r="AK1924" t="s">
        <v>40</v>
      </c>
    </row>
    <row r="1925" spans="1:39" x14ac:dyDescent="0.3">
      <c r="A1925">
        <v>2020</v>
      </c>
      <c r="B1925">
        <v>5</v>
      </c>
      <c r="C1925" t="str">
        <f t="shared" si="60"/>
        <v>5/01/2020</v>
      </c>
      <c r="D1925" s="1" t="str">
        <f t="shared" si="61"/>
        <v>5/01/2020</v>
      </c>
      <c r="E1925" t="s">
        <v>37</v>
      </c>
      <c r="F1925" t="s">
        <v>38</v>
      </c>
      <c r="G1925" t="s">
        <v>43</v>
      </c>
      <c r="H1925">
        <v>394</v>
      </c>
      <c r="I1925">
        <v>311</v>
      </c>
      <c r="K1925">
        <v>90</v>
      </c>
      <c r="L1925">
        <v>15</v>
      </c>
      <c r="M1925">
        <v>0</v>
      </c>
      <c r="S1925">
        <v>33</v>
      </c>
      <c r="T1925">
        <v>11</v>
      </c>
      <c r="U1925">
        <v>61</v>
      </c>
      <c r="V1925">
        <v>58</v>
      </c>
      <c r="W1925" s="1">
        <v>44160</v>
      </c>
      <c r="X1925" t="s">
        <v>56</v>
      </c>
      <c r="AA1925" t="s">
        <v>40</v>
      </c>
      <c r="AE1925" t="s">
        <v>40</v>
      </c>
      <c r="AF1925" t="s">
        <v>40</v>
      </c>
      <c r="AG1925" t="s">
        <v>40</v>
      </c>
      <c r="AH1925" t="s">
        <v>40</v>
      </c>
      <c r="AI1925" t="s">
        <v>40</v>
      </c>
    </row>
    <row r="1926" spans="1:39" x14ac:dyDescent="0.3">
      <c r="A1926">
        <v>2020</v>
      </c>
      <c r="B1926">
        <v>5</v>
      </c>
      <c r="C1926" t="str">
        <f t="shared" si="60"/>
        <v>5/01/2020</v>
      </c>
      <c r="D1926" s="1" t="str">
        <f t="shared" si="61"/>
        <v>5/01/2020</v>
      </c>
      <c r="E1926" t="s">
        <v>37</v>
      </c>
      <c r="F1926" t="s">
        <v>38</v>
      </c>
      <c r="G1926" t="s">
        <v>44</v>
      </c>
      <c r="H1926">
        <v>738</v>
      </c>
      <c r="I1926">
        <v>672</v>
      </c>
      <c r="J1926">
        <v>10</v>
      </c>
      <c r="K1926">
        <v>200</v>
      </c>
      <c r="L1926">
        <v>40</v>
      </c>
      <c r="M1926">
        <v>0</v>
      </c>
      <c r="O1926">
        <v>11</v>
      </c>
      <c r="R1926">
        <v>11</v>
      </c>
      <c r="S1926">
        <v>68</v>
      </c>
      <c r="T1926">
        <v>20</v>
      </c>
      <c r="U1926">
        <v>165</v>
      </c>
      <c r="V1926">
        <v>154</v>
      </c>
      <c r="W1926" s="1">
        <v>44160</v>
      </c>
      <c r="X1926" t="s">
        <v>56</v>
      </c>
      <c r="AE1926" t="s">
        <v>40</v>
      </c>
      <c r="AG1926" t="s">
        <v>40</v>
      </c>
      <c r="AH1926" t="s">
        <v>40</v>
      </c>
    </row>
    <row r="1927" spans="1:39" x14ac:dyDescent="0.3">
      <c r="A1927">
        <v>2020</v>
      </c>
      <c r="B1927">
        <v>5</v>
      </c>
      <c r="C1927" t="str">
        <f t="shared" si="60"/>
        <v>5/01/2020</v>
      </c>
      <c r="D1927" s="1" t="str">
        <f t="shared" si="61"/>
        <v>5/01/2020</v>
      </c>
      <c r="E1927" t="s">
        <v>37</v>
      </c>
      <c r="F1927" t="s">
        <v>38</v>
      </c>
      <c r="G1927" t="s">
        <v>45</v>
      </c>
      <c r="H1927">
        <v>35</v>
      </c>
      <c r="I1927">
        <v>22</v>
      </c>
      <c r="M1927">
        <v>0</v>
      </c>
      <c r="N1927">
        <v>0</v>
      </c>
      <c r="O1927">
        <v>0</v>
      </c>
      <c r="Q1927">
        <v>0</v>
      </c>
      <c r="U1927">
        <v>0</v>
      </c>
      <c r="V1927">
        <v>0</v>
      </c>
      <c r="W1927" s="1">
        <v>44160</v>
      </c>
      <c r="X1927" t="s">
        <v>56</v>
      </c>
      <c r="AA1927" t="s">
        <v>40</v>
      </c>
      <c r="AB1927" t="s">
        <v>40</v>
      </c>
      <c r="AC1927" t="s">
        <v>40</v>
      </c>
      <c r="AG1927" t="s">
        <v>40</v>
      </c>
      <c r="AI1927" t="s">
        <v>40</v>
      </c>
      <c r="AJ1927" t="s">
        <v>40</v>
      </c>
      <c r="AK1927" t="s">
        <v>40</v>
      </c>
    </row>
    <row r="1928" spans="1:39" x14ac:dyDescent="0.3">
      <c r="A1928">
        <v>2020</v>
      </c>
      <c r="B1928">
        <v>5</v>
      </c>
      <c r="C1928" t="str">
        <f t="shared" si="60"/>
        <v>5/01/2020</v>
      </c>
      <c r="D1928" s="1" t="str">
        <f t="shared" si="61"/>
        <v>5/01/2020</v>
      </c>
      <c r="E1928" t="s">
        <v>37</v>
      </c>
      <c r="F1928" t="s">
        <v>38</v>
      </c>
      <c r="G1928" t="s">
        <v>46</v>
      </c>
      <c r="H1928" s="2">
        <v>1287</v>
      </c>
      <c r="I1928" s="2">
        <v>1225</v>
      </c>
      <c r="J1928">
        <v>17</v>
      </c>
      <c r="K1928">
        <v>341</v>
      </c>
      <c r="L1928">
        <v>65</v>
      </c>
      <c r="O1928">
        <v>24</v>
      </c>
      <c r="P1928">
        <v>12</v>
      </c>
      <c r="Q1928">
        <v>21</v>
      </c>
      <c r="R1928">
        <v>15</v>
      </c>
      <c r="S1928">
        <v>149</v>
      </c>
      <c r="T1928">
        <v>41</v>
      </c>
      <c r="U1928">
        <v>327</v>
      </c>
      <c r="V1928">
        <v>313</v>
      </c>
      <c r="W1928" s="1">
        <v>44160</v>
      </c>
      <c r="X1928" t="s">
        <v>56</v>
      </c>
      <c r="AD1928" t="s">
        <v>40</v>
      </c>
      <c r="AE1928" t="s">
        <v>40</v>
      </c>
    </row>
    <row r="1929" spans="1:39" x14ac:dyDescent="0.3">
      <c r="A1929">
        <v>2020</v>
      </c>
      <c r="B1929">
        <v>5</v>
      </c>
      <c r="C1929" t="str">
        <f t="shared" si="60"/>
        <v>5/01/2020</v>
      </c>
      <c r="D1929" s="1" t="str">
        <f t="shared" si="61"/>
        <v>5/01/2020</v>
      </c>
      <c r="E1929" t="s">
        <v>37</v>
      </c>
      <c r="F1929" t="s">
        <v>38</v>
      </c>
      <c r="G1929" t="s">
        <v>47</v>
      </c>
      <c r="H1929" s="2">
        <v>1869</v>
      </c>
      <c r="I1929" s="2">
        <v>1834</v>
      </c>
      <c r="J1929">
        <v>29</v>
      </c>
      <c r="K1929">
        <v>422</v>
      </c>
      <c r="L1929">
        <v>111</v>
      </c>
      <c r="M1929">
        <v>29</v>
      </c>
      <c r="N1929">
        <v>29</v>
      </c>
      <c r="O1929">
        <v>43</v>
      </c>
      <c r="P1929">
        <v>33</v>
      </c>
      <c r="Q1929">
        <v>44</v>
      </c>
      <c r="S1929">
        <v>273</v>
      </c>
      <c r="T1929">
        <v>68</v>
      </c>
      <c r="U1929">
        <v>509</v>
      </c>
      <c r="V1929">
        <v>488</v>
      </c>
      <c r="W1929" s="1">
        <v>44160</v>
      </c>
      <c r="X1929" t="s">
        <v>56</v>
      </c>
      <c r="AI1929" t="s">
        <v>40</v>
      </c>
    </row>
    <row r="1930" spans="1:39" x14ac:dyDescent="0.3">
      <c r="A1930">
        <v>2020</v>
      </c>
      <c r="B1930">
        <v>5</v>
      </c>
      <c r="C1930" t="str">
        <f t="shared" si="60"/>
        <v>5/01/2020</v>
      </c>
      <c r="D1930" s="1" t="str">
        <f t="shared" si="61"/>
        <v>5/01/2020</v>
      </c>
      <c r="E1930" t="s">
        <v>37</v>
      </c>
      <c r="F1930" t="s">
        <v>38</v>
      </c>
      <c r="G1930" t="s">
        <v>48</v>
      </c>
      <c r="H1930" s="2">
        <v>2396</v>
      </c>
      <c r="I1930" s="2">
        <v>2348</v>
      </c>
      <c r="J1930">
        <v>30</v>
      </c>
      <c r="K1930">
        <v>389</v>
      </c>
      <c r="L1930">
        <v>112</v>
      </c>
      <c r="M1930">
        <v>125</v>
      </c>
      <c r="N1930">
        <v>40</v>
      </c>
      <c r="O1930">
        <v>60</v>
      </c>
      <c r="P1930">
        <v>55</v>
      </c>
      <c r="Q1930">
        <v>54</v>
      </c>
      <c r="R1930">
        <v>10</v>
      </c>
      <c r="S1930">
        <v>414</v>
      </c>
      <c r="T1930">
        <v>136</v>
      </c>
      <c r="U1930">
        <v>548</v>
      </c>
      <c r="V1930">
        <v>510</v>
      </c>
      <c r="W1930" s="1">
        <v>44160</v>
      </c>
      <c r="X1930" t="s">
        <v>56</v>
      </c>
    </row>
    <row r="1931" spans="1:39" x14ac:dyDescent="0.3">
      <c r="A1931">
        <v>2020</v>
      </c>
      <c r="B1931">
        <v>5</v>
      </c>
      <c r="C1931" t="str">
        <f t="shared" si="60"/>
        <v>5/01/2020</v>
      </c>
      <c r="D1931" s="1" t="str">
        <f t="shared" si="61"/>
        <v>5/01/2020</v>
      </c>
      <c r="E1931" t="s">
        <v>37</v>
      </c>
      <c r="F1931" t="s">
        <v>38</v>
      </c>
      <c r="G1931" t="s">
        <v>49</v>
      </c>
      <c r="H1931" s="2">
        <v>3210</v>
      </c>
      <c r="I1931" s="2">
        <v>3164</v>
      </c>
      <c r="J1931">
        <v>36</v>
      </c>
      <c r="K1931">
        <v>255</v>
      </c>
      <c r="L1931">
        <v>115</v>
      </c>
      <c r="M1931">
        <v>382</v>
      </c>
      <c r="N1931">
        <v>47</v>
      </c>
      <c r="O1931">
        <v>99</v>
      </c>
      <c r="P1931">
        <v>35</v>
      </c>
      <c r="Q1931">
        <v>47</v>
      </c>
      <c r="R1931">
        <v>26</v>
      </c>
      <c r="S1931">
        <v>707</v>
      </c>
      <c r="T1931">
        <v>260</v>
      </c>
      <c r="U1931">
        <v>597</v>
      </c>
      <c r="V1931">
        <v>552</v>
      </c>
      <c r="W1931" s="1">
        <v>44160</v>
      </c>
      <c r="X1931" t="s">
        <v>56</v>
      </c>
    </row>
    <row r="1932" spans="1:39" x14ac:dyDescent="0.3">
      <c r="A1932">
        <v>2020</v>
      </c>
      <c r="B1932">
        <v>5</v>
      </c>
      <c r="C1932" t="str">
        <f t="shared" si="60"/>
        <v>5/01/2020</v>
      </c>
      <c r="D1932" s="1" t="str">
        <f t="shared" si="61"/>
        <v>5/01/2020</v>
      </c>
      <c r="E1932" t="s">
        <v>37</v>
      </c>
      <c r="F1932" t="s">
        <v>50</v>
      </c>
      <c r="G1932" t="s">
        <v>39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S1932">
        <v>0</v>
      </c>
      <c r="T1932">
        <v>0</v>
      </c>
      <c r="U1932">
        <v>0</v>
      </c>
      <c r="V1932">
        <v>0</v>
      </c>
      <c r="W1932" s="1">
        <v>44160</v>
      </c>
      <c r="X1932" t="s">
        <v>56</v>
      </c>
      <c r="Y1932" t="s">
        <v>40</v>
      </c>
      <c r="Z1932" t="s">
        <v>40</v>
      </c>
      <c r="AI1932" t="s">
        <v>40</v>
      </c>
    </row>
    <row r="1933" spans="1:39" x14ac:dyDescent="0.3">
      <c r="A1933">
        <v>2020</v>
      </c>
      <c r="B1933">
        <v>5</v>
      </c>
      <c r="C1933" t="str">
        <f t="shared" si="60"/>
        <v>5/01/2020</v>
      </c>
      <c r="D1933" s="1" t="str">
        <f t="shared" si="61"/>
        <v>5/01/2020</v>
      </c>
      <c r="E1933" t="s">
        <v>37</v>
      </c>
      <c r="F1933" t="s">
        <v>50</v>
      </c>
      <c r="G1933" t="s">
        <v>41</v>
      </c>
      <c r="H1933">
        <v>22</v>
      </c>
      <c r="J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S1933">
        <v>0</v>
      </c>
      <c r="T1933">
        <v>0</v>
      </c>
      <c r="U1933">
        <v>0</v>
      </c>
      <c r="V1933">
        <v>0</v>
      </c>
      <c r="W1933" s="1">
        <v>44160</v>
      </c>
      <c r="X1933" t="s">
        <v>56</v>
      </c>
      <c r="Z1933" t="s">
        <v>40</v>
      </c>
      <c r="AB1933" t="s">
        <v>40</v>
      </c>
      <c r="AI1933" t="s">
        <v>40</v>
      </c>
    </row>
    <row r="1934" spans="1:39" x14ac:dyDescent="0.3">
      <c r="A1934">
        <v>2020</v>
      </c>
      <c r="B1934">
        <v>5</v>
      </c>
      <c r="C1934" t="str">
        <f t="shared" si="60"/>
        <v>5/01/2020</v>
      </c>
      <c r="D1934" s="1" t="str">
        <f t="shared" si="61"/>
        <v>5/01/2020</v>
      </c>
      <c r="E1934" t="s">
        <v>37</v>
      </c>
      <c r="F1934" t="s">
        <v>50</v>
      </c>
      <c r="G1934" t="s">
        <v>42</v>
      </c>
      <c r="H1934">
        <v>55</v>
      </c>
      <c r="I1934">
        <v>28</v>
      </c>
      <c r="J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T1934">
        <v>0</v>
      </c>
      <c r="W1934" s="1">
        <v>44160</v>
      </c>
      <c r="X1934" t="s">
        <v>56</v>
      </c>
      <c r="AB1934" t="s">
        <v>40</v>
      </c>
      <c r="AI1934" t="s">
        <v>40</v>
      </c>
      <c r="AJ1934" t="s">
        <v>40</v>
      </c>
      <c r="AL1934" t="s">
        <v>40</v>
      </c>
      <c r="AM1934" t="s">
        <v>40</v>
      </c>
    </row>
    <row r="1935" spans="1:39" x14ac:dyDescent="0.3">
      <c r="A1935">
        <v>2020</v>
      </c>
      <c r="B1935">
        <v>5</v>
      </c>
      <c r="C1935" t="str">
        <f t="shared" si="60"/>
        <v>5/01/2020</v>
      </c>
      <c r="D1935" s="1" t="str">
        <f t="shared" si="61"/>
        <v>5/01/2020</v>
      </c>
      <c r="E1935" t="s">
        <v>37</v>
      </c>
      <c r="F1935" t="s">
        <v>50</v>
      </c>
      <c r="G1935" t="s">
        <v>43</v>
      </c>
      <c r="H1935">
        <v>56</v>
      </c>
      <c r="I1935">
        <v>38</v>
      </c>
      <c r="M1935">
        <v>0</v>
      </c>
      <c r="O1935">
        <v>0</v>
      </c>
      <c r="U1935">
        <v>11</v>
      </c>
      <c r="W1935" s="1">
        <v>44160</v>
      </c>
      <c r="X1935" t="s">
        <v>56</v>
      </c>
      <c r="AA1935" t="s">
        <v>40</v>
      </c>
      <c r="AB1935" t="s">
        <v>40</v>
      </c>
      <c r="AC1935" t="s">
        <v>40</v>
      </c>
      <c r="AE1935" t="s">
        <v>40</v>
      </c>
      <c r="AG1935" t="s">
        <v>40</v>
      </c>
      <c r="AH1935" t="s">
        <v>40</v>
      </c>
      <c r="AI1935" t="s">
        <v>40</v>
      </c>
      <c r="AJ1935" t="s">
        <v>40</v>
      </c>
      <c r="AK1935" t="s">
        <v>40</v>
      </c>
      <c r="AM1935" t="s">
        <v>40</v>
      </c>
    </row>
    <row r="1936" spans="1:39" x14ac:dyDescent="0.3">
      <c r="A1936">
        <v>2020</v>
      </c>
      <c r="B1936">
        <v>5</v>
      </c>
      <c r="C1936" t="str">
        <f t="shared" si="60"/>
        <v>5/01/2020</v>
      </c>
      <c r="D1936" s="1" t="str">
        <f t="shared" si="61"/>
        <v>5/01/2020</v>
      </c>
      <c r="E1936" t="s">
        <v>37</v>
      </c>
      <c r="F1936" t="s">
        <v>50</v>
      </c>
      <c r="G1936" t="s">
        <v>44</v>
      </c>
      <c r="H1936">
        <v>104</v>
      </c>
      <c r="I1936">
        <v>89</v>
      </c>
      <c r="K1936">
        <v>12</v>
      </c>
      <c r="M1936">
        <v>0</v>
      </c>
      <c r="N1936">
        <v>0</v>
      </c>
      <c r="Q1936">
        <v>0</v>
      </c>
      <c r="S1936">
        <v>10</v>
      </c>
      <c r="U1936">
        <v>17</v>
      </c>
      <c r="V1936">
        <v>13</v>
      </c>
      <c r="W1936" s="1">
        <v>44160</v>
      </c>
      <c r="X1936" t="s">
        <v>56</v>
      </c>
      <c r="AA1936" t="s">
        <v>40</v>
      </c>
      <c r="AC1936" t="s">
        <v>40</v>
      </c>
      <c r="AF1936" t="s">
        <v>40</v>
      </c>
      <c r="AG1936" t="s">
        <v>40</v>
      </c>
      <c r="AI1936" t="s">
        <v>40</v>
      </c>
      <c r="AK1936" t="s">
        <v>40</v>
      </c>
    </row>
    <row r="1937" spans="1:39" x14ac:dyDescent="0.3">
      <c r="A1937">
        <v>2020</v>
      </c>
      <c r="B1937">
        <v>5</v>
      </c>
      <c r="C1937" t="str">
        <f t="shared" si="60"/>
        <v>5/01/2020</v>
      </c>
      <c r="D1937" s="1" t="str">
        <f t="shared" si="61"/>
        <v>5/01/2020</v>
      </c>
      <c r="E1937" t="s">
        <v>37</v>
      </c>
      <c r="F1937" t="s">
        <v>50</v>
      </c>
      <c r="G1937" t="s">
        <v>45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 s="1">
        <v>44160</v>
      </c>
      <c r="X1937" t="s">
        <v>56</v>
      </c>
      <c r="Y1937" t="s">
        <v>40</v>
      </c>
      <c r="Z1937" t="s">
        <v>40</v>
      </c>
    </row>
    <row r="1938" spans="1:39" x14ac:dyDescent="0.3">
      <c r="A1938">
        <v>2020</v>
      </c>
      <c r="B1938">
        <v>5</v>
      </c>
      <c r="C1938" t="str">
        <f t="shared" si="60"/>
        <v>5/01/2020</v>
      </c>
      <c r="D1938" s="1" t="str">
        <f t="shared" si="61"/>
        <v>5/01/2020</v>
      </c>
      <c r="E1938" t="s">
        <v>37</v>
      </c>
      <c r="F1938" t="s">
        <v>50</v>
      </c>
      <c r="G1938" t="s">
        <v>46</v>
      </c>
      <c r="H1938">
        <v>142</v>
      </c>
      <c r="I1938">
        <v>135</v>
      </c>
      <c r="K1938">
        <v>29</v>
      </c>
      <c r="M1938">
        <v>0</v>
      </c>
      <c r="S1938">
        <v>20</v>
      </c>
      <c r="U1938">
        <v>35</v>
      </c>
      <c r="V1938">
        <v>34</v>
      </c>
      <c r="W1938" s="1">
        <v>44160</v>
      </c>
      <c r="X1938" t="s">
        <v>56</v>
      </c>
      <c r="AA1938" t="s">
        <v>40</v>
      </c>
      <c r="AC1938" t="s">
        <v>40</v>
      </c>
      <c r="AE1938" t="s">
        <v>40</v>
      </c>
      <c r="AF1938" t="s">
        <v>40</v>
      </c>
      <c r="AG1938" t="s">
        <v>40</v>
      </c>
      <c r="AH1938" t="s">
        <v>40</v>
      </c>
      <c r="AI1938" t="s">
        <v>40</v>
      </c>
      <c r="AK1938" t="s">
        <v>40</v>
      </c>
    </row>
    <row r="1939" spans="1:39" x14ac:dyDescent="0.3">
      <c r="A1939">
        <v>2020</v>
      </c>
      <c r="B1939">
        <v>5</v>
      </c>
      <c r="C1939" t="str">
        <f t="shared" si="60"/>
        <v>5/01/2020</v>
      </c>
      <c r="D1939" s="1" t="str">
        <f t="shared" si="61"/>
        <v>5/01/2020</v>
      </c>
      <c r="E1939" t="s">
        <v>37</v>
      </c>
      <c r="F1939" t="s">
        <v>50</v>
      </c>
      <c r="G1939" t="s">
        <v>47</v>
      </c>
      <c r="H1939">
        <v>176</v>
      </c>
      <c r="I1939">
        <v>174</v>
      </c>
      <c r="K1939">
        <v>33</v>
      </c>
      <c r="L1939">
        <v>14</v>
      </c>
      <c r="N1939">
        <v>0</v>
      </c>
      <c r="S1939">
        <v>23</v>
      </c>
      <c r="U1939">
        <v>40</v>
      </c>
      <c r="V1939">
        <v>37</v>
      </c>
      <c r="W1939" s="1">
        <v>44160</v>
      </c>
      <c r="X1939" t="s">
        <v>56</v>
      </c>
      <c r="AA1939" t="s">
        <v>40</v>
      </c>
      <c r="AD1939" t="s">
        <v>40</v>
      </c>
      <c r="AF1939" t="s">
        <v>40</v>
      </c>
      <c r="AG1939" t="s">
        <v>40</v>
      </c>
      <c r="AH1939" t="s">
        <v>40</v>
      </c>
      <c r="AI1939" t="s">
        <v>40</v>
      </c>
      <c r="AK1939" t="s">
        <v>40</v>
      </c>
    </row>
    <row r="1940" spans="1:39" x14ac:dyDescent="0.3">
      <c r="A1940">
        <v>2020</v>
      </c>
      <c r="B1940">
        <v>5</v>
      </c>
      <c r="C1940" t="str">
        <f t="shared" si="60"/>
        <v>5/01/2020</v>
      </c>
      <c r="D1940" s="1" t="str">
        <f t="shared" si="61"/>
        <v>5/01/2020</v>
      </c>
      <c r="E1940" t="s">
        <v>37</v>
      </c>
      <c r="F1940" t="s">
        <v>50</v>
      </c>
      <c r="G1940" t="s">
        <v>48</v>
      </c>
      <c r="H1940">
        <v>204</v>
      </c>
      <c r="I1940">
        <v>198</v>
      </c>
      <c r="K1940">
        <v>29</v>
      </c>
      <c r="L1940">
        <v>11</v>
      </c>
      <c r="S1940">
        <v>29</v>
      </c>
      <c r="T1940">
        <v>10</v>
      </c>
      <c r="U1940">
        <v>54</v>
      </c>
      <c r="V1940">
        <v>53</v>
      </c>
      <c r="W1940" s="1">
        <v>44160</v>
      </c>
      <c r="X1940" t="s">
        <v>56</v>
      </c>
      <c r="AA1940" t="s">
        <v>40</v>
      </c>
      <c r="AD1940" t="s">
        <v>40</v>
      </c>
      <c r="AE1940" t="s">
        <v>40</v>
      </c>
      <c r="AF1940" t="s">
        <v>40</v>
      </c>
      <c r="AG1940" t="s">
        <v>40</v>
      </c>
      <c r="AH1940" t="s">
        <v>40</v>
      </c>
      <c r="AI1940" t="s">
        <v>40</v>
      </c>
    </row>
    <row r="1941" spans="1:39" x14ac:dyDescent="0.3">
      <c r="A1941">
        <v>2020</v>
      </c>
      <c r="B1941">
        <v>5</v>
      </c>
      <c r="C1941" t="str">
        <f t="shared" si="60"/>
        <v>5/01/2020</v>
      </c>
      <c r="D1941" s="1" t="str">
        <f t="shared" si="61"/>
        <v>5/01/2020</v>
      </c>
      <c r="E1941" t="s">
        <v>37</v>
      </c>
      <c r="F1941" t="s">
        <v>50</v>
      </c>
      <c r="G1941" t="s">
        <v>49</v>
      </c>
      <c r="H1941">
        <v>138</v>
      </c>
      <c r="I1941">
        <v>135</v>
      </c>
      <c r="J1941">
        <v>0</v>
      </c>
      <c r="K1941">
        <v>16</v>
      </c>
      <c r="M1941">
        <v>12</v>
      </c>
      <c r="Q1941">
        <v>0</v>
      </c>
      <c r="S1941">
        <v>23</v>
      </c>
      <c r="U1941">
        <v>32</v>
      </c>
      <c r="V1941">
        <v>32</v>
      </c>
      <c r="W1941" s="1">
        <v>44160</v>
      </c>
      <c r="X1941" t="s">
        <v>56</v>
      </c>
      <c r="AC1941" t="s">
        <v>40</v>
      </c>
      <c r="AE1941" t="s">
        <v>40</v>
      </c>
      <c r="AF1941" t="s">
        <v>40</v>
      </c>
      <c r="AG1941" t="s">
        <v>40</v>
      </c>
      <c r="AI1941" t="s">
        <v>40</v>
      </c>
      <c r="AK1941" t="s">
        <v>40</v>
      </c>
    </row>
    <row r="1942" spans="1:39" x14ac:dyDescent="0.3">
      <c r="A1942">
        <v>2020</v>
      </c>
      <c r="B1942">
        <v>5</v>
      </c>
      <c r="C1942" t="str">
        <f t="shared" si="60"/>
        <v>5/01/2020</v>
      </c>
      <c r="D1942" s="1" t="str">
        <f t="shared" si="61"/>
        <v>5/01/2020</v>
      </c>
      <c r="E1942" t="s">
        <v>37</v>
      </c>
      <c r="F1942" t="s">
        <v>51</v>
      </c>
      <c r="G1942" t="s">
        <v>39</v>
      </c>
      <c r="H1942">
        <v>16</v>
      </c>
      <c r="I1942">
        <v>15</v>
      </c>
      <c r="J1942">
        <v>0</v>
      </c>
      <c r="L1942">
        <v>0</v>
      </c>
      <c r="M1942">
        <v>0</v>
      </c>
      <c r="N1942">
        <v>0</v>
      </c>
      <c r="O1942">
        <v>0</v>
      </c>
      <c r="S1942">
        <v>0</v>
      </c>
      <c r="T1942">
        <v>0</v>
      </c>
      <c r="U1942">
        <v>0</v>
      </c>
      <c r="V1942">
        <v>0</v>
      </c>
      <c r="W1942" s="1">
        <v>44160</v>
      </c>
      <c r="X1942" t="s">
        <v>56</v>
      </c>
      <c r="AB1942" t="s">
        <v>40</v>
      </c>
      <c r="AG1942" t="s">
        <v>40</v>
      </c>
      <c r="AH1942" t="s">
        <v>40</v>
      </c>
      <c r="AI1942" t="s">
        <v>40</v>
      </c>
    </row>
    <row r="1943" spans="1:39" x14ac:dyDescent="0.3">
      <c r="A1943">
        <v>2020</v>
      </c>
      <c r="B1943">
        <v>5</v>
      </c>
      <c r="C1943" t="str">
        <f t="shared" si="60"/>
        <v>5/01/2020</v>
      </c>
      <c r="D1943" s="1" t="str">
        <f t="shared" si="61"/>
        <v>5/01/2020</v>
      </c>
      <c r="E1943" t="s">
        <v>37</v>
      </c>
      <c r="F1943" t="s">
        <v>51</v>
      </c>
      <c r="G1943" t="s">
        <v>41</v>
      </c>
      <c r="H1943">
        <v>19</v>
      </c>
      <c r="I1943">
        <v>11</v>
      </c>
      <c r="J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U1943">
        <v>0</v>
      </c>
      <c r="V1943">
        <v>0</v>
      </c>
      <c r="W1943" s="1">
        <v>44160</v>
      </c>
      <c r="X1943" t="s">
        <v>56</v>
      </c>
      <c r="AB1943" t="s">
        <v>40</v>
      </c>
      <c r="AI1943" t="s">
        <v>40</v>
      </c>
      <c r="AJ1943" t="s">
        <v>40</v>
      </c>
      <c r="AK1943" t="s">
        <v>40</v>
      </c>
    </row>
    <row r="1944" spans="1:39" x14ac:dyDescent="0.3">
      <c r="A1944">
        <v>2020</v>
      </c>
      <c r="B1944">
        <v>5</v>
      </c>
      <c r="C1944" t="str">
        <f t="shared" si="60"/>
        <v>5/01/2020</v>
      </c>
      <c r="D1944" s="1" t="str">
        <f t="shared" si="61"/>
        <v>5/01/2020</v>
      </c>
      <c r="E1944" t="s">
        <v>37</v>
      </c>
      <c r="F1944" t="s">
        <v>51</v>
      </c>
      <c r="G1944" t="s">
        <v>42</v>
      </c>
      <c r="H1944">
        <v>30</v>
      </c>
      <c r="I1944">
        <v>17</v>
      </c>
      <c r="J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W1944" s="1">
        <v>44160</v>
      </c>
      <c r="X1944" t="s">
        <v>56</v>
      </c>
      <c r="AB1944" t="s">
        <v>40</v>
      </c>
      <c r="AJ1944" t="s">
        <v>40</v>
      </c>
      <c r="AK1944" t="s">
        <v>40</v>
      </c>
      <c r="AL1944" t="s">
        <v>40</v>
      </c>
      <c r="AM1944" t="s">
        <v>40</v>
      </c>
    </row>
    <row r="1945" spans="1:39" x14ac:dyDescent="0.3">
      <c r="A1945">
        <v>2020</v>
      </c>
      <c r="B1945">
        <v>5</v>
      </c>
      <c r="C1945" t="str">
        <f t="shared" si="60"/>
        <v>5/01/2020</v>
      </c>
      <c r="D1945" s="1" t="str">
        <f t="shared" si="61"/>
        <v>5/01/2020</v>
      </c>
      <c r="E1945" t="s">
        <v>37</v>
      </c>
      <c r="F1945" t="s">
        <v>51</v>
      </c>
      <c r="G1945" t="s">
        <v>43</v>
      </c>
      <c r="H1945">
        <v>78</v>
      </c>
      <c r="I1945">
        <v>65</v>
      </c>
      <c r="K1945">
        <v>30</v>
      </c>
      <c r="M1945">
        <v>0</v>
      </c>
      <c r="N1945">
        <v>0</v>
      </c>
      <c r="O1945">
        <v>0</v>
      </c>
      <c r="Q1945">
        <v>0</v>
      </c>
      <c r="W1945" s="1">
        <v>44160</v>
      </c>
      <c r="X1945" t="s">
        <v>56</v>
      </c>
      <c r="AA1945" t="s">
        <v>40</v>
      </c>
      <c r="AC1945" t="s">
        <v>40</v>
      </c>
      <c r="AG1945" t="s">
        <v>40</v>
      </c>
      <c r="AI1945" t="s">
        <v>40</v>
      </c>
      <c r="AJ1945" t="s">
        <v>40</v>
      </c>
      <c r="AK1945" t="s">
        <v>40</v>
      </c>
      <c r="AL1945" t="s">
        <v>40</v>
      </c>
      <c r="AM1945" t="s">
        <v>40</v>
      </c>
    </row>
    <row r="1946" spans="1:39" x14ac:dyDescent="0.3">
      <c r="A1946">
        <v>2020</v>
      </c>
      <c r="B1946">
        <v>5</v>
      </c>
      <c r="C1946" t="str">
        <f t="shared" si="60"/>
        <v>5/01/2020</v>
      </c>
      <c r="D1946" s="1" t="str">
        <f t="shared" si="61"/>
        <v>5/01/2020</v>
      </c>
      <c r="E1946" t="s">
        <v>37</v>
      </c>
      <c r="F1946" t="s">
        <v>51</v>
      </c>
      <c r="G1946" t="s">
        <v>44</v>
      </c>
      <c r="H1946">
        <v>161</v>
      </c>
      <c r="I1946">
        <v>146</v>
      </c>
      <c r="K1946">
        <v>75</v>
      </c>
      <c r="M1946">
        <v>0</v>
      </c>
      <c r="P1946">
        <v>0</v>
      </c>
      <c r="Q1946">
        <v>0</v>
      </c>
      <c r="S1946">
        <v>12</v>
      </c>
      <c r="T1946">
        <v>12</v>
      </c>
      <c r="U1946">
        <v>21</v>
      </c>
      <c r="V1946">
        <v>21</v>
      </c>
      <c r="W1946" s="1">
        <v>44160</v>
      </c>
      <c r="X1946" t="s">
        <v>56</v>
      </c>
      <c r="AA1946" t="s">
        <v>40</v>
      </c>
      <c r="AC1946" t="s">
        <v>40</v>
      </c>
      <c r="AE1946" t="s">
        <v>40</v>
      </c>
      <c r="AF1946" t="s">
        <v>40</v>
      </c>
      <c r="AI1946" t="s">
        <v>40</v>
      </c>
    </row>
    <row r="1947" spans="1:39" x14ac:dyDescent="0.3">
      <c r="A1947">
        <v>2020</v>
      </c>
      <c r="B1947">
        <v>5</v>
      </c>
      <c r="C1947" t="str">
        <f t="shared" si="60"/>
        <v>5/01/2020</v>
      </c>
      <c r="D1947" s="1" t="str">
        <f t="shared" si="61"/>
        <v>5/01/2020</v>
      </c>
      <c r="E1947" t="s">
        <v>37</v>
      </c>
      <c r="F1947" t="s">
        <v>51</v>
      </c>
      <c r="G1947" t="s">
        <v>45</v>
      </c>
      <c r="J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 s="1">
        <v>44160</v>
      </c>
      <c r="X1947" t="s">
        <v>56</v>
      </c>
      <c r="Y1947" t="s">
        <v>40</v>
      </c>
      <c r="Z1947" t="s">
        <v>40</v>
      </c>
      <c r="AB1947" t="s">
        <v>40</v>
      </c>
    </row>
    <row r="1948" spans="1:39" x14ac:dyDescent="0.3">
      <c r="A1948">
        <v>2020</v>
      </c>
      <c r="B1948">
        <v>5</v>
      </c>
      <c r="C1948" t="str">
        <f t="shared" si="60"/>
        <v>5/01/2020</v>
      </c>
      <c r="D1948" s="1" t="str">
        <f t="shared" si="61"/>
        <v>5/01/2020</v>
      </c>
      <c r="E1948" t="s">
        <v>37</v>
      </c>
      <c r="F1948" t="s">
        <v>51</v>
      </c>
      <c r="G1948" t="s">
        <v>46</v>
      </c>
      <c r="H1948">
        <v>318</v>
      </c>
      <c r="I1948">
        <v>298</v>
      </c>
      <c r="K1948">
        <v>125</v>
      </c>
      <c r="L1948">
        <v>10</v>
      </c>
      <c r="S1948">
        <v>32</v>
      </c>
      <c r="T1948">
        <v>16</v>
      </c>
      <c r="U1948">
        <v>55</v>
      </c>
      <c r="V1948">
        <v>52</v>
      </c>
      <c r="W1948" s="1">
        <v>44160</v>
      </c>
      <c r="X1948" t="s">
        <v>56</v>
      </c>
      <c r="AA1948" t="s">
        <v>40</v>
      </c>
      <c r="AD1948" t="s">
        <v>40</v>
      </c>
      <c r="AE1948" t="s">
        <v>40</v>
      </c>
      <c r="AF1948" t="s">
        <v>40</v>
      </c>
      <c r="AG1948" t="s">
        <v>40</v>
      </c>
      <c r="AH1948" t="s">
        <v>40</v>
      </c>
      <c r="AI1948" t="s">
        <v>40</v>
      </c>
    </row>
    <row r="1949" spans="1:39" x14ac:dyDescent="0.3">
      <c r="A1949">
        <v>2020</v>
      </c>
      <c r="B1949">
        <v>5</v>
      </c>
      <c r="C1949" t="str">
        <f t="shared" si="60"/>
        <v>5/01/2020</v>
      </c>
      <c r="D1949" s="1" t="str">
        <f t="shared" si="61"/>
        <v>5/01/2020</v>
      </c>
      <c r="E1949" t="s">
        <v>37</v>
      </c>
      <c r="F1949" t="s">
        <v>51</v>
      </c>
      <c r="G1949" t="s">
        <v>47</v>
      </c>
      <c r="H1949">
        <v>611</v>
      </c>
      <c r="I1949">
        <v>602</v>
      </c>
      <c r="K1949">
        <v>190</v>
      </c>
      <c r="L1949">
        <v>33</v>
      </c>
      <c r="Q1949">
        <v>11</v>
      </c>
      <c r="S1949">
        <v>79</v>
      </c>
      <c r="T1949">
        <v>43</v>
      </c>
      <c r="U1949">
        <v>137</v>
      </c>
      <c r="V1949">
        <v>127</v>
      </c>
      <c r="W1949" s="1">
        <v>44160</v>
      </c>
      <c r="X1949" t="s">
        <v>56</v>
      </c>
      <c r="AA1949" t="s">
        <v>40</v>
      </c>
      <c r="AD1949" t="s">
        <v>40</v>
      </c>
      <c r="AE1949" t="s">
        <v>40</v>
      </c>
      <c r="AF1949" t="s">
        <v>40</v>
      </c>
      <c r="AG1949" t="s">
        <v>40</v>
      </c>
      <c r="AI1949" t="s">
        <v>40</v>
      </c>
    </row>
    <row r="1950" spans="1:39" x14ac:dyDescent="0.3">
      <c r="A1950">
        <v>2020</v>
      </c>
      <c r="B1950">
        <v>5</v>
      </c>
      <c r="C1950" t="str">
        <f t="shared" si="60"/>
        <v>5/01/2020</v>
      </c>
      <c r="D1950" s="1" t="str">
        <f t="shared" si="61"/>
        <v>5/01/2020</v>
      </c>
      <c r="E1950" t="s">
        <v>37</v>
      </c>
      <c r="F1950" t="s">
        <v>51</v>
      </c>
      <c r="G1950" t="s">
        <v>48</v>
      </c>
      <c r="H1950">
        <v>879</v>
      </c>
      <c r="I1950">
        <v>866</v>
      </c>
      <c r="J1950">
        <v>11</v>
      </c>
      <c r="K1950">
        <v>167</v>
      </c>
      <c r="L1950">
        <v>43</v>
      </c>
      <c r="M1950">
        <v>32</v>
      </c>
      <c r="N1950">
        <v>11</v>
      </c>
      <c r="O1950">
        <v>11</v>
      </c>
      <c r="Q1950">
        <v>19</v>
      </c>
      <c r="S1950">
        <v>157</v>
      </c>
      <c r="T1950">
        <v>78</v>
      </c>
      <c r="U1950">
        <v>164</v>
      </c>
      <c r="V1950">
        <v>149</v>
      </c>
      <c r="W1950" s="1">
        <v>44160</v>
      </c>
      <c r="X1950" t="s">
        <v>56</v>
      </c>
      <c r="AG1950" t="s">
        <v>40</v>
      </c>
      <c r="AI1950" t="s">
        <v>40</v>
      </c>
    </row>
    <row r="1951" spans="1:39" x14ac:dyDescent="0.3">
      <c r="A1951">
        <v>2020</v>
      </c>
      <c r="B1951">
        <v>5</v>
      </c>
      <c r="C1951" t="str">
        <f t="shared" si="60"/>
        <v>5/01/2020</v>
      </c>
      <c r="D1951" s="1" t="str">
        <f t="shared" si="61"/>
        <v>5/01/2020</v>
      </c>
      <c r="E1951" t="s">
        <v>37</v>
      </c>
      <c r="F1951" t="s">
        <v>51</v>
      </c>
      <c r="G1951" t="s">
        <v>49</v>
      </c>
      <c r="H1951" s="2">
        <v>1596</v>
      </c>
      <c r="I1951" s="2">
        <v>1562</v>
      </c>
      <c r="J1951">
        <v>13</v>
      </c>
      <c r="K1951">
        <v>116</v>
      </c>
      <c r="L1951">
        <v>60</v>
      </c>
      <c r="M1951">
        <v>142</v>
      </c>
      <c r="N1951">
        <v>31</v>
      </c>
      <c r="O1951">
        <v>39</v>
      </c>
      <c r="P1951">
        <v>13</v>
      </c>
      <c r="Q1951">
        <v>19</v>
      </c>
      <c r="R1951">
        <v>18</v>
      </c>
      <c r="S1951">
        <v>362</v>
      </c>
      <c r="T1951">
        <v>140</v>
      </c>
      <c r="U1951">
        <v>323</v>
      </c>
      <c r="V1951">
        <v>295</v>
      </c>
      <c r="W1951" s="1">
        <v>44160</v>
      </c>
      <c r="X1951" t="s">
        <v>56</v>
      </c>
    </row>
    <row r="1952" spans="1:39" x14ac:dyDescent="0.3">
      <c r="A1952">
        <v>2020</v>
      </c>
      <c r="B1952">
        <v>5</v>
      </c>
      <c r="C1952" t="str">
        <f t="shared" si="60"/>
        <v>5/01/2020</v>
      </c>
      <c r="D1952" s="1" t="str">
        <f t="shared" si="61"/>
        <v>5/01/2020</v>
      </c>
      <c r="E1952" t="s">
        <v>37</v>
      </c>
      <c r="F1952" t="s">
        <v>52</v>
      </c>
      <c r="G1952" t="s">
        <v>39</v>
      </c>
      <c r="H1952">
        <v>240</v>
      </c>
      <c r="I1952">
        <v>213</v>
      </c>
      <c r="L1952">
        <v>0</v>
      </c>
      <c r="M1952">
        <v>0</v>
      </c>
      <c r="O1952">
        <v>0</v>
      </c>
      <c r="Q1952">
        <v>0</v>
      </c>
      <c r="R1952">
        <v>43</v>
      </c>
      <c r="U1952">
        <v>0</v>
      </c>
      <c r="V1952">
        <v>0</v>
      </c>
      <c r="W1952" s="1">
        <v>44160</v>
      </c>
      <c r="X1952" t="s">
        <v>56</v>
      </c>
      <c r="AA1952" t="s">
        <v>40</v>
      </c>
      <c r="AB1952" t="s">
        <v>40</v>
      </c>
      <c r="AE1952" t="s">
        <v>40</v>
      </c>
      <c r="AG1952" t="s">
        <v>40</v>
      </c>
      <c r="AJ1952" t="s">
        <v>40</v>
      </c>
      <c r="AK1952" t="s">
        <v>40</v>
      </c>
    </row>
    <row r="1953" spans="1:39" x14ac:dyDescent="0.3">
      <c r="A1953">
        <v>2020</v>
      </c>
      <c r="B1953">
        <v>5</v>
      </c>
      <c r="C1953" t="str">
        <f t="shared" si="60"/>
        <v>5/01/2020</v>
      </c>
      <c r="D1953" s="1" t="str">
        <f t="shared" si="61"/>
        <v>5/01/2020</v>
      </c>
      <c r="E1953" t="s">
        <v>37</v>
      </c>
      <c r="F1953" t="s">
        <v>52</v>
      </c>
      <c r="G1953" t="s">
        <v>41</v>
      </c>
      <c r="H1953">
        <v>195</v>
      </c>
      <c r="I1953">
        <v>78</v>
      </c>
      <c r="K1953">
        <v>10</v>
      </c>
      <c r="M1953">
        <v>0</v>
      </c>
      <c r="S1953">
        <v>11</v>
      </c>
      <c r="W1953" s="1">
        <v>44160</v>
      </c>
      <c r="X1953" t="s">
        <v>56</v>
      </c>
      <c r="AA1953" t="s">
        <v>40</v>
      </c>
      <c r="AC1953" t="s">
        <v>40</v>
      </c>
      <c r="AE1953" t="s">
        <v>40</v>
      </c>
      <c r="AF1953" t="s">
        <v>40</v>
      </c>
      <c r="AG1953" t="s">
        <v>40</v>
      </c>
      <c r="AH1953" t="s">
        <v>40</v>
      </c>
      <c r="AI1953" t="s">
        <v>40</v>
      </c>
      <c r="AK1953" t="s">
        <v>40</v>
      </c>
      <c r="AL1953" t="s">
        <v>40</v>
      </c>
      <c r="AM1953" t="s">
        <v>40</v>
      </c>
    </row>
    <row r="1954" spans="1:39" x14ac:dyDescent="0.3">
      <c r="A1954">
        <v>2020</v>
      </c>
      <c r="B1954">
        <v>5</v>
      </c>
      <c r="C1954" t="str">
        <f t="shared" si="60"/>
        <v>5/01/2020</v>
      </c>
      <c r="D1954" s="1" t="str">
        <f t="shared" si="61"/>
        <v>5/01/2020</v>
      </c>
      <c r="E1954" t="s">
        <v>37</v>
      </c>
      <c r="F1954" t="s">
        <v>52</v>
      </c>
      <c r="G1954" t="s">
        <v>42</v>
      </c>
      <c r="H1954">
        <v>418</v>
      </c>
      <c r="I1954">
        <v>222</v>
      </c>
      <c r="K1954">
        <v>37</v>
      </c>
      <c r="L1954">
        <v>16</v>
      </c>
      <c r="M1954">
        <v>0</v>
      </c>
      <c r="R1954">
        <v>14</v>
      </c>
      <c r="S1954">
        <v>32</v>
      </c>
      <c r="U1954">
        <v>20</v>
      </c>
      <c r="V1954">
        <v>19</v>
      </c>
      <c r="W1954" s="1">
        <v>44160</v>
      </c>
      <c r="X1954" t="s">
        <v>56</v>
      </c>
      <c r="AA1954" t="s">
        <v>40</v>
      </c>
      <c r="AE1954" t="s">
        <v>40</v>
      </c>
      <c r="AF1954" t="s">
        <v>40</v>
      </c>
      <c r="AG1954" t="s">
        <v>40</v>
      </c>
      <c r="AH1954" t="s">
        <v>40</v>
      </c>
      <c r="AK1954" t="s">
        <v>40</v>
      </c>
    </row>
    <row r="1955" spans="1:39" x14ac:dyDescent="0.3">
      <c r="A1955">
        <v>2020</v>
      </c>
      <c r="B1955">
        <v>5</v>
      </c>
      <c r="C1955" t="str">
        <f t="shared" si="60"/>
        <v>5/01/2020</v>
      </c>
      <c r="D1955" s="1" t="str">
        <f t="shared" si="61"/>
        <v>5/01/2020</v>
      </c>
      <c r="E1955" t="s">
        <v>37</v>
      </c>
      <c r="F1955" t="s">
        <v>52</v>
      </c>
      <c r="G1955" t="s">
        <v>43</v>
      </c>
      <c r="H1955">
        <v>713</v>
      </c>
      <c r="I1955">
        <v>571</v>
      </c>
      <c r="J1955">
        <v>13</v>
      </c>
      <c r="K1955">
        <v>81</v>
      </c>
      <c r="L1955">
        <v>34</v>
      </c>
      <c r="M1955">
        <v>0</v>
      </c>
      <c r="N1955">
        <v>10</v>
      </c>
      <c r="O1955">
        <v>13</v>
      </c>
      <c r="P1955">
        <v>10</v>
      </c>
      <c r="Q1955">
        <v>16</v>
      </c>
      <c r="R1955">
        <v>19</v>
      </c>
      <c r="S1955">
        <v>123</v>
      </c>
      <c r="T1955">
        <v>20</v>
      </c>
      <c r="U1955">
        <v>69</v>
      </c>
      <c r="V1955">
        <v>62</v>
      </c>
      <c r="W1955" s="1">
        <v>44160</v>
      </c>
      <c r="X1955" t="s">
        <v>56</v>
      </c>
    </row>
    <row r="1956" spans="1:39" x14ac:dyDescent="0.3">
      <c r="A1956">
        <v>2020</v>
      </c>
      <c r="B1956">
        <v>5</v>
      </c>
      <c r="C1956" t="str">
        <f t="shared" si="60"/>
        <v>5/01/2020</v>
      </c>
      <c r="D1956" s="1" t="str">
        <f t="shared" si="61"/>
        <v>5/01/2020</v>
      </c>
      <c r="E1956" t="s">
        <v>37</v>
      </c>
      <c r="F1956" t="s">
        <v>52</v>
      </c>
      <c r="G1956" t="s">
        <v>44</v>
      </c>
      <c r="H1956" s="2">
        <v>1311</v>
      </c>
      <c r="I1956" s="2">
        <v>1186</v>
      </c>
      <c r="J1956">
        <v>21</v>
      </c>
      <c r="K1956">
        <v>260</v>
      </c>
      <c r="L1956">
        <v>70</v>
      </c>
      <c r="N1956">
        <v>13</v>
      </c>
      <c r="O1956">
        <v>22</v>
      </c>
      <c r="P1956">
        <v>11</v>
      </c>
      <c r="Q1956">
        <v>26</v>
      </c>
      <c r="R1956">
        <v>23</v>
      </c>
      <c r="S1956">
        <v>263</v>
      </c>
      <c r="T1956">
        <v>51</v>
      </c>
      <c r="U1956">
        <v>178</v>
      </c>
      <c r="V1956">
        <v>168</v>
      </c>
      <c r="W1956" s="1">
        <v>44160</v>
      </c>
      <c r="X1956" t="s">
        <v>56</v>
      </c>
      <c r="AD1956" t="s">
        <v>40</v>
      </c>
    </row>
    <row r="1957" spans="1:39" x14ac:dyDescent="0.3">
      <c r="A1957">
        <v>2020</v>
      </c>
      <c r="B1957">
        <v>5</v>
      </c>
      <c r="C1957" t="str">
        <f t="shared" si="60"/>
        <v>5/01/2020</v>
      </c>
      <c r="D1957" s="1" t="str">
        <f t="shared" si="61"/>
        <v>5/01/2020</v>
      </c>
      <c r="E1957" t="s">
        <v>37</v>
      </c>
      <c r="F1957" t="s">
        <v>52</v>
      </c>
      <c r="G1957" t="s">
        <v>45</v>
      </c>
      <c r="H1957">
        <v>31</v>
      </c>
      <c r="I1957">
        <v>13</v>
      </c>
      <c r="J1957">
        <v>0</v>
      </c>
      <c r="L1957">
        <v>0</v>
      </c>
      <c r="M1957">
        <v>0</v>
      </c>
      <c r="N1957">
        <v>0</v>
      </c>
      <c r="Q1957">
        <v>0</v>
      </c>
      <c r="T1957">
        <v>0</v>
      </c>
      <c r="U1957">
        <v>0</v>
      </c>
      <c r="V1957">
        <v>0</v>
      </c>
      <c r="W1957" s="1">
        <v>44160</v>
      </c>
      <c r="X1957" t="s">
        <v>56</v>
      </c>
      <c r="AB1957" t="s">
        <v>40</v>
      </c>
      <c r="AF1957" t="s">
        <v>40</v>
      </c>
      <c r="AG1957" t="s">
        <v>40</v>
      </c>
      <c r="AI1957" t="s">
        <v>40</v>
      </c>
      <c r="AJ1957" t="s">
        <v>40</v>
      </c>
    </row>
    <row r="1958" spans="1:39" x14ac:dyDescent="0.3">
      <c r="A1958">
        <v>2020</v>
      </c>
      <c r="B1958">
        <v>5</v>
      </c>
      <c r="C1958" t="str">
        <f t="shared" si="60"/>
        <v>5/01/2020</v>
      </c>
      <c r="D1958" s="1" t="str">
        <f t="shared" si="61"/>
        <v>5/01/2020</v>
      </c>
      <c r="E1958" t="s">
        <v>37</v>
      </c>
      <c r="F1958" t="s">
        <v>52</v>
      </c>
      <c r="G1958" t="s">
        <v>46</v>
      </c>
      <c r="H1958" s="2">
        <v>2858</v>
      </c>
      <c r="I1958" s="2">
        <v>2714</v>
      </c>
      <c r="J1958">
        <v>38</v>
      </c>
      <c r="K1958">
        <v>658</v>
      </c>
      <c r="L1958">
        <v>153</v>
      </c>
      <c r="N1958">
        <v>28</v>
      </c>
      <c r="O1958">
        <v>105</v>
      </c>
      <c r="P1958">
        <v>27</v>
      </c>
      <c r="Q1958">
        <v>61</v>
      </c>
      <c r="R1958">
        <v>25</v>
      </c>
      <c r="S1958">
        <v>577</v>
      </c>
      <c r="T1958">
        <v>130</v>
      </c>
      <c r="U1958">
        <v>513</v>
      </c>
      <c r="V1958">
        <v>482</v>
      </c>
      <c r="W1958" s="1">
        <v>44160</v>
      </c>
      <c r="X1958" t="s">
        <v>56</v>
      </c>
      <c r="AD1958" t="s">
        <v>40</v>
      </c>
    </row>
    <row r="1959" spans="1:39" x14ac:dyDescent="0.3">
      <c r="A1959">
        <v>2020</v>
      </c>
      <c r="B1959">
        <v>5</v>
      </c>
      <c r="C1959" t="str">
        <f t="shared" si="60"/>
        <v>5/01/2020</v>
      </c>
      <c r="D1959" s="1" t="str">
        <f t="shared" si="61"/>
        <v>5/01/2020</v>
      </c>
      <c r="E1959" t="s">
        <v>37</v>
      </c>
      <c r="F1959" t="s">
        <v>52</v>
      </c>
      <c r="G1959" t="s">
        <v>47</v>
      </c>
      <c r="H1959" s="2">
        <v>3967</v>
      </c>
      <c r="I1959" s="2">
        <v>3892</v>
      </c>
      <c r="J1959">
        <v>78</v>
      </c>
      <c r="K1959">
        <v>882</v>
      </c>
      <c r="L1959">
        <v>184</v>
      </c>
      <c r="M1959">
        <v>54</v>
      </c>
      <c r="N1959">
        <v>54</v>
      </c>
      <c r="O1959">
        <v>125</v>
      </c>
      <c r="P1959">
        <v>58</v>
      </c>
      <c r="Q1959">
        <v>121</v>
      </c>
      <c r="R1959">
        <v>19</v>
      </c>
      <c r="S1959">
        <v>738</v>
      </c>
      <c r="T1959">
        <v>197</v>
      </c>
      <c r="U1959">
        <v>827</v>
      </c>
      <c r="V1959">
        <v>781</v>
      </c>
      <c r="W1959" s="1">
        <v>44160</v>
      </c>
      <c r="X1959" t="s">
        <v>56</v>
      </c>
    </row>
    <row r="1960" spans="1:39" x14ac:dyDescent="0.3">
      <c r="A1960">
        <v>2020</v>
      </c>
      <c r="B1960">
        <v>5</v>
      </c>
      <c r="C1960" t="str">
        <f t="shared" si="60"/>
        <v>5/01/2020</v>
      </c>
      <c r="D1960" s="1" t="str">
        <f t="shared" si="61"/>
        <v>5/01/2020</v>
      </c>
      <c r="E1960" t="s">
        <v>37</v>
      </c>
      <c r="F1960" t="s">
        <v>52</v>
      </c>
      <c r="G1960" t="s">
        <v>48</v>
      </c>
      <c r="H1960" s="2">
        <v>4056</v>
      </c>
      <c r="I1960" s="2">
        <v>4003</v>
      </c>
      <c r="J1960">
        <v>61</v>
      </c>
      <c r="K1960">
        <v>569</v>
      </c>
      <c r="L1960">
        <v>173</v>
      </c>
      <c r="M1960">
        <v>173</v>
      </c>
      <c r="N1960">
        <v>59</v>
      </c>
      <c r="O1960">
        <v>128</v>
      </c>
      <c r="P1960">
        <v>47</v>
      </c>
      <c r="Q1960">
        <v>110</v>
      </c>
      <c r="R1960">
        <v>32</v>
      </c>
      <c r="S1960">
        <v>792</v>
      </c>
      <c r="T1960">
        <v>274</v>
      </c>
      <c r="U1960">
        <v>966</v>
      </c>
      <c r="V1960">
        <v>884</v>
      </c>
      <c r="W1960" s="1">
        <v>44160</v>
      </c>
      <c r="X1960" t="s">
        <v>56</v>
      </c>
    </row>
    <row r="1961" spans="1:39" x14ac:dyDescent="0.3">
      <c r="A1961">
        <v>2020</v>
      </c>
      <c r="B1961">
        <v>5</v>
      </c>
      <c r="C1961" t="str">
        <f t="shared" si="60"/>
        <v>5/01/2020</v>
      </c>
      <c r="D1961" s="1" t="str">
        <f t="shared" si="61"/>
        <v>5/01/2020</v>
      </c>
      <c r="E1961" t="s">
        <v>37</v>
      </c>
      <c r="F1961" t="s">
        <v>52</v>
      </c>
      <c r="G1961" t="s">
        <v>49</v>
      </c>
      <c r="H1961" s="2">
        <v>4917</v>
      </c>
      <c r="I1961" s="2">
        <v>4874</v>
      </c>
      <c r="J1961">
        <v>53</v>
      </c>
      <c r="K1961">
        <v>341</v>
      </c>
      <c r="L1961">
        <v>142</v>
      </c>
      <c r="M1961">
        <v>423</v>
      </c>
      <c r="N1961">
        <v>70</v>
      </c>
      <c r="O1961">
        <v>117</v>
      </c>
      <c r="P1961">
        <v>42</v>
      </c>
      <c r="Q1961">
        <v>122</v>
      </c>
      <c r="R1961">
        <v>57</v>
      </c>
      <c r="S1961" s="2">
        <v>1023</v>
      </c>
      <c r="T1961">
        <v>366</v>
      </c>
      <c r="U1961" s="2">
        <v>1144</v>
      </c>
      <c r="V1961" s="2">
        <v>1036</v>
      </c>
      <c r="W1961" s="1">
        <v>44160</v>
      </c>
      <c r="X1961" t="s">
        <v>56</v>
      </c>
    </row>
    <row r="1962" spans="1:39" x14ac:dyDescent="0.3">
      <c r="A1962">
        <v>2020</v>
      </c>
      <c r="B1962">
        <v>5</v>
      </c>
      <c r="C1962" t="str">
        <f t="shared" si="60"/>
        <v>5/01/2020</v>
      </c>
      <c r="D1962" s="1" t="str">
        <f t="shared" si="61"/>
        <v>5/01/2020</v>
      </c>
      <c r="E1962" t="s">
        <v>37</v>
      </c>
      <c r="F1962" t="s">
        <v>53</v>
      </c>
      <c r="G1962" t="s">
        <v>39</v>
      </c>
      <c r="H1962">
        <v>382</v>
      </c>
      <c r="I1962">
        <v>337</v>
      </c>
      <c r="J1962">
        <v>0</v>
      </c>
      <c r="K1962">
        <v>15</v>
      </c>
      <c r="L1962">
        <v>0</v>
      </c>
      <c r="M1962">
        <v>0</v>
      </c>
      <c r="O1962">
        <v>0</v>
      </c>
      <c r="Q1962">
        <v>0</v>
      </c>
      <c r="R1962">
        <v>45</v>
      </c>
      <c r="W1962" s="1">
        <v>44160</v>
      </c>
      <c r="X1962" t="s">
        <v>56</v>
      </c>
      <c r="AE1962" t="s">
        <v>40</v>
      </c>
      <c r="AG1962" t="s">
        <v>40</v>
      </c>
      <c r="AJ1962" t="s">
        <v>40</v>
      </c>
      <c r="AK1962" t="s">
        <v>40</v>
      </c>
      <c r="AL1962" t="s">
        <v>40</v>
      </c>
      <c r="AM1962" t="s">
        <v>40</v>
      </c>
    </row>
    <row r="1963" spans="1:39" x14ac:dyDescent="0.3">
      <c r="A1963">
        <v>2020</v>
      </c>
      <c r="B1963">
        <v>5</v>
      </c>
      <c r="C1963" t="str">
        <f t="shared" si="60"/>
        <v>5/01/2020</v>
      </c>
      <c r="D1963" s="1" t="str">
        <f t="shared" si="61"/>
        <v>5/01/2020</v>
      </c>
      <c r="E1963" t="s">
        <v>37</v>
      </c>
      <c r="F1963" t="s">
        <v>53</v>
      </c>
      <c r="G1963" t="s">
        <v>41</v>
      </c>
      <c r="H1963">
        <v>390</v>
      </c>
      <c r="I1963">
        <v>122</v>
      </c>
      <c r="J1963">
        <v>0</v>
      </c>
      <c r="K1963">
        <v>27</v>
      </c>
      <c r="M1963">
        <v>0</v>
      </c>
      <c r="N1963">
        <v>0</v>
      </c>
      <c r="R1963">
        <v>12</v>
      </c>
      <c r="S1963">
        <v>14</v>
      </c>
      <c r="W1963" s="1">
        <v>44160</v>
      </c>
      <c r="X1963" t="s">
        <v>56</v>
      </c>
      <c r="AC1963" t="s">
        <v>40</v>
      </c>
      <c r="AF1963" t="s">
        <v>40</v>
      </c>
      <c r="AG1963" t="s">
        <v>40</v>
      </c>
      <c r="AH1963" t="s">
        <v>40</v>
      </c>
      <c r="AK1963" t="s">
        <v>40</v>
      </c>
      <c r="AL1963" t="s">
        <v>40</v>
      </c>
      <c r="AM1963" t="s">
        <v>40</v>
      </c>
    </row>
    <row r="1964" spans="1:39" x14ac:dyDescent="0.3">
      <c r="A1964">
        <v>2020</v>
      </c>
      <c r="B1964">
        <v>5</v>
      </c>
      <c r="C1964" t="str">
        <f t="shared" si="60"/>
        <v>5/01/2020</v>
      </c>
      <c r="D1964" s="1" t="str">
        <f t="shared" si="61"/>
        <v>5/01/2020</v>
      </c>
      <c r="E1964" t="s">
        <v>37</v>
      </c>
      <c r="F1964" t="s">
        <v>53</v>
      </c>
      <c r="G1964" t="s">
        <v>42</v>
      </c>
      <c r="H1964" s="2">
        <v>1081</v>
      </c>
      <c r="I1964">
        <v>401</v>
      </c>
      <c r="K1964">
        <v>95</v>
      </c>
      <c r="L1964">
        <v>17</v>
      </c>
      <c r="M1964">
        <v>0</v>
      </c>
      <c r="R1964">
        <v>38</v>
      </c>
      <c r="S1964">
        <v>58</v>
      </c>
      <c r="U1964">
        <v>13</v>
      </c>
      <c r="V1964">
        <v>11</v>
      </c>
      <c r="W1964" s="1">
        <v>44160</v>
      </c>
      <c r="X1964" t="s">
        <v>56</v>
      </c>
      <c r="AA1964" t="s">
        <v>40</v>
      </c>
      <c r="AE1964" t="s">
        <v>40</v>
      </c>
      <c r="AF1964" t="s">
        <v>40</v>
      </c>
      <c r="AG1964" t="s">
        <v>40</v>
      </c>
      <c r="AH1964" t="s">
        <v>40</v>
      </c>
      <c r="AK1964" t="s">
        <v>40</v>
      </c>
    </row>
    <row r="1965" spans="1:39" x14ac:dyDescent="0.3">
      <c r="A1965">
        <v>2020</v>
      </c>
      <c r="B1965">
        <v>5</v>
      </c>
      <c r="C1965" t="str">
        <f t="shared" si="60"/>
        <v>5/01/2020</v>
      </c>
      <c r="D1965" s="1" t="str">
        <f t="shared" si="61"/>
        <v>5/01/2020</v>
      </c>
      <c r="E1965" t="s">
        <v>37</v>
      </c>
      <c r="F1965" t="s">
        <v>53</v>
      </c>
      <c r="G1965" t="s">
        <v>43</v>
      </c>
      <c r="H1965" s="2">
        <v>1762</v>
      </c>
      <c r="I1965" s="2">
        <v>1062</v>
      </c>
      <c r="J1965">
        <v>15</v>
      </c>
      <c r="K1965">
        <v>260</v>
      </c>
      <c r="L1965">
        <v>41</v>
      </c>
      <c r="M1965">
        <v>0</v>
      </c>
      <c r="N1965">
        <v>18</v>
      </c>
      <c r="O1965">
        <v>22</v>
      </c>
      <c r="Q1965">
        <v>11</v>
      </c>
      <c r="R1965">
        <v>66</v>
      </c>
      <c r="S1965">
        <v>172</v>
      </c>
      <c r="T1965">
        <v>29</v>
      </c>
      <c r="U1965">
        <v>31</v>
      </c>
      <c r="V1965">
        <v>26</v>
      </c>
      <c r="W1965" s="1">
        <v>44160</v>
      </c>
      <c r="X1965" t="s">
        <v>56</v>
      </c>
      <c r="AG1965" t="s">
        <v>40</v>
      </c>
    </row>
    <row r="1966" spans="1:39" x14ac:dyDescent="0.3">
      <c r="A1966">
        <v>2020</v>
      </c>
      <c r="B1966">
        <v>5</v>
      </c>
      <c r="C1966" t="str">
        <f t="shared" si="60"/>
        <v>5/01/2020</v>
      </c>
      <c r="D1966" s="1" t="str">
        <f t="shared" si="61"/>
        <v>5/01/2020</v>
      </c>
      <c r="E1966" t="s">
        <v>37</v>
      </c>
      <c r="F1966" t="s">
        <v>53</v>
      </c>
      <c r="G1966" t="s">
        <v>44</v>
      </c>
      <c r="H1966" s="2">
        <v>3488</v>
      </c>
      <c r="I1966" s="2">
        <v>2820</v>
      </c>
      <c r="J1966">
        <v>45</v>
      </c>
      <c r="K1966">
        <v>883</v>
      </c>
      <c r="L1966">
        <v>114</v>
      </c>
      <c r="N1966">
        <v>31</v>
      </c>
      <c r="O1966">
        <v>109</v>
      </c>
      <c r="P1966">
        <v>41</v>
      </c>
      <c r="Q1966">
        <v>28</v>
      </c>
      <c r="R1966">
        <v>69</v>
      </c>
      <c r="S1966">
        <v>507</v>
      </c>
      <c r="T1966">
        <v>84</v>
      </c>
      <c r="U1966">
        <v>138</v>
      </c>
      <c r="V1966">
        <v>120</v>
      </c>
      <c r="W1966" s="1">
        <v>44160</v>
      </c>
      <c r="X1966" t="s">
        <v>56</v>
      </c>
      <c r="AD1966" t="s">
        <v>40</v>
      </c>
    </row>
    <row r="1967" spans="1:39" x14ac:dyDescent="0.3">
      <c r="A1967">
        <v>2020</v>
      </c>
      <c r="B1967">
        <v>5</v>
      </c>
      <c r="C1967" t="str">
        <f t="shared" si="60"/>
        <v>5/01/2020</v>
      </c>
      <c r="D1967" s="1" t="str">
        <f t="shared" si="61"/>
        <v>5/01/2020</v>
      </c>
      <c r="E1967" t="s">
        <v>37</v>
      </c>
      <c r="F1967" t="s">
        <v>53</v>
      </c>
      <c r="G1967" t="s">
        <v>45</v>
      </c>
      <c r="H1967">
        <v>79</v>
      </c>
      <c r="I1967">
        <v>54</v>
      </c>
      <c r="J1967">
        <v>0</v>
      </c>
      <c r="K1967">
        <v>25</v>
      </c>
      <c r="M1967">
        <v>0</v>
      </c>
      <c r="N1967">
        <v>0</v>
      </c>
      <c r="P1967">
        <v>0</v>
      </c>
      <c r="Q1967">
        <v>0</v>
      </c>
      <c r="U1967">
        <v>0</v>
      </c>
      <c r="V1967">
        <v>0</v>
      </c>
      <c r="W1967" s="1">
        <v>44160</v>
      </c>
      <c r="X1967" t="s">
        <v>56</v>
      </c>
      <c r="AC1967" t="s">
        <v>40</v>
      </c>
      <c r="AF1967" t="s">
        <v>40</v>
      </c>
      <c r="AI1967" t="s">
        <v>40</v>
      </c>
      <c r="AJ1967" t="s">
        <v>40</v>
      </c>
      <c r="AK1967" t="s">
        <v>40</v>
      </c>
    </row>
    <row r="1968" spans="1:39" x14ac:dyDescent="0.3">
      <c r="A1968">
        <v>2020</v>
      </c>
      <c r="B1968">
        <v>5</v>
      </c>
      <c r="C1968" t="str">
        <f t="shared" si="60"/>
        <v>5/01/2020</v>
      </c>
      <c r="D1968" s="1" t="str">
        <f t="shared" si="61"/>
        <v>5/01/2020</v>
      </c>
      <c r="E1968" t="s">
        <v>37</v>
      </c>
      <c r="F1968" t="s">
        <v>53</v>
      </c>
      <c r="G1968" t="s">
        <v>46</v>
      </c>
      <c r="H1968" s="2">
        <v>8980</v>
      </c>
      <c r="I1968" s="2">
        <v>8315</v>
      </c>
      <c r="J1968">
        <v>155</v>
      </c>
      <c r="K1968" s="2">
        <v>2927</v>
      </c>
      <c r="L1968">
        <v>305</v>
      </c>
      <c r="M1968">
        <v>43</v>
      </c>
      <c r="N1968">
        <v>110</v>
      </c>
      <c r="O1968">
        <v>593</v>
      </c>
      <c r="P1968">
        <v>134</v>
      </c>
      <c r="Q1968">
        <v>97</v>
      </c>
      <c r="R1968">
        <v>82</v>
      </c>
      <c r="S1968" s="2">
        <v>1426</v>
      </c>
      <c r="T1968">
        <v>261</v>
      </c>
      <c r="U1968">
        <v>548</v>
      </c>
      <c r="V1968">
        <v>498</v>
      </c>
      <c r="W1968" s="1">
        <v>44160</v>
      </c>
      <c r="X1968" t="s">
        <v>56</v>
      </c>
    </row>
    <row r="1969" spans="1:39" x14ac:dyDescent="0.3">
      <c r="A1969">
        <v>2020</v>
      </c>
      <c r="B1969">
        <v>5</v>
      </c>
      <c r="C1969" t="str">
        <f t="shared" si="60"/>
        <v>5/01/2020</v>
      </c>
      <c r="D1969" s="1" t="str">
        <f t="shared" si="61"/>
        <v>5/01/2020</v>
      </c>
      <c r="E1969" t="s">
        <v>37</v>
      </c>
      <c r="F1969" t="s">
        <v>53</v>
      </c>
      <c r="G1969" t="s">
        <v>47</v>
      </c>
      <c r="H1969" s="2">
        <v>16155</v>
      </c>
      <c r="I1969" s="2">
        <v>15651</v>
      </c>
      <c r="J1969">
        <v>238</v>
      </c>
      <c r="K1969" s="2">
        <v>4868</v>
      </c>
      <c r="L1969">
        <v>516</v>
      </c>
      <c r="M1969">
        <v>327</v>
      </c>
      <c r="N1969">
        <v>254</v>
      </c>
      <c r="O1969" s="2">
        <v>1274</v>
      </c>
      <c r="P1969">
        <v>256</v>
      </c>
      <c r="Q1969">
        <v>240</v>
      </c>
      <c r="R1969">
        <v>109</v>
      </c>
      <c r="S1969" s="2">
        <v>2674</v>
      </c>
      <c r="T1969">
        <v>642</v>
      </c>
      <c r="U1969" s="2">
        <v>1516</v>
      </c>
      <c r="V1969" s="2">
        <v>1381</v>
      </c>
      <c r="W1969" s="1">
        <v>44160</v>
      </c>
      <c r="X1969" t="s">
        <v>56</v>
      </c>
    </row>
    <row r="1970" spans="1:39" x14ac:dyDescent="0.3">
      <c r="A1970">
        <v>2020</v>
      </c>
      <c r="B1970">
        <v>5</v>
      </c>
      <c r="C1970" t="str">
        <f t="shared" si="60"/>
        <v>5/01/2020</v>
      </c>
      <c r="D1970" s="1" t="str">
        <f t="shared" si="61"/>
        <v>5/01/2020</v>
      </c>
      <c r="E1970" t="s">
        <v>37</v>
      </c>
      <c r="F1970" t="s">
        <v>53</v>
      </c>
      <c r="G1970" t="s">
        <v>48</v>
      </c>
      <c r="H1970" s="2">
        <v>24356</v>
      </c>
      <c r="I1970" s="2">
        <v>23725</v>
      </c>
      <c r="J1970">
        <v>306</v>
      </c>
      <c r="K1970" s="2">
        <v>4900</v>
      </c>
      <c r="L1970">
        <v>580</v>
      </c>
      <c r="M1970" s="2">
        <v>1476</v>
      </c>
      <c r="N1970">
        <v>287</v>
      </c>
      <c r="O1970" s="2">
        <v>1696</v>
      </c>
      <c r="P1970">
        <v>381</v>
      </c>
      <c r="Q1970">
        <v>390</v>
      </c>
      <c r="R1970">
        <v>207</v>
      </c>
      <c r="S1970" s="2">
        <v>4493</v>
      </c>
      <c r="T1970" s="2">
        <v>1379</v>
      </c>
      <c r="U1970" s="2">
        <v>2846</v>
      </c>
      <c r="V1970" s="2">
        <v>2595</v>
      </c>
      <c r="W1970" s="1">
        <v>44160</v>
      </c>
      <c r="X1970" t="s">
        <v>56</v>
      </c>
    </row>
    <row r="1971" spans="1:39" x14ac:dyDescent="0.3">
      <c r="A1971">
        <v>2020</v>
      </c>
      <c r="B1971">
        <v>5</v>
      </c>
      <c r="C1971" t="str">
        <f t="shared" si="60"/>
        <v>5/01/2020</v>
      </c>
      <c r="D1971" s="1" t="str">
        <f t="shared" si="61"/>
        <v>5/01/2020</v>
      </c>
      <c r="E1971" t="s">
        <v>37</v>
      </c>
      <c r="F1971" t="s">
        <v>53</v>
      </c>
      <c r="G1971" t="s">
        <v>49</v>
      </c>
      <c r="H1971" s="2">
        <v>42669</v>
      </c>
      <c r="I1971" s="2">
        <v>41610</v>
      </c>
      <c r="J1971">
        <v>330</v>
      </c>
      <c r="K1971" s="2">
        <v>3512</v>
      </c>
      <c r="L1971">
        <v>616</v>
      </c>
      <c r="M1971" s="2">
        <v>4178</v>
      </c>
      <c r="N1971">
        <v>565</v>
      </c>
      <c r="O1971" s="2">
        <v>1672</v>
      </c>
      <c r="P1971">
        <v>443</v>
      </c>
      <c r="Q1971">
        <v>549</v>
      </c>
      <c r="R1971">
        <v>571</v>
      </c>
      <c r="S1971" s="2">
        <v>9970</v>
      </c>
      <c r="T1971" s="2">
        <v>2865</v>
      </c>
      <c r="U1971" s="2">
        <v>6667</v>
      </c>
      <c r="V1971" s="2">
        <v>5989</v>
      </c>
      <c r="W1971" s="1">
        <v>44160</v>
      </c>
      <c r="X1971" t="s">
        <v>56</v>
      </c>
    </row>
    <row r="1972" spans="1:39" x14ac:dyDescent="0.3">
      <c r="A1972">
        <v>2020</v>
      </c>
      <c r="B1972">
        <v>5</v>
      </c>
      <c r="C1972" t="str">
        <f t="shared" si="60"/>
        <v>5/01/2020</v>
      </c>
      <c r="D1972" s="1" t="str">
        <f t="shared" si="61"/>
        <v>5/01/2020</v>
      </c>
      <c r="E1972" t="s">
        <v>37</v>
      </c>
      <c r="F1972" t="s">
        <v>54</v>
      </c>
      <c r="G1972" t="s">
        <v>39</v>
      </c>
      <c r="H1972">
        <v>43</v>
      </c>
      <c r="I1972">
        <v>37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S1972">
        <v>0</v>
      </c>
      <c r="T1972">
        <v>0</v>
      </c>
      <c r="V1972">
        <v>0</v>
      </c>
      <c r="W1972" s="1">
        <v>44160</v>
      </c>
      <c r="X1972" t="s">
        <v>56</v>
      </c>
      <c r="AI1972" t="s">
        <v>40</v>
      </c>
      <c r="AL1972" t="s">
        <v>40</v>
      </c>
    </row>
    <row r="1973" spans="1:39" x14ac:dyDescent="0.3">
      <c r="A1973">
        <v>2020</v>
      </c>
      <c r="B1973">
        <v>5</v>
      </c>
      <c r="C1973" t="str">
        <f t="shared" si="60"/>
        <v>5/01/2020</v>
      </c>
      <c r="D1973" s="1" t="str">
        <f t="shared" si="61"/>
        <v>5/01/2020</v>
      </c>
      <c r="E1973" t="s">
        <v>37</v>
      </c>
      <c r="F1973" t="s">
        <v>54</v>
      </c>
      <c r="G1973" t="s">
        <v>41</v>
      </c>
      <c r="H1973">
        <v>18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T1973">
        <v>0</v>
      </c>
      <c r="V1973">
        <v>0</v>
      </c>
      <c r="W1973" s="1">
        <v>44160</v>
      </c>
      <c r="X1973" t="s">
        <v>56</v>
      </c>
      <c r="Z1973" t="s">
        <v>40</v>
      </c>
      <c r="AI1973" t="s">
        <v>40</v>
      </c>
      <c r="AJ1973" t="s">
        <v>40</v>
      </c>
      <c r="AL1973" t="s">
        <v>40</v>
      </c>
    </row>
    <row r="1974" spans="1:39" x14ac:dyDescent="0.3">
      <c r="A1974">
        <v>2020</v>
      </c>
      <c r="B1974">
        <v>5</v>
      </c>
      <c r="C1974" t="str">
        <f t="shared" si="60"/>
        <v>5/01/2020</v>
      </c>
      <c r="D1974" s="1" t="str">
        <f t="shared" si="61"/>
        <v>5/01/2020</v>
      </c>
      <c r="E1974" t="s">
        <v>37</v>
      </c>
      <c r="F1974" t="s">
        <v>54</v>
      </c>
      <c r="G1974" t="s">
        <v>42</v>
      </c>
      <c r="H1974">
        <v>42</v>
      </c>
      <c r="I1974">
        <v>19</v>
      </c>
      <c r="L1974">
        <v>0</v>
      </c>
      <c r="M1974">
        <v>0</v>
      </c>
      <c r="P1974">
        <v>0</v>
      </c>
      <c r="Q1974">
        <v>0</v>
      </c>
      <c r="T1974">
        <v>0</v>
      </c>
      <c r="W1974" s="1">
        <v>44160</v>
      </c>
      <c r="X1974" t="s">
        <v>56</v>
      </c>
      <c r="AA1974" t="s">
        <v>40</v>
      </c>
      <c r="AB1974" t="s">
        <v>40</v>
      </c>
      <c r="AE1974" t="s">
        <v>40</v>
      </c>
      <c r="AF1974" t="s">
        <v>40</v>
      </c>
      <c r="AI1974" t="s">
        <v>40</v>
      </c>
      <c r="AJ1974" t="s">
        <v>40</v>
      </c>
      <c r="AL1974" t="s">
        <v>40</v>
      </c>
      <c r="AM1974" t="s">
        <v>40</v>
      </c>
    </row>
    <row r="1975" spans="1:39" x14ac:dyDescent="0.3">
      <c r="A1975">
        <v>2020</v>
      </c>
      <c r="B1975">
        <v>5</v>
      </c>
      <c r="C1975" t="str">
        <f t="shared" si="60"/>
        <v>5/01/2020</v>
      </c>
      <c r="D1975" s="1" t="str">
        <f t="shared" si="61"/>
        <v>5/01/2020</v>
      </c>
      <c r="E1975" t="s">
        <v>37</v>
      </c>
      <c r="F1975" t="s">
        <v>54</v>
      </c>
      <c r="G1975" t="s">
        <v>43</v>
      </c>
      <c r="H1975">
        <v>54</v>
      </c>
      <c r="I1975">
        <v>37</v>
      </c>
      <c r="M1975">
        <v>0</v>
      </c>
      <c r="N1975">
        <v>0</v>
      </c>
      <c r="O1975">
        <v>0</v>
      </c>
      <c r="P1975">
        <v>0</v>
      </c>
      <c r="Q1975">
        <v>0</v>
      </c>
      <c r="W1975" s="1">
        <v>44160</v>
      </c>
      <c r="X1975" t="s">
        <v>56</v>
      </c>
      <c r="AA1975" t="s">
        <v>40</v>
      </c>
      <c r="AB1975" t="s">
        <v>40</v>
      </c>
      <c r="AC1975" t="s">
        <v>40</v>
      </c>
      <c r="AI1975" t="s">
        <v>40</v>
      </c>
      <c r="AJ1975" t="s">
        <v>40</v>
      </c>
      <c r="AK1975" t="s">
        <v>40</v>
      </c>
      <c r="AL1975" t="s">
        <v>40</v>
      </c>
      <c r="AM1975" t="s">
        <v>40</v>
      </c>
    </row>
    <row r="1976" spans="1:39" x14ac:dyDescent="0.3">
      <c r="A1976">
        <v>2020</v>
      </c>
      <c r="B1976">
        <v>5</v>
      </c>
      <c r="C1976" t="str">
        <f t="shared" si="60"/>
        <v>5/01/2020</v>
      </c>
      <c r="D1976" s="1" t="str">
        <f t="shared" si="61"/>
        <v>5/01/2020</v>
      </c>
      <c r="E1976" t="s">
        <v>37</v>
      </c>
      <c r="F1976" t="s">
        <v>54</v>
      </c>
      <c r="G1976" t="s">
        <v>44</v>
      </c>
      <c r="H1976">
        <v>79</v>
      </c>
      <c r="I1976">
        <v>66</v>
      </c>
      <c r="K1976">
        <v>19</v>
      </c>
      <c r="M1976">
        <v>0</v>
      </c>
      <c r="N1976">
        <v>0</v>
      </c>
      <c r="P1976">
        <v>0</v>
      </c>
      <c r="S1976">
        <v>12</v>
      </c>
      <c r="W1976" s="1">
        <v>44160</v>
      </c>
      <c r="X1976" t="s">
        <v>56</v>
      </c>
      <c r="AA1976" t="s">
        <v>40</v>
      </c>
      <c r="AC1976" t="s">
        <v>40</v>
      </c>
      <c r="AF1976" t="s">
        <v>40</v>
      </c>
      <c r="AH1976" t="s">
        <v>40</v>
      </c>
      <c r="AI1976" t="s">
        <v>40</v>
      </c>
      <c r="AK1976" t="s">
        <v>40</v>
      </c>
      <c r="AL1976" t="s">
        <v>40</v>
      </c>
      <c r="AM1976" t="s">
        <v>40</v>
      </c>
    </row>
    <row r="1977" spans="1:39" x14ac:dyDescent="0.3">
      <c r="A1977">
        <v>2020</v>
      </c>
      <c r="B1977">
        <v>5</v>
      </c>
      <c r="C1977" t="str">
        <f t="shared" si="60"/>
        <v>5/01/2020</v>
      </c>
      <c r="D1977" s="1" t="str">
        <f t="shared" si="61"/>
        <v>5/01/2020</v>
      </c>
      <c r="E1977" t="s">
        <v>37</v>
      </c>
      <c r="F1977" t="s">
        <v>54</v>
      </c>
      <c r="G1977" t="s">
        <v>45</v>
      </c>
      <c r="J1977">
        <v>0</v>
      </c>
      <c r="L1977">
        <v>0</v>
      </c>
      <c r="M1977">
        <v>0</v>
      </c>
      <c r="N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 s="1">
        <v>44160</v>
      </c>
      <c r="X1977" t="s">
        <v>56</v>
      </c>
      <c r="Y1977" t="s">
        <v>40</v>
      </c>
      <c r="Z1977" t="s">
        <v>40</v>
      </c>
      <c r="AB1977" t="s">
        <v>40</v>
      </c>
      <c r="AF1977" t="s">
        <v>40</v>
      </c>
    </row>
    <row r="1978" spans="1:39" x14ac:dyDescent="0.3">
      <c r="A1978">
        <v>2020</v>
      </c>
      <c r="B1978">
        <v>5</v>
      </c>
      <c r="C1978" t="str">
        <f t="shared" si="60"/>
        <v>5/01/2020</v>
      </c>
      <c r="D1978" s="1" t="str">
        <f t="shared" si="61"/>
        <v>5/01/2020</v>
      </c>
      <c r="E1978" t="s">
        <v>37</v>
      </c>
      <c r="F1978" t="s">
        <v>54</v>
      </c>
      <c r="G1978" t="s">
        <v>46</v>
      </c>
      <c r="H1978">
        <v>162</v>
      </c>
      <c r="I1978">
        <v>156</v>
      </c>
      <c r="K1978">
        <v>39</v>
      </c>
      <c r="L1978">
        <v>12</v>
      </c>
      <c r="O1978">
        <v>11</v>
      </c>
      <c r="S1978">
        <v>22</v>
      </c>
      <c r="U1978">
        <v>23</v>
      </c>
      <c r="V1978">
        <v>22</v>
      </c>
      <c r="W1978" s="1">
        <v>44160</v>
      </c>
      <c r="X1978" t="s">
        <v>56</v>
      </c>
      <c r="AA1978" t="s">
        <v>40</v>
      </c>
      <c r="AD1978" t="s">
        <v>40</v>
      </c>
      <c r="AE1978" t="s">
        <v>40</v>
      </c>
      <c r="AG1978" t="s">
        <v>40</v>
      </c>
      <c r="AH1978" t="s">
        <v>40</v>
      </c>
      <c r="AI1978" t="s">
        <v>40</v>
      </c>
      <c r="AK1978" t="s">
        <v>40</v>
      </c>
    </row>
    <row r="1979" spans="1:39" x14ac:dyDescent="0.3">
      <c r="A1979">
        <v>2020</v>
      </c>
      <c r="B1979">
        <v>5</v>
      </c>
      <c r="C1979" t="str">
        <f t="shared" si="60"/>
        <v>5/01/2020</v>
      </c>
      <c r="D1979" s="1" t="str">
        <f t="shared" si="61"/>
        <v>5/01/2020</v>
      </c>
      <c r="E1979" t="s">
        <v>37</v>
      </c>
      <c r="F1979" t="s">
        <v>54</v>
      </c>
      <c r="G1979" t="s">
        <v>47</v>
      </c>
      <c r="H1979">
        <v>219</v>
      </c>
      <c r="I1979">
        <v>215</v>
      </c>
      <c r="K1979">
        <v>53</v>
      </c>
      <c r="O1979">
        <v>19</v>
      </c>
      <c r="S1979">
        <v>41</v>
      </c>
      <c r="U1979">
        <v>31</v>
      </c>
      <c r="V1979">
        <v>27</v>
      </c>
      <c r="W1979" s="1">
        <v>44160</v>
      </c>
      <c r="X1979" t="s">
        <v>56</v>
      </c>
      <c r="AA1979" t="s">
        <v>40</v>
      </c>
      <c r="AC1979" t="s">
        <v>40</v>
      </c>
      <c r="AD1979" t="s">
        <v>40</v>
      </c>
      <c r="AE1979" t="s">
        <v>40</v>
      </c>
      <c r="AG1979" t="s">
        <v>40</v>
      </c>
      <c r="AH1979" t="s">
        <v>40</v>
      </c>
      <c r="AI1979" t="s">
        <v>40</v>
      </c>
      <c r="AK1979" t="s">
        <v>40</v>
      </c>
    </row>
    <row r="1980" spans="1:39" x14ac:dyDescent="0.3">
      <c r="A1980">
        <v>2020</v>
      </c>
      <c r="B1980">
        <v>5</v>
      </c>
      <c r="C1980" t="str">
        <f t="shared" si="60"/>
        <v>5/01/2020</v>
      </c>
      <c r="D1980" s="1" t="str">
        <f t="shared" si="61"/>
        <v>5/01/2020</v>
      </c>
      <c r="E1980" t="s">
        <v>37</v>
      </c>
      <c r="F1980" t="s">
        <v>54</v>
      </c>
      <c r="G1980" t="s">
        <v>48</v>
      </c>
      <c r="H1980">
        <v>178</v>
      </c>
      <c r="I1980">
        <v>175</v>
      </c>
      <c r="K1980">
        <v>24</v>
      </c>
      <c r="M1980">
        <v>10</v>
      </c>
      <c r="O1980">
        <v>14</v>
      </c>
      <c r="S1980">
        <v>48</v>
      </c>
      <c r="U1980">
        <v>25</v>
      </c>
      <c r="V1980">
        <v>23</v>
      </c>
      <c r="W1980" s="1">
        <v>44160</v>
      </c>
      <c r="X1980" t="s">
        <v>56</v>
      </c>
      <c r="AA1980" t="s">
        <v>40</v>
      </c>
      <c r="AC1980" t="s">
        <v>40</v>
      </c>
      <c r="AE1980" t="s">
        <v>40</v>
      </c>
      <c r="AG1980" t="s">
        <v>40</v>
      </c>
      <c r="AH1980" t="s">
        <v>40</v>
      </c>
      <c r="AI1980" t="s">
        <v>40</v>
      </c>
      <c r="AK1980" t="s">
        <v>40</v>
      </c>
    </row>
    <row r="1981" spans="1:39" x14ac:dyDescent="0.3">
      <c r="A1981">
        <v>2020</v>
      </c>
      <c r="B1981">
        <v>5</v>
      </c>
      <c r="C1981" t="str">
        <f t="shared" si="60"/>
        <v>5/01/2020</v>
      </c>
      <c r="D1981" s="1" t="str">
        <f t="shared" si="61"/>
        <v>5/01/2020</v>
      </c>
      <c r="E1981" t="s">
        <v>37</v>
      </c>
      <c r="F1981" t="s">
        <v>54</v>
      </c>
      <c r="G1981" t="s">
        <v>49</v>
      </c>
      <c r="H1981">
        <v>212</v>
      </c>
      <c r="I1981">
        <v>207</v>
      </c>
      <c r="K1981">
        <v>15</v>
      </c>
      <c r="M1981">
        <v>22</v>
      </c>
      <c r="Q1981">
        <v>0</v>
      </c>
      <c r="S1981">
        <v>41</v>
      </c>
      <c r="T1981">
        <v>23</v>
      </c>
      <c r="U1981">
        <v>43</v>
      </c>
      <c r="V1981">
        <v>38</v>
      </c>
      <c r="W1981" s="1">
        <v>44160</v>
      </c>
      <c r="X1981" t="s">
        <v>56</v>
      </c>
      <c r="AA1981" t="s">
        <v>40</v>
      </c>
      <c r="AC1981" t="s">
        <v>40</v>
      </c>
      <c r="AE1981" t="s">
        <v>40</v>
      </c>
      <c r="AF1981" t="s">
        <v>40</v>
      </c>
      <c r="AG1981" t="s">
        <v>40</v>
      </c>
      <c r="AI1981" t="s">
        <v>40</v>
      </c>
    </row>
    <row r="1982" spans="1:39" x14ac:dyDescent="0.3">
      <c r="A1982">
        <v>2020</v>
      </c>
      <c r="B1982">
        <v>5</v>
      </c>
      <c r="C1982" t="str">
        <f t="shared" si="60"/>
        <v>5/01/2020</v>
      </c>
      <c r="D1982" s="1" t="str">
        <f t="shared" si="61"/>
        <v>5/01/2020</v>
      </c>
      <c r="E1982" t="s">
        <v>55</v>
      </c>
      <c r="F1982" t="s">
        <v>38</v>
      </c>
      <c r="G1982" t="s">
        <v>39</v>
      </c>
      <c r="H1982">
        <v>245</v>
      </c>
      <c r="I1982">
        <v>217</v>
      </c>
      <c r="L1982">
        <v>0</v>
      </c>
      <c r="M1982">
        <v>0</v>
      </c>
      <c r="N1982">
        <v>0</v>
      </c>
      <c r="O1982">
        <v>0</v>
      </c>
      <c r="R1982">
        <v>29</v>
      </c>
      <c r="U1982">
        <v>0</v>
      </c>
      <c r="V1982">
        <v>0</v>
      </c>
      <c r="W1982" s="1">
        <v>44160</v>
      </c>
      <c r="X1982" t="s">
        <v>56</v>
      </c>
      <c r="AA1982" t="s">
        <v>40</v>
      </c>
      <c r="AB1982" t="s">
        <v>40</v>
      </c>
      <c r="AG1982" t="s">
        <v>40</v>
      </c>
      <c r="AH1982" t="s">
        <v>40</v>
      </c>
      <c r="AJ1982" t="s">
        <v>40</v>
      </c>
      <c r="AK1982" t="s">
        <v>40</v>
      </c>
    </row>
    <row r="1983" spans="1:39" x14ac:dyDescent="0.3">
      <c r="A1983">
        <v>2020</v>
      </c>
      <c r="B1983">
        <v>5</v>
      </c>
      <c r="C1983" t="str">
        <f t="shared" si="60"/>
        <v>5/01/2020</v>
      </c>
      <c r="D1983" s="1" t="str">
        <f t="shared" si="61"/>
        <v>5/01/2020</v>
      </c>
      <c r="E1983" t="s">
        <v>55</v>
      </c>
      <c r="F1983" t="s">
        <v>38</v>
      </c>
      <c r="G1983" t="s">
        <v>41</v>
      </c>
      <c r="H1983">
        <v>477</v>
      </c>
      <c r="I1983">
        <v>103</v>
      </c>
      <c r="K1983">
        <v>21</v>
      </c>
      <c r="M1983">
        <v>0</v>
      </c>
      <c r="O1983">
        <v>0</v>
      </c>
      <c r="R1983">
        <v>22</v>
      </c>
      <c r="U1983">
        <v>15</v>
      </c>
      <c r="V1983">
        <v>13</v>
      </c>
      <c r="W1983" s="1">
        <v>44160</v>
      </c>
      <c r="X1983" t="s">
        <v>56</v>
      </c>
      <c r="AA1983" t="s">
        <v>40</v>
      </c>
      <c r="AC1983" t="s">
        <v>40</v>
      </c>
      <c r="AE1983" t="s">
        <v>40</v>
      </c>
      <c r="AG1983" t="s">
        <v>40</v>
      </c>
      <c r="AH1983" t="s">
        <v>40</v>
      </c>
      <c r="AJ1983" t="s">
        <v>40</v>
      </c>
      <c r="AK1983" t="s">
        <v>40</v>
      </c>
    </row>
    <row r="1984" spans="1:39" x14ac:dyDescent="0.3">
      <c r="A1984">
        <v>2020</v>
      </c>
      <c r="B1984">
        <v>5</v>
      </c>
      <c r="C1984" t="str">
        <f t="shared" si="60"/>
        <v>5/01/2020</v>
      </c>
      <c r="D1984" s="1" t="str">
        <f t="shared" si="61"/>
        <v>5/01/2020</v>
      </c>
      <c r="E1984" t="s">
        <v>55</v>
      </c>
      <c r="F1984" t="s">
        <v>38</v>
      </c>
      <c r="G1984" t="s">
        <v>42</v>
      </c>
      <c r="H1984">
        <v>827</v>
      </c>
      <c r="I1984">
        <v>293</v>
      </c>
      <c r="K1984">
        <v>39</v>
      </c>
      <c r="M1984">
        <v>0</v>
      </c>
      <c r="R1984">
        <v>36</v>
      </c>
      <c r="S1984">
        <v>35</v>
      </c>
      <c r="U1984">
        <v>81</v>
      </c>
      <c r="V1984">
        <v>75</v>
      </c>
      <c r="W1984" s="1">
        <v>44160</v>
      </c>
      <c r="X1984" t="s">
        <v>56</v>
      </c>
      <c r="AA1984" t="s">
        <v>40</v>
      </c>
      <c r="AC1984" t="s">
        <v>40</v>
      </c>
      <c r="AE1984" t="s">
        <v>40</v>
      </c>
      <c r="AF1984" t="s">
        <v>40</v>
      </c>
      <c r="AG1984" t="s">
        <v>40</v>
      </c>
      <c r="AH1984" t="s">
        <v>40</v>
      </c>
      <c r="AK1984" t="s">
        <v>40</v>
      </c>
    </row>
    <row r="1985" spans="1:39" x14ac:dyDescent="0.3">
      <c r="A1985">
        <v>2020</v>
      </c>
      <c r="B1985">
        <v>5</v>
      </c>
      <c r="C1985" t="str">
        <f t="shared" si="60"/>
        <v>5/01/2020</v>
      </c>
      <c r="D1985" s="1" t="str">
        <f t="shared" si="61"/>
        <v>5/01/2020</v>
      </c>
      <c r="E1985" t="s">
        <v>55</v>
      </c>
      <c r="F1985" t="s">
        <v>38</v>
      </c>
      <c r="G1985" t="s">
        <v>43</v>
      </c>
      <c r="H1985" s="2">
        <v>1124</v>
      </c>
      <c r="I1985">
        <v>687</v>
      </c>
      <c r="K1985">
        <v>69</v>
      </c>
      <c r="L1985">
        <v>35</v>
      </c>
      <c r="M1985">
        <v>0</v>
      </c>
      <c r="Q1985">
        <v>12</v>
      </c>
      <c r="R1985">
        <v>41</v>
      </c>
      <c r="S1985">
        <v>96</v>
      </c>
      <c r="T1985">
        <v>21</v>
      </c>
      <c r="U1985">
        <v>239</v>
      </c>
      <c r="V1985">
        <v>222</v>
      </c>
      <c r="W1985" s="1">
        <v>44160</v>
      </c>
      <c r="X1985" t="s">
        <v>56</v>
      </c>
      <c r="AA1985" t="s">
        <v>40</v>
      </c>
      <c r="AE1985" t="s">
        <v>40</v>
      </c>
      <c r="AF1985" t="s">
        <v>40</v>
      </c>
      <c r="AG1985" t="s">
        <v>40</v>
      </c>
    </row>
    <row r="1986" spans="1:39" x14ac:dyDescent="0.3">
      <c r="A1986">
        <v>2020</v>
      </c>
      <c r="B1986">
        <v>5</v>
      </c>
      <c r="C1986" t="str">
        <f t="shared" si="60"/>
        <v>5/01/2020</v>
      </c>
      <c r="D1986" s="1" t="str">
        <f t="shared" si="61"/>
        <v>5/01/2020</v>
      </c>
      <c r="E1986" t="s">
        <v>55</v>
      </c>
      <c r="F1986" t="s">
        <v>38</v>
      </c>
      <c r="G1986" t="s">
        <v>44</v>
      </c>
      <c r="H1986" s="2">
        <v>1739</v>
      </c>
      <c r="I1986" s="2">
        <v>1458</v>
      </c>
      <c r="J1986">
        <v>14</v>
      </c>
      <c r="K1986">
        <v>160</v>
      </c>
      <c r="L1986">
        <v>57</v>
      </c>
      <c r="N1986">
        <v>13</v>
      </c>
      <c r="O1986">
        <v>10</v>
      </c>
      <c r="P1986">
        <v>15</v>
      </c>
      <c r="Q1986">
        <v>17</v>
      </c>
      <c r="R1986">
        <v>46</v>
      </c>
      <c r="S1986">
        <v>256</v>
      </c>
      <c r="T1986">
        <v>42</v>
      </c>
      <c r="U1986">
        <v>549</v>
      </c>
      <c r="V1986">
        <v>526</v>
      </c>
      <c r="W1986" s="1">
        <v>44160</v>
      </c>
      <c r="X1986" t="s">
        <v>56</v>
      </c>
      <c r="AD1986" t="s">
        <v>40</v>
      </c>
    </row>
    <row r="1987" spans="1:39" x14ac:dyDescent="0.3">
      <c r="A1987">
        <v>2020</v>
      </c>
      <c r="B1987">
        <v>5</v>
      </c>
      <c r="C1987" t="str">
        <f t="shared" ref="C1987:C2050" si="62">CONCATENATE(B1987,"/01/",A1987)</f>
        <v>5/01/2020</v>
      </c>
      <c r="D1987" s="1" t="str">
        <f t="shared" ref="D1987:D2050" si="63">C1987</f>
        <v>5/01/2020</v>
      </c>
      <c r="E1987" t="s">
        <v>55</v>
      </c>
      <c r="F1987" t="s">
        <v>38</v>
      </c>
      <c r="G1987" t="s">
        <v>45</v>
      </c>
      <c r="H1987">
        <v>58</v>
      </c>
      <c r="I1987">
        <v>30</v>
      </c>
      <c r="L1987">
        <v>0</v>
      </c>
      <c r="M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W1987" s="1">
        <v>44160</v>
      </c>
      <c r="X1987" t="s">
        <v>56</v>
      </c>
      <c r="AA1987" t="s">
        <v>40</v>
      </c>
      <c r="AB1987" t="s">
        <v>40</v>
      </c>
      <c r="AE1987" t="s">
        <v>40</v>
      </c>
      <c r="AF1987" t="s">
        <v>40</v>
      </c>
      <c r="AL1987" t="s">
        <v>40</v>
      </c>
      <c r="AM1987" t="s">
        <v>40</v>
      </c>
    </row>
    <row r="1988" spans="1:39" x14ac:dyDescent="0.3">
      <c r="A1988">
        <v>2020</v>
      </c>
      <c r="B1988">
        <v>5</v>
      </c>
      <c r="C1988" t="str">
        <f t="shared" si="62"/>
        <v>5/01/2020</v>
      </c>
      <c r="D1988" s="1" t="str">
        <f t="shared" si="63"/>
        <v>5/01/2020</v>
      </c>
      <c r="E1988" t="s">
        <v>55</v>
      </c>
      <c r="F1988" t="s">
        <v>38</v>
      </c>
      <c r="G1988" t="s">
        <v>46</v>
      </c>
      <c r="H1988" s="2">
        <v>2679</v>
      </c>
      <c r="I1988" s="2">
        <v>2485</v>
      </c>
      <c r="J1988">
        <v>26</v>
      </c>
      <c r="K1988">
        <v>392</v>
      </c>
      <c r="L1988">
        <v>129</v>
      </c>
      <c r="N1988">
        <v>25</v>
      </c>
      <c r="O1988">
        <v>29</v>
      </c>
      <c r="P1988">
        <v>32</v>
      </c>
      <c r="Q1988">
        <v>44</v>
      </c>
      <c r="R1988">
        <v>35</v>
      </c>
      <c r="S1988">
        <v>409</v>
      </c>
      <c r="T1988">
        <v>77</v>
      </c>
      <c r="U1988">
        <v>951</v>
      </c>
      <c r="V1988">
        <v>915</v>
      </c>
      <c r="W1988" s="1">
        <v>44160</v>
      </c>
      <c r="X1988" t="s">
        <v>56</v>
      </c>
      <c r="AD1988" t="s">
        <v>40</v>
      </c>
    </row>
    <row r="1989" spans="1:39" x14ac:dyDescent="0.3">
      <c r="A1989">
        <v>2020</v>
      </c>
      <c r="B1989">
        <v>5</v>
      </c>
      <c r="C1989" t="str">
        <f t="shared" si="62"/>
        <v>5/01/2020</v>
      </c>
      <c r="D1989" s="1" t="str">
        <f t="shared" si="63"/>
        <v>5/01/2020</v>
      </c>
      <c r="E1989" t="s">
        <v>55</v>
      </c>
      <c r="F1989" t="s">
        <v>38</v>
      </c>
      <c r="G1989" t="s">
        <v>47</v>
      </c>
      <c r="H1989" s="2">
        <v>2895</v>
      </c>
      <c r="I1989" s="2">
        <v>2798</v>
      </c>
      <c r="J1989">
        <v>23</v>
      </c>
      <c r="K1989">
        <v>487</v>
      </c>
      <c r="L1989">
        <v>154</v>
      </c>
      <c r="M1989">
        <v>22</v>
      </c>
      <c r="N1989">
        <v>45</v>
      </c>
      <c r="O1989">
        <v>70</v>
      </c>
      <c r="P1989">
        <v>39</v>
      </c>
      <c r="Q1989">
        <v>50</v>
      </c>
      <c r="R1989">
        <v>31</v>
      </c>
      <c r="S1989">
        <v>474</v>
      </c>
      <c r="T1989">
        <v>89</v>
      </c>
      <c r="U1989">
        <v>997</v>
      </c>
      <c r="V1989">
        <v>955</v>
      </c>
      <c r="W1989" s="1">
        <v>44160</v>
      </c>
      <c r="X1989" t="s">
        <v>56</v>
      </c>
    </row>
    <row r="1990" spans="1:39" x14ac:dyDescent="0.3">
      <c r="A1990">
        <v>2020</v>
      </c>
      <c r="B1990">
        <v>5</v>
      </c>
      <c r="C1990" t="str">
        <f t="shared" si="62"/>
        <v>5/01/2020</v>
      </c>
      <c r="D1990" s="1" t="str">
        <f t="shared" si="63"/>
        <v>5/01/2020</v>
      </c>
      <c r="E1990" t="s">
        <v>55</v>
      </c>
      <c r="F1990" t="s">
        <v>38</v>
      </c>
      <c r="G1990" t="s">
        <v>48</v>
      </c>
      <c r="H1990" s="2">
        <v>2567</v>
      </c>
      <c r="I1990" s="2">
        <v>2505</v>
      </c>
      <c r="J1990">
        <v>20</v>
      </c>
      <c r="K1990">
        <v>449</v>
      </c>
      <c r="L1990">
        <v>111</v>
      </c>
      <c r="M1990">
        <v>66</v>
      </c>
      <c r="N1990">
        <v>36</v>
      </c>
      <c r="O1990">
        <v>79</v>
      </c>
      <c r="P1990">
        <v>36</v>
      </c>
      <c r="Q1990">
        <v>45</v>
      </c>
      <c r="R1990">
        <v>13</v>
      </c>
      <c r="S1990">
        <v>494</v>
      </c>
      <c r="T1990">
        <v>119</v>
      </c>
      <c r="U1990">
        <v>715</v>
      </c>
      <c r="V1990">
        <v>678</v>
      </c>
      <c r="W1990" s="1">
        <v>44160</v>
      </c>
      <c r="X1990" t="s">
        <v>56</v>
      </c>
    </row>
    <row r="1991" spans="1:39" x14ac:dyDescent="0.3">
      <c r="A1991">
        <v>2020</v>
      </c>
      <c r="B1991">
        <v>5</v>
      </c>
      <c r="C1991" t="str">
        <f t="shared" si="62"/>
        <v>5/01/2020</v>
      </c>
      <c r="D1991" s="1" t="str">
        <f t="shared" si="63"/>
        <v>5/01/2020</v>
      </c>
      <c r="E1991" t="s">
        <v>55</v>
      </c>
      <c r="F1991" t="s">
        <v>38</v>
      </c>
      <c r="G1991" t="s">
        <v>49</v>
      </c>
      <c r="H1991" s="2">
        <v>2066</v>
      </c>
      <c r="I1991" s="2">
        <v>2021</v>
      </c>
      <c r="J1991">
        <v>16</v>
      </c>
      <c r="K1991">
        <v>250</v>
      </c>
      <c r="L1991">
        <v>70</v>
      </c>
      <c r="M1991">
        <v>118</v>
      </c>
      <c r="N1991">
        <v>37</v>
      </c>
      <c r="O1991">
        <v>88</v>
      </c>
      <c r="P1991">
        <v>30</v>
      </c>
      <c r="Q1991">
        <v>42</v>
      </c>
      <c r="R1991">
        <v>12</v>
      </c>
      <c r="S1991">
        <v>464</v>
      </c>
      <c r="T1991">
        <v>129</v>
      </c>
      <c r="U1991">
        <v>420</v>
      </c>
      <c r="V1991">
        <v>394</v>
      </c>
      <c r="W1991" s="1">
        <v>44160</v>
      </c>
      <c r="X1991" t="s">
        <v>56</v>
      </c>
    </row>
    <row r="1992" spans="1:39" x14ac:dyDescent="0.3">
      <c r="A1992">
        <v>2020</v>
      </c>
      <c r="B1992">
        <v>5</v>
      </c>
      <c r="C1992" t="str">
        <f t="shared" si="62"/>
        <v>5/01/2020</v>
      </c>
      <c r="D1992" s="1" t="str">
        <f t="shared" si="63"/>
        <v>5/01/2020</v>
      </c>
      <c r="E1992" t="s">
        <v>55</v>
      </c>
      <c r="F1992" t="s">
        <v>50</v>
      </c>
      <c r="G1992" t="s">
        <v>39</v>
      </c>
      <c r="H1992">
        <v>10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W1992" s="1">
        <v>44160</v>
      </c>
      <c r="X1992" t="s">
        <v>56</v>
      </c>
      <c r="Z1992" t="s">
        <v>40</v>
      </c>
      <c r="AL1992" t="s">
        <v>40</v>
      </c>
      <c r="AM1992" t="s">
        <v>40</v>
      </c>
    </row>
    <row r="1993" spans="1:39" x14ac:dyDescent="0.3">
      <c r="A1993">
        <v>2020</v>
      </c>
      <c r="B1993">
        <v>5</v>
      </c>
      <c r="C1993" t="str">
        <f t="shared" si="62"/>
        <v>5/01/2020</v>
      </c>
      <c r="D1993" s="1" t="str">
        <f t="shared" si="63"/>
        <v>5/01/2020</v>
      </c>
      <c r="E1993" t="s">
        <v>55</v>
      </c>
      <c r="F1993" t="s">
        <v>50</v>
      </c>
      <c r="G1993" t="s">
        <v>41</v>
      </c>
      <c r="H1993">
        <v>43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S1993">
        <v>0</v>
      </c>
      <c r="T1993">
        <v>0</v>
      </c>
      <c r="W1993" s="1">
        <v>44160</v>
      </c>
      <c r="X1993" t="s">
        <v>56</v>
      </c>
      <c r="Z1993" t="s">
        <v>40</v>
      </c>
      <c r="AI1993" t="s">
        <v>40</v>
      </c>
      <c r="AL1993" t="s">
        <v>40</v>
      </c>
      <c r="AM1993" t="s">
        <v>40</v>
      </c>
    </row>
    <row r="1994" spans="1:39" x14ac:dyDescent="0.3">
      <c r="A1994">
        <v>2020</v>
      </c>
      <c r="B1994">
        <v>5</v>
      </c>
      <c r="C1994" t="str">
        <f t="shared" si="62"/>
        <v>5/01/2020</v>
      </c>
      <c r="D1994" s="1" t="str">
        <f t="shared" si="63"/>
        <v>5/01/2020</v>
      </c>
      <c r="E1994" t="s">
        <v>55</v>
      </c>
      <c r="F1994" t="s">
        <v>50</v>
      </c>
      <c r="G1994" t="s">
        <v>42</v>
      </c>
      <c r="H1994">
        <v>98</v>
      </c>
      <c r="I1994">
        <v>47</v>
      </c>
      <c r="M1994">
        <v>0</v>
      </c>
      <c r="O1994">
        <v>0</v>
      </c>
      <c r="P1994">
        <v>0</v>
      </c>
      <c r="Q1994">
        <v>0</v>
      </c>
      <c r="T1994">
        <v>0</v>
      </c>
      <c r="U1994">
        <v>14</v>
      </c>
      <c r="V1994">
        <v>14</v>
      </c>
      <c r="W1994" s="1">
        <v>44160</v>
      </c>
      <c r="X1994" t="s">
        <v>56</v>
      </c>
      <c r="AA1994" t="s">
        <v>40</v>
      </c>
      <c r="AB1994" t="s">
        <v>40</v>
      </c>
      <c r="AC1994" t="s">
        <v>40</v>
      </c>
      <c r="AE1994" t="s">
        <v>40</v>
      </c>
      <c r="AI1994" t="s">
        <v>40</v>
      </c>
      <c r="AJ1994" t="s">
        <v>40</v>
      </c>
    </row>
    <row r="1995" spans="1:39" x14ac:dyDescent="0.3">
      <c r="A1995">
        <v>2020</v>
      </c>
      <c r="B1995">
        <v>5</v>
      </c>
      <c r="C1995" t="str">
        <f t="shared" si="62"/>
        <v>5/01/2020</v>
      </c>
      <c r="D1995" s="1" t="str">
        <f t="shared" si="63"/>
        <v>5/01/2020</v>
      </c>
      <c r="E1995" t="s">
        <v>55</v>
      </c>
      <c r="F1995" t="s">
        <v>50</v>
      </c>
      <c r="G1995" t="s">
        <v>43</v>
      </c>
      <c r="H1995">
        <v>100</v>
      </c>
      <c r="I1995">
        <v>53</v>
      </c>
      <c r="M1995">
        <v>0</v>
      </c>
      <c r="O1995">
        <v>0</v>
      </c>
      <c r="P1995">
        <v>0</v>
      </c>
      <c r="Q1995">
        <v>0</v>
      </c>
      <c r="S1995">
        <v>11</v>
      </c>
      <c r="T1995">
        <v>0</v>
      </c>
      <c r="U1995">
        <v>12</v>
      </c>
      <c r="V1995">
        <v>10</v>
      </c>
      <c r="W1995" s="1">
        <v>44160</v>
      </c>
      <c r="X1995" t="s">
        <v>56</v>
      </c>
      <c r="AA1995" t="s">
        <v>40</v>
      </c>
      <c r="AB1995" t="s">
        <v>40</v>
      </c>
      <c r="AC1995" t="s">
        <v>40</v>
      </c>
      <c r="AE1995" t="s">
        <v>40</v>
      </c>
      <c r="AI1995" t="s">
        <v>40</v>
      </c>
    </row>
    <row r="1996" spans="1:39" x14ac:dyDescent="0.3">
      <c r="A1996">
        <v>2020</v>
      </c>
      <c r="B1996">
        <v>5</v>
      </c>
      <c r="C1996" t="str">
        <f t="shared" si="62"/>
        <v>5/01/2020</v>
      </c>
      <c r="D1996" s="1" t="str">
        <f t="shared" si="63"/>
        <v>5/01/2020</v>
      </c>
      <c r="E1996" t="s">
        <v>55</v>
      </c>
      <c r="F1996" t="s">
        <v>50</v>
      </c>
      <c r="G1996" t="s">
        <v>44</v>
      </c>
      <c r="H1996">
        <v>144</v>
      </c>
      <c r="I1996">
        <v>111</v>
      </c>
      <c r="M1996">
        <v>0</v>
      </c>
      <c r="N1996">
        <v>0</v>
      </c>
      <c r="O1996">
        <v>0</v>
      </c>
      <c r="Q1996">
        <v>0</v>
      </c>
      <c r="S1996">
        <v>20</v>
      </c>
      <c r="U1996">
        <v>42</v>
      </c>
      <c r="V1996">
        <v>39</v>
      </c>
      <c r="W1996" s="1">
        <v>44160</v>
      </c>
      <c r="X1996" t="s">
        <v>56</v>
      </c>
      <c r="AA1996" t="s">
        <v>40</v>
      </c>
      <c r="AB1996" t="s">
        <v>40</v>
      </c>
      <c r="AC1996" t="s">
        <v>40</v>
      </c>
      <c r="AG1996" t="s">
        <v>40</v>
      </c>
      <c r="AI1996" t="s">
        <v>40</v>
      </c>
      <c r="AK1996" t="s">
        <v>40</v>
      </c>
    </row>
    <row r="1997" spans="1:39" x14ac:dyDescent="0.3">
      <c r="A1997">
        <v>2020</v>
      </c>
      <c r="B1997">
        <v>5</v>
      </c>
      <c r="C1997" t="str">
        <f t="shared" si="62"/>
        <v>5/01/2020</v>
      </c>
      <c r="D1997" s="1" t="str">
        <f t="shared" si="63"/>
        <v>5/01/2020</v>
      </c>
      <c r="E1997" t="s">
        <v>55</v>
      </c>
      <c r="F1997" t="s">
        <v>50</v>
      </c>
      <c r="G1997" t="s">
        <v>45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 s="1">
        <v>44160</v>
      </c>
      <c r="X1997" t="s">
        <v>56</v>
      </c>
      <c r="Y1997" t="s">
        <v>40</v>
      </c>
    </row>
    <row r="1998" spans="1:39" x14ac:dyDescent="0.3">
      <c r="A1998">
        <v>2020</v>
      </c>
      <c r="B1998">
        <v>5</v>
      </c>
      <c r="C1998" t="str">
        <f t="shared" si="62"/>
        <v>5/01/2020</v>
      </c>
      <c r="D1998" s="1" t="str">
        <f t="shared" si="63"/>
        <v>5/01/2020</v>
      </c>
      <c r="E1998" t="s">
        <v>55</v>
      </c>
      <c r="F1998" t="s">
        <v>50</v>
      </c>
      <c r="G1998" t="s">
        <v>46</v>
      </c>
      <c r="H1998">
        <v>218</v>
      </c>
      <c r="I1998">
        <v>191</v>
      </c>
      <c r="K1998">
        <v>30</v>
      </c>
      <c r="L1998">
        <v>13</v>
      </c>
      <c r="M1998">
        <v>0</v>
      </c>
      <c r="S1998">
        <v>41</v>
      </c>
      <c r="U1998">
        <v>47</v>
      </c>
      <c r="V1998">
        <v>42</v>
      </c>
      <c r="W1998" s="1">
        <v>44160</v>
      </c>
      <c r="X1998" t="s">
        <v>56</v>
      </c>
      <c r="AA1998" t="s">
        <v>40</v>
      </c>
      <c r="AE1998" t="s">
        <v>40</v>
      </c>
      <c r="AF1998" t="s">
        <v>40</v>
      </c>
      <c r="AG1998" t="s">
        <v>40</v>
      </c>
      <c r="AH1998" t="s">
        <v>40</v>
      </c>
      <c r="AI1998" t="s">
        <v>40</v>
      </c>
      <c r="AK1998" t="s">
        <v>40</v>
      </c>
    </row>
    <row r="1999" spans="1:39" x14ac:dyDescent="0.3">
      <c r="A1999">
        <v>2020</v>
      </c>
      <c r="B1999">
        <v>5</v>
      </c>
      <c r="C1999" t="str">
        <f t="shared" si="62"/>
        <v>5/01/2020</v>
      </c>
      <c r="D1999" s="1" t="str">
        <f t="shared" si="63"/>
        <v>5/01/2020</v>
      </c>
      <c r="E1999" t="s">
        <v>55</v>
      </c>
      <c r="F1999" t="s">
        <v>50</v>
      </c>
      <c r="G1999" t="s">
        <v>47</v>
      </c>
      <c r="H1999">
        <v>204</v>
      </c>
      <c r="I1999">
        <v>195</v>
      </c>
      <c r="K1999">
        <v>40</v>
      </c>
      <c r="L1999">
        <v>14</v>
      </c>
      <c r="S1999">
        <v>42</v>
      </c>
      <c r="U1999">
        <v>50</v>
      </c>
      <c r="V1999">
        <v>46</v>
      </c>
      <c r="W1999" s="1">
        <v>44160</v>
      </c>
      <c r="X1999" t="s">
        <v>56</v>
      </c>
      <c r="AA1999" t="s">
        <v>40</v>
      </c>
      <c r="AD1999" t="s">
        <v>40</v>
      </c>
      <c r="AE1999" t="s">
        <v>40</v>
      </c>
      <c r="AF1999" t="s">
        <v>40</v>
      </c>
      <c r="AG1999" t="s">
        <v>40</v>
      </c>
      <c r="AH1999" t="s">
        <v>40</v>
      </c>
      <c r="AI1999" t="s">
        <v>40</v>
      </c>
      <c r="AK1999" t="s">
        <v>40</v>
      </c>
    </row>
    <row r="2000" spans="1:39" x14ac:dyDescent="0.3">
      <c r="A2000">
        <v>2020</v>
      </c>
      <c r="B2000">
        <v>5</v>
      </c>
      <c r="C2000" t="str">
        <f t="shared" si="62"/>
        <v>5/01/2020</v>
      </c>
      <c r="D2000" s="1" t="str">
        <f t="shared" si="63"/>
        <v>5/01/2020</v>
      </c>
      <c r="E2000" t="s">
        <v>55</v>
      </c>
      <c r="F2000" t="s">
        <v>50</v>
      </c>
      <c r="G2000" t="s">
        <v>48</v>
      </c>
      <c r="H2000">
        <v>172</v>
      </c>
      <c r="I2000">
        <v>163</v>
      </c>
      <c r="K2000">
        <v>29</v>
      </c>
      <c r="S2000">
        <v>35</v>
      </c>
      <c r="U2000">
        <v>34</v>
      </c>
      <c r="V2000">
        <v>34</v>
      </c>
      <c r="W2000" s="1">
        <v>44160</v>
      </c>
      <c r="X2000" t="s">
        <v>56</v>
      </c>
      <c r="AA2000" t="s">
        <v>40</v>
      </c>
      <c r="AC2000" t="s">
        <v>40</v>
      </c>
      <c r="AD2000" t="s">
        <v>40</v>
      </c>
      <c r="AE2000" t="s">
        <v>40</v>
      </c>
      <c r="AF2000" t="s">
        <v>40</v>
      </c>
      <c r="AG2000" t="s">
        <v>40</v>
      </c>
      <c r="AH2000" t="s">
        <v>40</v>
      </c>
      <c r="AI2000" t="s">
        <v>40</v>
      </c>
      <c r="AK2000" t="s">
        <v>40</v>
      </c>
    </row>
    <row r="2001" spans="1:39" x14ac:dyDescent="0.3">
      <c r="A2001">
        <v>2020</v>
      </c>
      <c r="B2001">
        <v>5</v>
      </c>
      <c r="C2001" t="str">
        <f t="shared" si="62"/>
        <v>5/01/2020</v>
      </c>
      <c r="D2001" s="1" t="str">
        <f t="shared" si="63"/>
        <v>5/01/2020</v>
      </c>
      <c r="E2001" t="s">
        <v>55</v>
      </c>
      <c r="F2001" t="s">
        <v>50</v>
      </c>
      <c r="G2001" t="s">
        <v>49</v>
      </c>
      <c r="H2001">
        <v>97</v>
      </c>
      <c r="I2001">
        <v>95</v>
      </c>
      <c r="S2001">
        <v>24</v>
      </c>
      <c r="U2001">
        <v>27</v>
      </c>
      <c r="V2001">
        <v>26</v>
      </c>
      <c r="W2001" s="1">
        <v>44160</v>
      </c>
      <c r="X2001" t="s">
        <v>56</v>
      </c>
      <c r="AA2001" t="s">
        <v>40</v>
      </c>
      <c r="AB2001" t="s">
        <v>40</v>
      </c>
      <c r="AC2001" t="s">
        <v>40</v>
      </c>
      <c r="AD2001" t="s">
        <v>40</v>
      </c>
      <c r="AE2001" t="s">
        <v>40</v>
      </c>
      <c r="AF2001" t="s">
        <v>40</v>
      </c>
      <c r="AG2001" t="s">
        <v>40</v>
      </c>
      <c r="AH2001" t="s">
        <v>40</v>
      </c>
      <c r="AI2001" t="s">
        <v>40</v>
      </c>
      <c r="AK2001" t="s">
        <v>40</v>
      </c>
    </row>
    <row r="2002" spans="1:39" x14ac:dyDescent="0.3">
      <c r="A2002">
        <v>2020</v>
      </c>
      <c r="B2002">
        <v>5</v>
      </c>
      <c r="C2002" t="str">
        <f t="shared" si="62"/>
        <v>5/01/2020</v>
      </c>
      <c r="D2002" s="1" t="str">
        <f t="shared" si="63"/>
        <v>5/01/2020</v>
      </c>
      <c r="E2002" t="s">
        <v>55</v>
      </c>
      <c r="F2002" t="s">
        <v>51</v>
      </c>
      <c r="G2002" t="s">
        <v>39</v>
      </c>
      <c r="H2002">
        <v>30</v>
      </c>
      <c r="I2002">
        <v>28</v>
      </c>
      <c r="J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S2002">
        <v>0</v>
      </c>
      <c r="T2002">
        <v>0</v>
      </c>
      <c r="U2002">
        <v>0</v>
      </c>
      <c r="V2002">
        <v>0</v>
      </c>
      <c r="W2002" s="1">
        <v>44160</v>
      </c>
      <c r="X2002" t="s">
        <v>56</v>
      </c>
      <c r="AB2002" t="s">
        <v>40</v>
      </c>
      <c r="AI2002" t="s">
        <v>40</v>
      </c>
    </row>
    <row r="2003" spans="1:39" x14ac:dyDescent="0.3">
      <c r="A2003">
        <v>2020</v>
      </c>
      <c r="B2003">
        <v>5</v>
      </c>
      <c r="C2003" t="str">
        <f t="shared" si="62"/>
        <v>5/01/2020</v>
      </c>
      <c r="D2003" s="1" t="str">
        <f t="shared" si="63"/>
        <v>5/01/2020</v>
      </c>
      <c r="E2003" t="s">
        <v>55</v>
      </c>
      <c r="F2003" t="s">
        <v>51</v>
      </c>
      <c r="G2003" t="s">
        <v>41</v>
      </c>
      <c r="H2003">
        <v>47</v>
      </c>
      <c r="I2003">
        <v>10</v>
      </c>
      <c r="M2003">
        <v>0</v>
      </c>
      <c r="N2003">
        <v>0</v>
      </c>
      <c r="O2003">
        <v>0</v>
      </c>
      <c r="P2003">
        <v>0</v>
      </c>
      <c r="Q2003">
        <v>0</v>
      </c>
      <c r="U2003">
        <v>0</v>
      </c>
      <c r="V2003">
        <v>0</v>
      </c>
      <c r="W2003" s="1">
        <v>44160</v>
      </c>
      <c r="X2003" t="s">
        <v>56</v>
      </c>
      <c r="AA2003" t="s">
        <v>40</v>
      </c>
      <c r="AB2003" t="s">
        <v>40</v>
      </c>
      <c r="AC2003" t="s">
        <v>40</v>
      </c>
      <c r="AI2003" t="s">
        <v>40</v>
      </c>
      <c r="AJ2003" t="s">
        <v>40</v>
      </c>
      <c r="AK2003" t="s">
        <v>40</v>
      </c>
    </row>
    <row r="2004" spans="1:39" x14ac:dyDescent="0.3">
      <c r="A2004">
        <v>2020</v>
      </c>
      <c r="B2004">
        <v>5</v>
      </c>
      <c r="C2004" t="str">
        <f t="shared" si="62"/>
        <v>5/01/2020</v>
      </c>
      <c r="D2004" s="1" t="str">
        <f t="shared" si="63"/>
        <v>5/01/2020</v>
      </c>
      <c r="E2004" t="s">
        <v>55</v>
      </c>
      <c r="F2004" t="s">
        <v>51</v>
      </c>
      <c r="G2004" t="s">
        <v>42</v>
      </c>
      <c r="H2004">
        <v>87</v>
      </c>
      <c r="I2004">
        <v>41</v>
      </c>
      <c r="J2004">
        <v>0</v>
      </c>
      <c r="L2004">
        <v>0</v>
      </c>
      <c r="M2004">
        <v>0</v>
      </c>
      <c r="O2004">
        <v>0</v>
      </c>
      <c r="P2004">
        <v>0</v>
      </c>
      <c r="Q2004">
        <v>0</v>
      </c>
      <c r="S2004">
        <v>14</v>
      </c>
      <c r="T2004">
        <v>0</v>
      </c>
      <c r="W2004" s="1">
        <v>44160</v>
      </c>
      <c r="X2004" t="s">
        <v>56</v>
      </c>
      <c r="AB2004" t="s">
        <v>40</v>
      </c>
      <c r="AE2004" t="s">
        <v>40</v>
      </c>
      <c r="AI2004" t="s">
        <v>40</v>
      </c>
      <c r="AL2004" t="s">
        <v>40</v>
      </c>
      <c r="AM2004" t="s">
        <v>40</v>
      </c>
    </row>
    <row r="2005" spans="1:39" x14ac:dyDescent="0.3">
      <c r="A2005">
        <v>2020</v>
      </c>
      <c r="B2005">
        <v>5</v>
      </c>
      <c r="C2005" t="str">
        <f t="shared" si="62"/>
        <v>5/01/2020</v>
      </c>
      <c r="D2005" s="1" t="str">
        <f t="shared" si="63"/>
        <v>5/01/2020</v>
      </c>
      <c r="E2005" t="s">
        <v>55</v>
      </c>
      <c r="F2005" t="s">
        <v>51</v>
      </c>
      <c r="G2005" t="s">
        <v>43</v>
      </c>
      <c r="H2005">
        <v>152</v>
      </c>
      <c r="I2005">
        <v>106</v>
      </c>
      <c r="K2005">
        <v>19</v>
      </c>
      <c r="M2005">
        <v>0</v>
      </c>
      <c r="P2005">
        <v>0</v>
      </c>
      <c r="S2005">
        <v>23</v>
      </c>
      <c r="T2005">
        <v>10</v>
      </c>
      <c r="U2005">
        <v>20</v>
      </c>
      <c r="V2005">
        <v>19</v>
      </c>
      <c r="W2005" s="1">
        <v>44160</v>
      </c>
      <c r="X2005" t="s">
        <v>56</v>
      </c>
      <c r="AA2005" t="s">
        <v>40</v>
      </c>
      <c r="AC2005" t="s">
        <v>40</v>
      </c>
      <c r="AE2005" t="s">
        <v>40</v>
      </c>
      <c r="AF2005" t="s">
        <v>40</v>
      </c>
      <c r="AH2005" t="s">
        <v>40</v>
      </c>
      <c r="AI2005" t="s">
        <v>40</v>
      </c>
    </row>
    <row r="2006" spans="1:39" x14ac:dyDescent="0.3">
      <c r="A2006">
        <v>2020</v>
      </c>
      <c r="B2006">
        <v>5</v>
      </c>
      <c r="C2006" t="str">
        <f t="shared" si="62"/>
        <v>5/01/2020</v>
      </c>
      <c r="D2006" s="1" t="str">
        <f t="shared" si="63"/>
        <v>5/01/2020</v>
      </c>
      <c r="E2006" t="s">
        <v>55</v>
      </c>
      <c r="F2006" t="s">
        <v>51</v>
      </c>
      <c r="G2006" t="s">
        <v>44</v>
      </c>
      <c r="H2006">
        <v>325</v>
      </c>
      <c r="I2006">
        <v>297</v>
      </c>
      <c r="K2006">
        <v>66</v>
      </c>
      <c r="L2006">
        <v>18</v>
      </c>
      <c r="M2006">
        <v>0</v>
      </c>
      <c r="S2006">
        <v>66</v>
      </c>
      <c r="T2006">
        <v>15</v>
      </c>
      <c r="U2006">
        <v>68</v>
      </c>
      <c r="V2006">
        <v>65</v>
      </c>
      <c r="W2006" s="1">
        <v>44160</v>
      </c>
      <c r="X2006" t="s">
        <v>56</v>
      </c>
      <c r="AA2006" t="s">
        <v>40</v>
      </c>
      <c r="AE2006" t="s">
        <v>40</v>
      </c>
      <c r="AF2006" t="s">
        <v>40</v>
      </c>
      <c r="AG2006" t="s">
        <v>40</v>
      </c>
      <c r="AH2006" t="s">
        <v>40</v>
      </c>
      <c r="AI2006" t="s">
        <v>40</v>
      </c>
    </row>
    <row r="2007" spans="1:39" x14ac:dyDescent="0.3">
      <c r="A2007">
        <v>2020</v>
      </c>
      <c r="B2007">
        <v>5</v>
      </c>
      <c r="C2007" t="str">
        <f t="shared" si="62"/>
        <v>5/01/2020</v>
      </c>
      <c r="D2007" s="1" t="str">
        <f t="shared" si="63"/>
        <v>5/01/2020</v>
      </c>
      <c r="E2007" t="s">
        <v>55</v>
      </c>
      <c r="F2007" t="s">
        <v>51</v>
      </c>
      <c r="G2007" t="s">
        <v>45</v>
      </c>
      <c r="H2007">
        <v>11</v>
      </c>
      <c r="J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T2007">
        <v>0</v>
      </c>
      <c r="V2007">
        <v>0</v>
      </c>
      <c r="W2007" s="1">
        <v>44160</v>
      </c>
      <c r="X2007" t="s">
        <v>56</v>
      </c>
      <c r="Z2007" t="s">
        <v>40</v>
      </c>
      <c r="AB2007" t="s">
        <v>40</v>
      </c>
      <c r="AJ2007" t="s">
        <v>40</v>
      </c>
      <c r="AL2007" t="s">
        <v>40</v>
      </c>
    </row>
    <row r="2008" spans="1:39" x14ac:dyDescent="0.3">
      <c r="A2008">
        <v>2020</v>
      </c>
      <c r="B2008">
        <v>5</v>
      </c>
      <c r="C2008" t="str">
        <f t="shared" si="62"/>
        <v>5/01/2020</v>
      </c>
      <c r="D2008" s="1" t="str">
        <f t="shared" si="63"/>
        <v>5/01/2020</v>
      </c>
      <c r="E2008" t="s">
        <v>55</v>
      </c>
      <c r="F2008" t="s">
        <v>51</v>
      </c>
      <c r="G2008" t="s">
        <v>46</v>
      </c>
      <c r="H2008">
        <v>537</v>
      </c>
      <c r="I2008">
        <v>507</v>
      </c>
      <c r="K2008">
        <v>138</v>
      </c>
      <c r="L2008">
        <v>25</v>
      </c>
      <c r="S2008">
        <v>104</v>
      </c>
      <c r="T2008">
        <v>22</v>
      </c>
      <c r="U2008">
        <v>137</v>
      </c>
      <c r="V2008">
        <v>129</v>
      </c>
      <c r="W2008" s="1">
        <v>44160</v>
      </c>
      <c r="X2008" t="s">
        <v>56</v>
      </c>
      <c r="AA2008" t="s">
        <v>40</v>
      </c>
      <c r="AD2008" t="s">
        <v>40</v>
      </c>
      <c r="AE2008" t="s">
        <v>40</v>
      </c>
      <c r="AF2008" t="s">
        <v>40</v>
      </c>
      <c r="AG2008" t="s">
        <v>40</v>
      </c>
      <c r="AH2008" t="s">
        <v>40</v>
      </c>
      <c r="AI2008" t="s">
        <v>40</v>
      </c>
    </row>
    <row r="2009" spans="1:39" x14ac:dyDescent="0.3">
      <c r="A2009">
        <v>2020</v>
      </c>
      <c r="B2009">
        <v>5</v>
      </c>
      <c r="C2009" t="str">
        <f t="shared" si="62"/>
        <v>5/01/2020</v>
      </c>
      <c r="D2009" s="1" t="str">
        <f t="shared" si="63"/>
        <v>5/01/2020</v>
      </c>
      <c r="E2009" t="s">
        <v>55</v>
      </c>
      <c r="F2009" t="s">
        <v>51</v>
      </c>
      <c r="G2009" t="s">
        <v>47</v>
      </c>
      <c r="H2009">
        <v>853</v>
      </c>
      <c r="I2009">
        <v>832</v>
      </c>
      <c r="J2009">
        <v>10</v>
      </c>
      <c r="K2009">
        <v>207</v>
      </c>
      <c r="L2009">
        <v>42</v>
      </c>
      <c r="N2009">
        <v>11</v>
      </c>
      <c r="O2009">
        <v>20</v>
      </c>
      <c r="P2009">
        <v>11</v>
      </c>
      <c r="Q2009">
        <v>11</v>
      </c>
      <c r="S2009">
        <v>138</v>
      </c>
      <c r="T2009">
        <v>31</v>
      </c>
      <c r="U2009">
        <v>253</v>
      </c>
      <c r="V2009">
        <v>252</v>
      </c>
      <c r="W2009" s="1">
        <v>44160</v>
      </c>
      <c r="X2009" t="s">
        <v>56</v>
      </c>
      <c r="AD2009" t="s">
        <v>40</v>
      </c>
      <c r="AI2009" t="s">
        <v>40</v>
      </c>
    </row>
    <row r="2010" spans="1:39" x14ac:dyDescent="0.3">
      <c r="A2010">
        <v>2020</v>
      </c>
      <c r="B2010">
        <v>5</v>
      </c>
      <c r="C2010" t="str">
        <f t="shared" si="62"/>
        <v>5/01/2020</v>
      </c>
      <c r="D2010" s="1" t="str">
        <f t="shared" si="63"/>
        <v>5/01/2020</v>
      </c>
      <c r="E2010" t="s">
        <v>55</v>
      </c>
      <c r="F2010" t="s">
        <v>51</v>
      </c>
      <c r="G2010" t="s">
        <v>48</v>
      </c>
      <c r="H2010">
        <v>983</v>
      </c>
      <c r="I2010">
        <v>952</v>
      </c>
      <c r="J2010">
        <v>13</v>
      </c>
      <c r="K2010">
        <v>183</v>
      </c>
      <c r="L2010">
        <v>46</v>
      </c>
      <c r="M2010">
        <v>19</v>
      </c>
      <c r="N2010">
        <v>21</v>
      </c>
      <c r="O2010">
        <v>31</v>
      </c>
      <c r="P2010">
        <v>18</v>
      </c>
      <c r="Q2010">
        <v>11</v>
      </c>
      <c r="S2010">
        <v>156</v>
      </c>
      <c r="T2010">
        <v>73</v>
      </c>
      <c r="U2010">
        <v>237</v>
      </c>
      <c r="V2010">
        <v>220</v>
      </c>
      <c r="W2010" s="1">
        <v>44160</v>
      </c>
      <c r="X2010" t="s">
        <v>56</v>
      </c>
      <c r="AI2010" t="s">
        <v>40</v>
      </c>
    </row>
    <row r="2011" spans="1:39" x14ac:dyDescent="0.3">
      <c r="A2011">
        <v>2020</v>
      </c>
      <c r="B2011">
        <v>5</v>
      </c>
      <c r="C2011" t="str">
        <f t="shared" si="62"/>
        <v>5/01/2020</v>
      </c>
      <c r="D2011" s="1" t="str">
        <f t="shared" si="63"/>
        <v>5/01/2020</v>
      </c>
      <c r="E2011" t="s">
        <v>55</v>
      </c>
      <c r="F2011" t="s">
        <v>51</v>
      </c>
      <c r="G2011" t="s">
        <v>49</v>
      </c>
      <c r="H2011" s="2">
        <v>1036</v>
      </c>
      <c r="I2011" s="2">
        <v>1008</v>
      </c>
      <c r="J2011">
        <v>12</v>
      </c>
      <c r="K2011">
        <v>123</v>
      </c>
      <c r="L2011">
        <v>32</v>
      </c>
      <c r="M2011">
        <v>43</v>
      </c>
      <c r="N2011">
        <v>39</v>
      </c>
      <c r="O2011">
        <v>32</v>
      </c>
      <c r="P2011">
        <v>14</v>
      </c>
      <c r="Q2011">
        <v>16</v>
      </c>
      <c r="S2011">
        <v>230</v>
      </c>
      <c r="T2011">
        <v>82</v>
      </c>
      <c r="U2011">
        <v>200</v>
      </c>
      <c r="V2011">
        <v>191</v>
      </c>
      <c r="W2011" s="1">
        <v>44160</v>
      </c>
      <c r="X2011" t="s">
        <v>56</v>
      </c>
      <c r="AI2011" t="s">
        <v>40</v>
      </c>
    </row>
    <row r="2012" spans="1:39" x14ac:dyDescent="0.3">
      <c r="A2012">
        <v>2020</v>
      </c>
      <c r="B2012">
        <v>5</v>
      </c>
      <c r="C2012" t="str">
        <f t="shared" si="62"/>
        <v>5/01/2020</v>
      </c>
      <c r="D2012" s="1" t="str">
        <f t="shared" si="63"/>
        <v>5/01/2020</v>
      </c>
      <c r="E2012" t="s">
        <v>55</v>
      </c>
      <c r="F2012" t="s">
        <v>52</v>
      </c>
      <c r="G2012" t="s">
        <v>39</v>
      </c>
      <c r="H2012">
        <v>313</v>
      </c>
      <c r="I2012">
        <v>275</v>
      </c>
      <c r="K2012">
        <v>0</v>
      </c>
      <c r="L2012">
        <v>0</v>
      </c>
      <c r="M2012">
        <v>0</v>
      </c>
      <c r="O2012">
        <v>0</v>
      </c>
      <c r="R2012">
        <v>50</v>
      </c>
      <c r="U2012">
        <v>0</v>
      </c>
      <c r="V2012">
        <v>0</v>
      </c>
      <c r="W2012" s="1">
        <v>44160</v>
      </c>
      <c r="X2012" t="s">
        <v>56</v>
      </c>
      <c r="AA2012" t="s">
        <v>40</v>
      </c>
      <c r="AE2012" t="s">
        <v>40</v>
      </c>
      <c r="AG2012" t="s">
        <v>40</v>
      </c>
      <c r="AH2012" t="s">
        <v>40</v>
      </c>
      <c r="AJ2012" t="s">
        <v>40</v>
      </c>
      <c r="AK2012" t="s">
        <v>40</v>
      </c>
    </row>
    <row r="2013" spans="1:39" x14ac:dyDescent="0.3">
      <c r="A2013">
        <v>2020</v>
      </c>
      <c r="B2013">
        <v>5</v>
      </c>
      <c r="C2013" t="str">
        <f t="shared" si="62"/>
        <v>5/01/2020</v>
      </c>
      <c r="D2013" s="1" t="str">
        <f t="shared" si="63"/>
        <v>5/01/2020</v>
      </c>
      <c r="E2013" t="s">
        <v>55</v>
      </c>
      <c r="F2013" t="s">
        <v>52</v>
      </c>
      <c r="G2013" t="s">
        <v>41</v>
      </c>
      <c r="H2013">
        <v>614</v>
      </c>
      <c r="I2013">
        <v>83</v>
      </c>
      <c r="J2013">
        <v>0</v>
      </c>
      <c r="K2013">
        <v>12</v>
      </c>
      <c r="M2013">
        <v>0</v>
      </c>
      <c r="O2013">
        <v>0</v>
      </c>
      <c r="P2013">
        <v>0</v>
      </c>
      <c r="Q2013">
        <v>0</v>
      </c>
      <c r="R2013">
        <v>22</v>
      </c>
      <c r="S2013">
        <v>10</v>
      </c>
      <c r="W2013" s="1">
        <v>44160</v>
      </c>
      <c r="X2013" t="s">
        <v>56</v>
      </c>
      <c r="AC2013" t="s">
        <v>40</v>
      </c>
      <c r="AE2013" t="s">
        <v>40</v>
      </c>
      <c r="AK2013" t="s">
        <v>40</v>
      </c>
      <c r="AL2013" t="s">
        <v>40</v>
      </c>
      <c r="AM2013" t="s">
        <v>40</v>
      </c>
    </row>
    <row r="2014" spans="1:39" x14ac:dyDescent="0.3">
      <c r="A2014">
        <v>2020</v>
      </c>
      <c r="B2014">
        <v>5</v>
      </c>
      <c r="C2014" t="str">
        <f t="shared" si="62"/>
        <v>5/01/2020</v>
      </c>
      <c r="D2014" s="1" t="str">
        <f t="shared" si="63"/>
        <v>5/01/2020</v>
      </c>
      <c r="E2014" t="s">
        <v>55</v>
      </c>
      <c r="F2014" t="s">
        <v>52</v>
      </c>
      <c r="G2014" t="s">
        <v>42</v>
      </c>
      <c r="H2014" s="2">
        <v>1102</v>
      </c>
      <c r="I2014">
        <v>312</v>
      </c>
      <c r="K2014">
        <v>13</v>
      </c>
      <c r="L2014">
        <v>22</v>
      </c>
      <c r="M2014">
        <v>0</v>
      </c>
      <c r="R2014">
        <v>41</v>
      </c>
      <c r="S2014">
        <v>72</v>
      </c>
      <c r="U2014">
        <v>36</v>
      </c>
      <c r="V2014">
        <v>33</v>
      </c>
      <c r="W2014" s="1">
        <v>44160</v>
      </c>
      <c r="X2014" t="s">
        <v>56</v>
      </c>
      <c r="AA2014" t="s">
        <v>40</v>
      </c>
      <c r="AE2014" t="s">
        <v>40</v>
      </c>
      <c r="AF2014" t="s">
        <v>40</v>
      </c>
      <c r="AG2014" t="s">
        <v>40</v>
      </c>
      <c r="AH2014" t="s">
        <v>40</v>
      </c>
      <c r="AK2014" t="s">
        <v>40</v>
      </c>
    </row>
    <row r="2015" spans="1:39" x14ac:dyDescent="0.3">
      <c r="A2015">
        <v>2020</v>
      </c>
      <c r="B2015">
        <v>5</v>
      </c>
      <c r="C2015" t="str">
        <f t="shared" si="62"/>
        <v>5/01/2020</v>
      </c>
      <c r="D2015" s="1" t="str">
        <f t="shared" si="63"/>
        <v>5/01/2020</v>
      </c>
      <c r="E2015" t="s">
        <v>55</v>
      </c>
      <c r="F2015" t="s">
        <v>52</v>
      </c>
      <c r="G2015" t="s">
        <v>43</v>
      </c>
      <c r="H2015" s="2">
        <v>1240</v>
      </c>
      <c r="I2015">
        <v>678</v>
      </c>
      <c r="J2015">
        <v>11</v>
      </c>
      <c r="K2015">
        <v>69</v>
      </c>
      <c r="L2015">
        <v>46</v>
      </c>
      <c r="M2015">
        <v>0</v>
      </c>
      <c r="N2015">
        <v>16</v>
      </c>
      <c r="O2015">
        <v>10</v>
      </c>
      <c r="Q2015">
        <v>11</v>
      </c>
      <c r="R2015">
        <v>41</v>
      </c>
      <c r="S2015">
        <v>196</v>
      </c>
      <c r="T2015">
        <v>18</v>
      </c>
      <c r="U2015">
        <v>91</v>
      </c>
      <c r="V2015">
        <v>78</v>
      </c>
      <c r="W2015" s="1">
        <v>44160</v>
      </c>
      <c r="X2015" t="s">
        <v>56</v>
      </c>
      <c r="AG2015" t="s">
        <v>40</v>
      </c>
    </row>
    <row r="2016" spans="1:39" x14ac:dyDescent="0.3">
      <c r="A2016">
        <v>2020</v>
      </c>
      <c r="B2016">
        <v>5</v>
      </c>
      <c r="C2016" t="str">
        <f t="shared" si="62"/>
        <v>5/01/2020</v>
      </c>
      <c r="D2016" s="1" t="str">
        <f t="shared" si="63"/>
        <v>5/01/2020</v>
      </c>
      <c r="E2016" t="s">
        <v>55</v>
      </c>
      <c r="F2016" t="s">
        <v>52</v>
      </c>
      <c r="G2016" t="s">
        <v>44</v>
      </c>
      <c r="H2016" s="2">
        <v>2123</v>
      </c>
      <c r="I2016" s="2">
        <v>1646</v>
      </c>
      <c r="J2016">
        <v>19</v>
      </c>
      <c r="K2016">
        <v>226</v>
      </c>
      <c r="L2016">
        <v>98</v>
      </c>
      <c r="M2016">
        <v>0</v>
      </c>
      <c r="N2016">
        <v>24</v>
      </c>
      <c r="O2016">
        <v>23</v>
      </c>
      <c r="P2016">
        <v>22</v>
      </c>
      <c r="Q2016">
        <v>32</v>
      </c>
      <c r="R2016">
        <v>50</v>
      </c>
      <c r="S2016">
        <v>476</v>
      </c>
      <c r="T2016">
        <v>88</v>
      </c>
      <c r="U2016">
        <v>285</v>
      </c>
      <c r="V2016">
        <v>264</v>
      </c>
      <c r="W2016" s="1">
        <v>44160</v>
      </c>
      <c r="X2016" t="s">
        <v>56</v>
      </c>
    </row>
    <row r="2017" spans="1:39" x14ac:dyDescent="0.3">
      <c r="A2017">
        <v>2020</v>
      </c>
      <c r="B2017">
        <v>5</v>
      </c>
      <c r="C2017" t="str">
        <f t="shared" si="62"/>
        <v>5/01/2020</v>
      </c>
      <c r="D2017" s="1" t="str">
        <f t="shared" si="63"/>
        <v>5/01/2020</v>
      </c>
      <c r="E2017" t="s">
        <v>55</v>
      </c>
      <c r="F2017" t="s">
        <v>52</v>
      </c>
      <c r="G2017" t="s">
        <v>45</v>
      </c>
      <c r="H2017">
        <v>75</v>
      </c>
      <c r="I2017">
        <v>40</v>
      </c>
      <c r="J2017">
        <v>0</v>
      </c>
      <c r="M2017">
        <v>0</v>
      </c>
      <c r="P2017">
        <v>0</v>
      </c>
      <c r="Q2017">
        <v>0</v>
      </c>
      <c r="T2017">
        <v>0</v>
      </c>
      <c r="W2017" s="1">
        <v>44160</v>
      </c>
      <c r="X2017" t="s">
        <v>56</v>
      </c>
      <c r="AB2017" t="s">
        <v>40</v>
      </c>
      <c r="AC2017" t="s">
        <v>40</v>
      </c>
      <c r="AE2017" t="s">
        <v>40</v>
      </c>
      <c r="AF2017" t="s">
        <v>40</v>
      </c>
      <c r="AI2017" t="s">
        <v>40</v>
      </c>
      <c r="AJ2017" t="s">
        <v>40</v>
      </c>
      <c r="AL2017" t="s">
        <v>40</v>
      </c>
      <c r="AM2017" t="s">
        <v>40</v>
      </c>
    </row>
    <row r="2018" spans="1:39" x14ac:dyDescent="0.3">
      <c r="A2018">
        <v>2020</v>
      </c>
      <c r="B2018">
        <v>5</v>
      </c>
      <c r="C2018" t="str">
        <f t="shared" si="62"/>
        <v>5/01/2020</v>
      </c>
      <c r="D2018" s="1" t="str">
        <f t="shared" si="63"/>
        <v>5/01/2020</v>
      </c>
      <c r="E2018" t="s">
        <v>55</v>
      </c>
      <c r="F2018" t="s">
        <v>52</v>
      </c>
      <c r="G2018" t="s">
        <v>46</v>
      </c>
      <c r="H2018" s="2">
        <v>4326</v>
      </c>
      <c r="I2018" s="2">
        <v>3870</v>
      </c>
      <c r="J2018">
        <v>65</v>
      </c>
      <c r="K2018">
        <v>711</v>
      </c>
      <c r="L2018">
        <v>210</v>
      </c>
      <c r="N2018">
        <v>50</v>
      </c>
      <c r="O2018">
        <v>107</v>
      </c>
      <c r="P2018">
        <v>45</v>
      </c>
      <c r="Q2018">
        <v>74</v>
      </c>
      <c r="R2018">
        <v>59</v>
      </c>
      <c r="S2018" s="2">
        <v>1038</v>
      </c>
      <c r="T2018">
        <v>179</v>
      </c>
      <c r="U2018">
        <v>745</v>
      </c>
      <c r="V2018">
        <v>687</v>
      </c>
      <c r="W2018" s="1">
        <v>44160</v>
      </c>
      <c r="X2018" t="s">
        <v>56</v>
      </c>
      <c r="AD2018" t="s">
        <v>40</v>
      </c>
    </row>
    <row r="2019" spans="1:39" x14ac:dyDescent="0.3">
      <c r="A2019">
        <v>2020</v>
      </c>
      <c r="B2019">
        <v>5</v>
      </c>
      <c r="C2019" t="str">
        <f t="shared" si="62"/>
        <v>5/01/2020</v>
      </c>
      <c r="D2019" s="1" t="str">
        <f t="shared" si="63"/>
        <v>5/01/2020</v>
      </c>
      <c r="E2019" t="s">
        <v>55</v>
      </c>
      <c r="F2019" t="s">
        <v>52</v>
      </c>
      <c r="G2019" t="s">
        <v>47</v>
      </c>
      <c r="H2019" s="2">
        <v>5173</v>
      </c>
      <c r="I2019" s="2">
        <v>4971</v>
      </c>
      <c r="J2019">
        <v>79</v>
      </c>
      <c r="K2019">
        <v>969</v>
      </c>
      <c r="L2019">
        <v>238</v>
      </c>
      <c r="M2019">
        <v>37</v>
      </c>
      <c r="N2019">
        <v>77</v>
      </c>
      <c r="O2019">
        <v>159</v>
      </c>
      <c r="P2019">
        <v>44</v>
      </c>
      <c r="Q2019">
        <v>113</v>
      </c>
      <c r="R2019">
        <v>43</v>
      </c>
      <c r="S2019" s="2">
        <v>1063</v>
      </c>
      <c r="T2019">
        <v>248</v>
      </c>
      <c r="U2019" s="2">
        <v>1238</v>
      </c>
      <c r="V2019" s="2">
        <v>1169</v>
      </c>
      <c r="W2019" s="1">
        <v>44160</v>
      </c>
      <c r="X2019" t="s">
        <v>56</v>
      </c>
    </row>
    <row r="2020" spans="1:39" x14ac:dyDescent="0.3">
      <c r="A2020">
        <v>2020</v>
      </c>
      <c r="B2020">
        <v>5</v>
      </c>
      <c r="C2020" t="str">
        <f t="shared" si="62"/>
        <v>5/01/2020</v>
      </c>
      <c r="D2020" s="1" t="str">
        <f t="shared" si="63"/>
        <v>5/01/2020</v>
      </c>
      <c r="E2020" t="s">
        <v>55</v>
      </c>
      <c r="F2020" t="s">
        <v>52</v>
      </c>
      <c r="G2020" t="s">
        <v>48</v>
      </c>
      <c r="H2020" s="2">
        <v>3920</v>
      </c>
      <c r="I2020" s="2">
        <v>3860</v>
      </c>
      <c r="J2020">
        <v>55</v>
      </c>
      <c r="K2020">
        <v>669</v>
      </c>
      <c r="L2020">
        <v>146</v>
      </c>
      <c r="M2020">
        <v>92</v>
      </c>
      <c r="N2020">
        <v>69</v>
      </c>
      <c r="O2020">
        <v>141</v>
      </c>
      <c r="P2020">
        <v>46</v>
      </c>
      <c r="Q2020">
        <v>100</v>
      </c>
      <c r="R2020">
        <v>30</v>
      </c>
      <c r="S2020">
        <v>751</v>
      </c>
      <c r="T2020">
        <v>185</v>
      </c>
      <c r="U2020" s="2">
        <v>1063</v>
      </c>
      <c r="V2020">
        <v>989</v>
      </c>
      <c r="W2020" s="1">
        <v>44160</v>
      </c>
      <c r="X2020" t="s">
        <v>56</v>
      </c>
    </row>
    <row r="2021" spans="1:39" x14ac:dyDescent="0.3">
      <c r="A2021">
        <v>2020</v>
      </c>
      <c r="B2021">
        <v>5</v>
      </c>
      <c r="C2021" t="str">
        <f t="shared" si="62"/>
        <v>5/01/2020</v>
      </c>
      <c r="D2021" s="1" t="str">
        <f t="shared" si="63"/>
        <v>5/01/2020</v>
      </c>
      <c r="E2021" t="s">
        <v>55</v>
      </c>
      <c r="F2021" t="s">
        <v>52</v>
      </c>
      <c r="G2021" t="s">
        <v>49</v>
      </c>
      <c r="H2021" s="2">
        <v>2411</v>
      </c>
      <c r="I2021" s="2">
        <v>2366</v>
      </c>
      <c r="J2021">
        <v>34</v>
      </c>
      <c r="K2021">
        <v>294</v>
      </c>
      <c r="L2021">
        <v>73</v>
      </c>
      <c r="M2021">
        <v>105</v>
      </c>
      <c r="N2021">
        <v>48</v>
      </c>
      <c r="O2021">
        <v>84</v>
      </c>
      <c r="P2021">
        <v>23</v>
      </c>
      <c r="Q2021">
        <v>58</v>
      </c>
      <c r="R2021">
        <v>17</v>
      </c>
      <c r="S2021">
        <v>506</v>
      </c>
      <c r="T2021">
        <v>145</v>
      </c>
      <c r="U2021">
        <v>591</v>
      </c>
      <c r="V2021">
        <v>539</v>
      </c>
      <c r="W2021" s="1">
        <v>44160</v>
      </c>
      <c r="X2021" t="s">
        <v>56</v>
      </c>
    </row>
    <row r="2022" spans="1:39" x14ac:dyDescent="0.3">
      <c r="A2022">
        <v>2020</v>
      </c>
      <c r="B2022">
        <v>5</v>
      </c>
      <c r="C2022" t="str">
        <f t="shared" si="62"/>
        <v>5/01/2020</v>
      </c>
      <c r="D2022" s="1" t="str">
        <f t="shared" si="63"/>
        <v>5/01/2020</v>
      </c>
      <c r="E2022" t="s">
        <v>55</v>
      </c>
      <c r="F2022" t="s">
        <v>53</v>
      </c>
      <c r="G2022" t="s">
        <v>39</v>
      </c>
      <c r="H2022">
        <v>482</v>
      </c>
      <c r="I2022">
        <v>401</v>
      </c>
      <c r="K2022">
        <v>16</v>
      </c>
      <c r="L2022">
        <v>0</v>
      </c>
      <c r="M2022">
        <v>0</v>
      </c>
      <c r="Q2022">
        <v>0</v>
      </c>
      <c r="R2022">
        <v>62</v>
      </c>
      <c r="W2022" s="1">
        <v>44160</v>
      </c>
      <c r="X2022" t="s">
        <v>56</v>
      </c>
      <c r="AA2022" t="s">
        <v>40</v>
      </c>
      <c r="AE2022" t="s">
        <v>40</v>
      </c>
      <c r="AF2022" t="s">
        <v>40</v>
      </c>
      <c r="AG2022" t="s">
        <v>40</v>
      </c>
      <c r="AJ2022" t="s">
        <v>40</v>
      </c>
      <c r="AK2022" t="s">
        <v>40</v>
      </c>
      <c r="AL2022" t="s">
        <v>40</v>
      </c>
      <c r="AM2022" t="s">
        <v>40</v>
      </c>
    </row>
    <row r="2023" spans="1:39" x14ac:dyDescent="0.3">
      <c r="A2023">
        <v>2020</v>
      </c>
      <c r="B2023">
        <v>5</v>
      </c>
      <c r="C2023" t="str">
        <f t="shared" si="62"/>
        <v>5/01/2020</v>
      </c>
      <c r="D2023" s="1" t="str">
        <f t="shared" si="63"/>
        <v>5/01/2020</v>
      </c>
      <c r="E2023" t="s">
        <v>55</v>
      </c>
      <c r="F2023" t="s">
        <v>53</v>
      </c>
      <c r="G2023" t="s">
        <v>41</v>
      </c>
      <c r="H2023" s="2">
        <v>1053</v>
      </c>
      <c r="I2023">
        <v>168</v>
      </c>
      <c r="K2023">
        <v>25</v>
      </c>
      <c r="M2023">
        <v>0</v>
      </c>
      <c r="R2023">
        <v>32</v>
      </c>
      <c r="S2023">
        <v>17</v>
      </c>
      <c r="W2023" s="1">
        <v>44160</v>
      </c>
      <c r="X2023" t="s">
        <v>56</v>
      </c>
      <c r="AA2023" t="s">
        <v>40</v>
      </c>
      <c r="AC2023" t="s">
        <v>40</v>
      </c>
      <c r="AE2023" t="s">
        <v>40</v>
      </c>
      <c r="AF2023" t="s">
        <v>40</v>
      </c>
      <c r="AG2023" t="s">
        <v>40</v>
      </c>
      <c r="AH2023" t="s">
        <v>40</v>
      </c>
      <c r="AK2023" t="s">
        <v>40</v>
      </c>
      <c r="AL2023" t="s">
        <v>40</v>
      </c>
      <c r="AM2023" t="s">
        <v>40</v>
      </c>
    </row>
    <row r="2024" spans="1:39" x14ac:dyDescent="0.3">
      <c r="A2024">
        <v>2020</v>
      </c>
      <c r="B2024">
        <v>5</v>
      </c>
      <c r="C2024" t="str">
        <f t="shared" si="62"/>
        <v>5/01/2020</v>
      </c>
      <c r="D2024" s="1" t="str">
        <f t="shared" si="63"/>
        <v>5/01/2020</v>
      </c>
      <c r="E2024" t="s">
        <v>55</v>
      </c>
      <c r="F2024" t="s">
        <v>53</v>
      </c>
      <c r="G2024" t="s">
        <v>42</v>
      </c>
      <c r="H2024" s="2">
        <v>2462</v>
      </c>
      <c r="I2024">
        <v>640</v>
      </c>
      <c r="J2024">
        <v>12</v>
      </c>
      <c r="K2024">
        <v>74</v>
      </c>
      <c r="L2024">
        <v>31</v>
      </c>
      <c r="M2024">
        <v>0</v>
      </c>
      <c r="N2024">
        <v>11</v>
      </c>
      <c r="R2024">
        <v>110</v>
      </c>
      <c r="S2024">
        <v>90</v>
      </c>
      <c r="T2024">
        <v>17</v>
      </c>
      <c r="U2024">
        <v>29</v>
      </c>
      <c r="V2024">
        <v>21</v>
      </c>
      <c r="W2024" s="1">
        <v>44160</v>
      </c>
      <c r="X2024" t="s">
        <v>56</v>
      </c>
      <c r="AF2024" t="s">
        <v>40</v>
      </c>
      <c r="AG2024" t="s">
        <v>40</v>
      </c>
      <c r="AH2024" t="s">
        <v>40</v>
      </c>
    </row>
    <row r="2025" spans="1:39" x14ac:dyDescent="0.3">
      <c r="A2025">
        <v>2020</v>
      </c>
      <c r="B2025">
        <v>5</v>
      </c>
      <c r="C2025" t="str">
        <f t="shared" si="62"/>
        <v>5/01/2020</v>
      </c>
      <c r="D2025" s="1" t="str">
        <f t="shared" si="63"/>
        <v>5/01/2020</v>
      </c>
      <c r="E2025" t="s">
        <v>55</v>
      </c>
      <c r="F2025" t="s">
        <v>53</v>
      </c>
      <c r="G2025" t="s">
        <v>43</v>
      </c>
      <c r="H2025" s="2">
        <v>3454</v>
      </c>
      <c r="I2025" s="2">
        <v>1629</v>
      </c>
      <c r="J2025">
        <v>21</v>
      </c>
      <c r="K2025">
        <v>229</v>
      </c>
      <c r="L2025">
        <v>86</v>
      </c>
      <c r="M2025">
        <v>0</v>
      </c>
      <c r="N2025">
        <v>15</v>
      </c>
      <c r="O2025">
        <v>21</v>
      </c>
      <c r="Q2025">
        <v>13</v>
      </c>
      <c r="R2025">
        <v>177</v>
      </c>
      <c r="S2025">
        <v>386</v>
      </c>
      <c r="T2025">
        <v>40</v>
      </c>
      <c r="U2025">
        <v>61</v>
      </c>
      <c r="V2025">
        <v>51</v>
      </c>
      <c r="W2025" s="1">
        <v>44160</v>
      </c>
      <c r="X2025" t="s">
        <v>56</v>
      </c>
      <c r="AG2025" t="s">
        <v>40</v>
      </c>
    </row>
    <row r="2026" spans="1:39" x14ac:dyDescent="0.3">
      <c r="A2026">
        <v>2020</v>
      </c>
      <c r="B2026">
        <v>5</v>
      </c>
      <c r="C2026" t="str">
        <f t="shared" si="62"/>
        <v>5/01/2020</v>
      </c>
      <c r="D2026" s="1" t="str">
        <f t="shared" si="63"/>
        <v>5/01/2020</v>
      </c>
      <c r="E2026" t="s">
        <v>55</v>
      </c>
      <c r="F2026" t="s">
        <v>53</v>
      </c>
      <c r="G2026" t="s">
        <v>44</v>
      </c>
      <c r="H2026" s="2">
        <v>6120</v>
      </c>
      <c r="I2026" s="2">
        <v>4394</v>
      </c>
      <c r="J2026">
        <v>75</v>
      </c>
      <c r="K2026">
        <v>905</v>
      </c>
      <c r="L2026">
        <v>230</v>
      </c>
      <c r="N2026">
        <v>53</v>
      </c>
      <c r="O2026">
        <v>104</v>
      </c>
      <c r="P2026">
        <v>45</v>
      </c>
      <c r="Q2026">
        <v>40</v>
      </c>
      <c r="R2026">
        <v>150</v>
      </c>
      <c r="S2026" s="2">
        <v>1266</v>
      </c>
      <c r="T2026">
        <v>127</v>
      </c>
      <c r="U2026">
        <v>224</v>
      </c>
      <c r="V2026">
        <v>205</v>
      </c>
      <c r="W2026" s="1">
        <v>44160</v>
      </c>
      <c r="X2026" t="s">
        <v>56</v>
      </c>
      <c r="AD2026" t="s">
        <v>40</v>
      </c>
    </row>
    <row r="2027" spans="1:39" x14ac:dyDescent="0.3">
      <c r="A2027">
        <v>2020</v>
      </c>
      <c r="B2027">
        <v>5</v>
      </c>
      <c r="C2027" t="str">
        <f t="shared" si="62"/>
        <v>5/01/2020</v>
      </c>
      <c r="D2027" s="1" t="str">
        <f t="shared" si="63"/>
        <v>5/01/2020</v>
      </c>
      <c r="E2027" t="s">
        <v>55</v>
      </c>
      <c r="F2027" t="s">
        <v>53</v>
      </c>
      <c r="G2027" t="s">
        <v>45</v>
      </c>
      <c r="H2027">
        <v>146</v>
      </c>
      <c r="I2027">
        <v>66</v>
      </c>
      <c r="K2027">
        <v>22</v>
      </c>
      <c r="M2027">
        <v>0</v>
      </c>
      <c r="O2027">
        <v>0</v>
      </c>
      <c r="P2027">
        <v>0</v>
      </c>
      <c r="Q2027">
        <v>0</v>
      </c>
      <c r="T2027">
        <v>0</v>
      </c>
      <c r="W2027" s="1">
        <v>44160</v>
      </c>
      <c r="X2027" t="s">
        <v>56</v>
      </c>
      <c r="AA2027" t="s">
        <v>40</v>
      </c>
      <c r="AC2027" t="s">
        <v>40</v>
      </c>
      <c r="AE2027" t="s">
        <v>40</v>
      </c>
      <c r="AI2027" t="s">
        <v>40</v>
      </c>
      <c r="AJ2027" t="s">
        <v>40</v>
      </c>
      <c r="AL2027" t="s">
        <v>40</v>
      </c>
      <c r="AM2027" t="s">
        <v>40</v>
      </c>
    </row>
    <row r="2028" spans="1:39" x14ac:dyDescent="0.3">
      <c r="A2028">
        <v>2020</v>
      </c>
      <c r="B2028">
        <v>5</v>
      </c>
      <c r="C2028" t="str">
        <f t="shared" si="62"/>
        <v>5/01/2020</v>
      </c>
      <c r="D2028" s="1" t="str">
        <f t="shared" si="63"/>
        <v>5/01/2020</v>
      </c>
      <c r="E2028" t="s">
        <v>55</v>
      </c>
      <c r="F2028" t="s">
        <v>53</v>
      </c>
      <c r="G2028" t="s">
        <v>46</v>
      </c>
      <c r="H2028" s="2">
        <v>14871</v>
      </c>
      <c r="I2028" s="2">
        <v>13170</v>
      </c>
      <c r="J2028">
        <v>181</v>
      </c>
      <c r="K2028" s="2">
        <v>3642</v>
      </c>
      <c r="L2028">
        <v>566</v>
      </c>
      <c r="M2028">
        <v>40</v>
      </c>
      <c r="N2028">
        <v>145</v>
      </c>
      <c r="O2028">
        <v>617</v>
      </c>
      <c r="P2028">
        <v>153</v>
      </c>
      <c r="Q2028">
        <v>149</v>
      </c>
      <c r="R2028">
        <v>186</v>
      </c>
      <c r="S2028" s="2">
        <v>3474</v>
      </c>
      <c r="T2028">
        <v>404</v>
      </c>
      <c r="U2028">
        <v>924</v>
      </c>
      <c r="V2028">
        <v>848</v>
      </c>
      <c r="W2028" s="1">
        <v>44160</v>
      </c>
      <c r="X2028" t="s">
        <v>56</v>
      </c>
    </row>
    <row r="2029" spans="1:39" x14ac:dyDescent="0.3">
      <c r="A2029">
        <v>2020</v>
      </c>
      <c r="B2029">
        <v>5</v>
      </c>
      <c r="C2029" t="str">
        <f t="shared" si="62"/>
        <v>5/01/2020</v>
      </c>
      <c r="D2029" s="1" t="str">
        <f t="shared" si="63"/>
        <v>5/01/2020</v>
      </c>
      <c r="E2029" t="s">
        <v>55</v>
      </c>
      <c r="F2029" t="s">
        <v>53</v>
      </c>
      <c r="G2029" t="s">
        <v>47</v>
      </c>
      <c r="H2029" s="2">
        <v>22280</v>
      </c>
      <c r="I2029" s="2">
        <v>21208</v>
      </c>
      <c r="J2029">
        <v>262</v>
      </c>
      <c r="K2029" s="2">
        <v>6013</v>
      </c>
      <c r="L2029">
        <v>839</v>
      </c>
      <c r="M2029">
        <v>231</v>
      </c>
      <c r="N2029">
        <v>258</v>
      </c>
      <c r="O2029" s="2">
        <v>1320</v>
      </c>
      <c r="P2029">
        <v>367</v>
      </c>
      <c r="Q2029">
        <v>273</v>
      </c>
      <c r="R2029">
        <v>178</v>
      </c>
      <c r="S2029" s="2">
        <v>5104</v>
      </c>
      <c r="T2029">
        <v>713</v>
      </c>
      <c r="U2029" s="2">
        <v>2058</v>
      </c>
      <c r="V2029" s="2">
        <v>1901</v>
      </c>
      <c r="W2029" s="1">
        <v>44160</v>
      </c>
      <c r="X2029" t="s">
        <v>56</v>
      </c>
    </row>
    <row r="2030" spans="1:39" x14ac:dyDescent="0.3">
      <c r="A2030">
        <v>2020</v>
      </c>
      <c r="B2030">
        <v>5</v>
      </c>
      <c r="C2030" t="str">
        <f t="shared" si="62"/>
        <v>5/01/2020</v>
      </c>
      <c r="D2030" s="1" t="str">
        <f t="shared" si="63"/>
        <v>5/01/2020</v>
      </c>
      <c r="E2030" t="s">
        <v>55</v>
      </c>
      <c r="F2030" t="s">
        <v>53</v>
      </c>
      <c r="G2030" t="s">
        <v>48</v>
      </c>
      <c r="H2030" s="2">
        <v>26487</v>
      </c>
      <c r="I2030" s="2">
        <v>25553</v>
      </c>
      <c r="J2030">
        <v>325</v>
      </c>
      <c r="K2030" s="2">
        <v>5766</v>
      </c>
      <c r="L2030">
        <v>755</v>
      </c>
      <c r="M2030">
        <v>872</v>
      </c>
      <c r="N2030">
        <v>395</v>
      </c>
      <c r="O2030" s="2">
        <v>1604</v>
      </c>
      <c r="P2030">
        <v>476</v>
      </c>
      <c r="Q2030">
        <v>429</v>
      </c>
      <c r="R2030">
        <v>182</v>
      </c>
      <c r="S2030" s="2">
        <v>5911</v>
      </c>
      <c r="T2030" s="2">
        <v>1157</v>
      </c>
      <c r="U2030" s="2">
        <v>3034</v>
      </c>
      <c r="V2030" s="2">
        <v>2783</v>
      </c>
      <c r="W2030" s="1">
        <v>44160</v>
      </c>
      <c r="X2030" t="s">
        <v>56</v>
      </c>
    </row>
    <row r="2031" spans="1:39" x14ac:dyDescent="0.3">
      <c r="A2031">
        <v>2020</v>
      </c>
      <c r="B2031">
        <v>5</v>
      </c>
      <c r="C2031" t="str">
        <f t="shared" si="62"/>
        <v>5/01/2020</v>
      </c>
      <c r="D2031" s="1" t="str">
        <f t="shared" si="63"/>
        <v>5/01/2020</v>
      </c>
      <c r="E2031" t="s">
        <v>55</v>
      </c>
      <c r="F2031" t="s">
        <v>53</v>
      </c>
      <c r="G2031" t="s">
        <v>49</v>
      </c>
      <c r="H2031" s="2">
        <v>26007</v>
      </c>
      <c r="I2031" s="2">
        <v>25077</v>
      </c>
      <c r="J2031">
        <v>198</v>
      </c>
      <c r="K2031" s="2">
        <v>3279</v>
      </c>
      <c r="L2031">
        <v>471</v>
      </c>
      <c r="M2031" s="2">
        <v>1530</v>
      </c>
      <c r="N2031">
        <v>450</v>
      </c>
      <c r="O2031" s="2">
        <v>1116</v>
      </c>
      <c r="P2031">
        <v>345</v>
      </c>
      <c r="Q2031">
        <v>497</v>
      </c>
      <c r="R2031">
        <v>263</v>
      </c>
      <c r="S2031" s="2">
        <v>7058</v>
      </c>
      <c r="T2031" s="2">
        <v>1368</v>
      </c>
      <c r="U2031" s="2">
        <v>3585</v>
      </c>
      <c r="V2031" s="2">
        <v>3254</v>
      </c>
      <c r="W2031" s="1">
        <v>44160</v>
      </c>
      <c r="X2031" t="s">
        <v>56</v>
      </c>
    </row>
    <row r="2032" spans="1:39" x14ac:dyDescent="0.3">
      <c r="A2032">
        <v>2020</v>
      </c>
      <c r="B2032">
        <v>5</v>
      </c>
      <c r="C2032" t="str">
        <f t="shared" si="62"/>
        <v>5/01/2020</v>
      </c>
      <c r="D2032" s="1" t="str">
        <f t="shared" si="63"/>
        <v>5/01/2020</v>
      </c>
      <c r="E2032" t="s">
        <v>55</v>
      </c>
      <c r="F2032" t="s">
        <v>54</v>
      </c>
      <c r="G2032" t="s">
        <v>39</v>
      </c>
      <c r="H2032">
        <v>54</v>
      </c>
      <c r="I2032">
        <v>51</v>
      </c>
      <c r="L2032">
        <v>0</v>
      </c>
      <c r="M2032">
        <v>0</v>
      </c>
      <c r="N2032">
        <v>0</v>
      </c>
      <c r="O2032">
        <v>0</v>
      </c>
      <c r="Q2032">
        <v>0</v>
      </c>
      <c r="T2032">
        <v>0</v>
      </c>
      <c r="U2032">
        <v>0</v>
      </c>
      <c r="V2032">
        <v>0</v>
      </c>
      <c r="W2032" s="1">
        <v>44160</v>
      </c>
      <c r="X2032" t="s">
        <v>56</v>
      </c>
      <c r="AA2032" t="s">
        <v>40</v>
      </c>
      <c r="AB2032" t="s">
        <v>40</v>
      </c>
      <c r="AG2032" t="s">
        <v>40</v>
      </c>
      <c r="AI2032" t="s">
        <v>40</v>
      </c>
      <c r="AJ2032" t="s">
        <v>40</v>
      </c>
    </row>
    <row r="2033" spans="1:39" x14ac:dyDescent="0.3">
      <c r="A2033">
        <v>2020</v>
      </c>
      <c r="B2033">
        <v>5</v>
      </c>
      <c r="C2033" t="str">
        <f t="shared" si="62"/>
        <v>5/01/2020</v>
      </c>
      <c r="D2033" s="1" t="str">
        <f t="shared" si="63"/>
        <v>5/01/2020</v>
      </c>
      <c r="E2033" t="s">
        <v>55</v>
      </c>
      <c r="F2033" t="s">
        <v>54</v>
      </c>
      <c r="G2033" t="s">
        <v>41</v>
      </c>
      <c r="H2033">
        <v>51</v>
      </c>
      <c r="I2033">
        <v>10</v>
      </c>
      <c r="J2033">
        <v>0</v>
      </c>
      <c r="L2033">
        <v>0</v>
      </c>
      <c r="M2033">
        <v>0</v>
      </c>
      <c r="N2033">
        <v>0</v>
      </c>
      <c r="P2033">
        <v>0</v>
      </c>
      <c r="Q2033">
        <v>0</v>
      </c>
      <c r="R2033">
        <v>0</v>
      </c>
      <c r="T2033">
        <v>0</v>
      </c>
      <c r="W2033" s="1">
        <v>44160</v>
      </c>
      <c r="X2033" t="s">
        <v>56</v>
      </c>
      <c r="AB2033" t="s">
        <v>40</v>
      </c>
      <c r="AF2033" t="s">
        <v>40</v>
      </c>
      <c r="AJ2033" t="s">
        <v>40</v>
      </c>
      <c r="AL2033" t="s">
        <v>40</v>
      </c>
      <c r="AM2033" t="s">
        <v>40</v>
      </c>
    </row>
    <row r="2034" spans="1:39" x14ac:dyDescent="0.3">
      <c r="A2034">
        <v>2020</v>
      </c>
      <c r="B2034">
        <v>5</v>
      </c>
      <c r="C2034" t="str">
        <f t="shared" si="62"/>
        <v>5/01/2020</v>
      </c>
      <c r="D2034" s="1" t="str">
        <f t="shared" si="63"/>
        <v>5/01/2020</v>
      </c>
      <c r="E2034" t="s">
        <v>55</v>
      </c>
      <c r="F2034" t="s">
        <v>54</v>
      </c>
      <c r="G2034" t="s">
        <v>42</v>
      </c>
      <c r="H2034">
        <v>97</v>
      </c>
      <c r="I2034">
        <v>31</v>
      </c>
      <c r="J2034">
        <v>0</v>
      </c>
      <c r="M2034">
        <v>0</v>
      </c>
      <c r="N2034">
        <v>0</v>
      </c>
      <c r="P2034">
        <v>0</v>
      </c>
      <c r="Q2034">
        <v>0</v>
      </c>
      <c r="W2034" s="1">
        <v>44160</v>
      </c>
      <c r="X2034" t="s">
        <v>56</v>
      </c>
      <c r="AB2034" t="s">
        <v>40</v>
      </c>
      <c r="AC2034" t="s">
        <v>40</v>
      </c>
      <c r="AF2034" t="s">
        <v>40</v>
      </c>
      <c r="AI2034" t="s">
        <v>40</v>
      </c>
      <c r="AJ2034" t="s">
        <v>40</v>
      </c>
      <c r="AK2034" t="s">
        <v>40</v>
      </c>
      <c r="AL2034" t="s">
        <v>40</v>
      </c>
      <c r="AM2034" t="s">
        <v>40</v>
      </c>
    </row>
    <row r="2035" spans="1:39" x14ac:dyDescent="0.3">
      <c r="A2035">
        <v>2020</v>
      </c>
      <c r="B2035">
        <v>5</v>
      </c>
      <c r="C2035" t="str">
        <f t="shared" si="62"/>
        <v>5/01/2020</v>
      </c>
      <c r="D2035" s="1" t="str">
        <f t="shared" si="63"/>
        <v>5/01/2020</v>
      </c>
      <c r="E2035" t="s">
        <v>55</v>
      </c>
      <c r="F2035" t="s">
        <v>54</v>
      </c>
      <c r="G2035" t="s">
        <v>43</v>
      </c>
      <c r="H2035">
        <v>111</v>
      </c>
      <c r="I2035">
        <v>60</v>
      </c>
      <c r="J2035">
        <v>0</v>
      </c>
      <c r="M2035">
        <v>0</v>
      </c>
      <c r="N2035">
        <v>0</v>
      </c>
      <c r="O2035">
        <v>0</v>
      </c>
      <c r="Q2035">
        <v>0</v>
      </c>
      <c r="S2035">
        <v>12</v>
      </c>
      <c r="T2035">
        <v>0</v>
      </c>
      <c r="W2035" s="1">
        <v>44160</v>
      </c>
      <c r="X2035" t="s">
        <v>56</v>
      </c>
      <c r="AB2035" t="s">
        <v>40</v>
      </c>
      <c r="AC2035" t="s">
        <v>40</v>
      </c>
      <c r="AG2035" t="s">
        <v>40</v>
      </c>
      <c r="AI2035" t="s">
        <v>40</v>
      </c>
      <c r="AL2035" t="s">
        <v>40</v>
      </c>
      <c r="AM2035" t="s">
        <v>40</v>
      </c>
    </row>
    <row r="2036" spans="1:39" x14ac:dyDescent="0.3">
      <c r="A2036">
        <v>2020</v>
      </c>
      <c r="B2036">
        <v>5</v>
      </c>
      <c r="C2036" t="str">
        <f t="shared" si="62"/>
        <v>5/01/2020</v>
      </c>
      <c r="D2036" s="1" t="str">
        <f t="shared" si="63"/>
        <v>5/01/2020</v>
      </c>
      <c r="E2036" t="s">
        <v>55</v>
      </c>
      <c r="F2036" t="s">
        <v>54</v>
      </c>
      <c r="G2036" t="s">
        <v>44</v>
      </c>
      <c r="H2036">
        <v>160</v>
      </c>
      <c r="I2036">
        <v>115</v>
      </c>
      <c r="K2036">
        <v>17</v>
      </c>
      <c r="M2036">
        <v>0</v>
      </c>
      <c r="Q2036">
        <v>0</v>
      </c>
      <c r="S2036">
        <v>39</v>
      </c>
      <c r="W2036" s="1">
        <v>44160</v>
      </c>
      <c r="X2036" t="s">
        <v>56</v>
      </c>
      <c r="AA2036" t="s">
        <v>40</v>
      </c>
      <c r="AC2036" t="s">
        <v>40</v>
      </c>
      <c r="AE2036" t="s">
        <v>40</v>
      </c>
      <c r="AF2036" t="s">
        <v>40</v>
      </c>
      <c r="AG2036" t="s">
        <v>40</v>
      </c>
      <c r="AI2036" t="s">
        <v>40</v>
      </c>
      <c r="AK2036" t="s">
        <v>40</v>
      </c>
      <c r="AL2036" t="s">
        <v>40</v>
      </c>
      <c r="AM2036" t="s">
        <v>40</v>
      </c>
    </row>
    <row r="2037" spans="1:39" x14ac:dyDescent="0.3">
      <c r="A2037">
        <v>2020</v>
      </c>
      <c r="B2037">
        <v>5</v>
      </c>
      <c r="C2037" t="str">
        <f t="shared" si="62"/>
        <v>5/01/2020</v>
      </c>
      <c r="D2037" s="1" t="str">
        <f t="shared" si="63"/>
        <v>5/01/2020</v>
      </c>
      <c r="E2037" t="s">
        <v>55</v>
      </c>
      <c r="F2037" t="s">
        <v>54</v>
      </c>
      <c r="G2037" t="s">
        <v>45</v>
      </c>
      <c r="J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U2037">
        <v>0</v>
      </c>
      <c r="V2037">
        <v>0</v>
      </c>
      <c r="W2037" s="1">
        <v>44160</v>
      </c>
      <c r="X2037" t="s">
        <v>56</v>
      </c>
      <c r="Y2037" t="s">
        <v>40</v>
      </c>
      <c r="Z2037" t="s">
        <v>40</v>
      </c>
      <c r="AB2037" t="s">
        <v>40</v>
      </c>
      <c r="AJ2037" t="s">
        <v>40</v>
      </c>
      <c r="AK2037" t="s">
        <v>40</v>
      </c>
    </row>
    <row r="2038" spans="1:39" x14ac:dyDescent="0.3">
      <c r="A2038">
        <v>2020</v>
      </c>
      <c r="B2038">
        <v>5</v>
      </c>
      <c r="C2038" t="str">
        <f t="shared" si="62"/>
        <v>5/01/2020</v>
      </c>
      <c r="D2038" s="1" t="str">
        <f t="shared" si="63"/>
        <v>5/01/2020</v>
      </c>
      <c r="E2038" t="s">
        <v>55</v>
      </c>
      <c r="F2038" t="s">
        <v>54</v>
      </c>
      <c r="G2038" t="s">
        <v>46</v>
      </c>
      <c r="H2038">
        <v>276</v>
      </c>
      <c r="I2038">
        <v>236</v>
      </c>
      <c r="K2038">
        <v>44</v>
      </c>
      <c r="M2038">
        <v>0</v>
      </c>
      <c r="S2038">
        <v>57</v>
      </c>
      <c r="T2038">
        <v>12</v>
      </c>
      <c r="U2038">
        <v>43</v>
      </c>
      <c r="V2038">
        <v>40</v>
      </c>
      <c r="W2038" s="1">
        <v>44160</v>
      </c>
      <c r="X2038" t="s">
        <v>56</v>
      </c>
      <c r="AA2038" t="s">
        <v>40</v>
      </c>
      <c r="AC2038" t="s">
        <v>40</v>
      </c>
      <c r="AE2038" t="s">
        <v>40</v>
      </c>
      <c r="AF2038" t="s">
        <v>40</v>
      </c>
      <c r="AG2038" t="s">
        <v>40</v>
      </c>
      <c r="AH2038" t="s">
        <v>40</v>
      </c>
      <c r="AI2038" t="s">
        <v>40</v>
      </c>
    </row>
    <row r="2039" spans="1:39" x14ac:dyDescent="0.3">
      <c r="A2039">
        <v>2020</v>
      </c>
      <c r="B2039">
        <v>5</v>
      </c>
      <c r="C2039" t="str">
        <f t="shared" si="62"/>
        <v>5/01/2020</v>
      </c>
      <c r="D2039" s="1" t="str">
        <f t="shared" si="63"/>
        <v>5/01/2020</v>
      </c>
      <c r="E2039" t="s">
        <v>55</v>
      </c>
      <c r="F2039" t="s">
        <v>54</v>
      </c>
      <c r="G2039" t="s">
        <v>47</v>
      </c>
      <c r="H2039">
        <v>311</v>
      </c>
      <c r="I2039">
        <v>291</v>
      </c>
      <c r="K2039">
        <v>49</v>
      </c>
      <c r="L2039">
        <v>13</v>
      </c>
      <c r="M2039">
        <v>0</v>
      </c>
      <c r="N2039">
        <v>12</v>
      </c>
      <c r="O2039">
        <v>15</v>
      </c>
      <c r="R2039">
        <v>11</v>
      </c>
      <c r="S2039">
        <v>79</v>
      </c>
      <c r="U2039">
        <v>60</v>
      </c>
      <c r="V2039">
        <v>56</v>
      </c>
      <c r="W2039" s="1">
        <v>44160</v>
      </c>
      <c r="X2039" t="s">
        <v>56</v>
      </c>
      <c r="AA2039" t="s">
        <v>40</v>
      </c>
      <c r="AG2039" t="s">
        <v>40</v>
      </c>
      <c r="AH2039" t="s">
        <v>40</v>
      </c>
      <c r="AK2039" t="s">
        <v>40</v>
      </c>
    </row>
    <row r="2040" spans="1:39" x14ac:dyDescent="0.3">
      <c r="A2040">
        <v>2020</v>
      </c>
      <c r="B2040">
        <v>5</v>
      </c>
      <c r="C2040" t="str">
        <f t="shared" si="62"/>
        <v>5/01/2020</v>
      </c>
      <c r="D2040" s="1" t="str">
        <f t="shared" si="63"/>
        <v>5/01/2020</v>
      </c>
      <c r="E2040" t="s">
        <v>55</v>
      </c>
      <c r="F2040" t="s">
        <v>54</v>
      </c>
      <c r="G2040" t="s">
        <v>48</v>
      </c>
      <c r="H2040">
        <v>232</v>
      </c>
      <c r="I2040">
        <v>227</v>
      </c>
      <c r="J2040">
        <v>0</v>
      </c>
      <c r="K2040">
        <v>48</v>
      </c>
      <c r="S2040">
        <v>46</v>
      </c>
      <c r="T2040">
        <v>12</v>
      </c>
      <c r="U2040">
        <v>58</v>
      </c>
      <c r="V2040">
        <v>55</v>
      </c>
      <c r="W2040" s="1">
        <v>44160</v>
      </c>
      <c r="X2040" t="s">
        <v>56</v>
      </c>
      <c r="AC2040" t="s">
        <v>40</v>
      </c>
      <c r="AD2040" t="s">
        <v>40</v>
      </c>
      <c r="AE2040" t="s">
        <v>40</v>
      </c>
      <c r="AF2040" t="s">
        <v>40</v>
      </c>
      <c r="AG2040" t="s">
        <v>40</v>
      </c>
      <c r="AH2040" t="s">
        <v>40</v>
      </c>
      <c r="AI2040" t="s">
        <v>40</v>
      </c>
    </row>
    <row r="2041" spans="1:39" x14ac:dyDescent="0.3">
      <c r="A2041">
        <v>2020</v>
      </c>
      <c r="B2041">
        <v>5</v>
      </c>
      <c r="C2041" t="str">
        <f t="shared" si="62"/>
        <v>5/01/2020</v>
      </c>
      <c r="D2041" s="1" t="str">
        <f t="shared" si="63"/>
        <v>5/01/2020</v>
      </c>
      <c r="E2041" t="s">
        <v>55</v>
      </c>
      <c r="F2041" t="s">
        <v>54</v>
      </c>
      <c r="G2041" t="s">
        <v>49</v>
      </c>
      <c r="H2041">
        <v>142</v>
      </c>
      <c r="I2041">
        <v>136</v>
      </c>
      <c r="K2041">
        <v>19</v>
      </c>
      <c r="R2041">
        <v>0</v>
      </c>
      <c r="S2041">
        <v>48</v>
      </c>
      <c r="U2041">
        <v>28</v>
      </c>
      <c r="V2041">
        <v>27</v>
      </c>
      <c r="W2041" s="1">
        <v>44160</v>
      </c>
      <c r="X2041" t="s">
        <v>56</v>
      </c>
      <c r="AA2041" t="s">
        <v>40</v>
      </c>
      <c r="AC2041" t="s">
        <v>40</v>
      </c>
      <c r="AD2041" t="s">
        <v>40</v>
      </c>
      <c r="AE2041" t="s">
        <v>40</v>
      </c>
      <c r="AF2041" t="s">
        <v>40</v>
      </c>
      <c r="AG2041" t="s">
        <v>40</v>
      </c>
      <c r="AH2041" t="s">
        <v>40</v>
      </c>
      <c r="AK2041" t="s">
        <v>40</v>
      </c>
    </row>
    <row r="2042" spans="1:39" x14ac:dyDescent="0.3">
      <c r="A2042">
        <v>2020</v>
      </c>
      <c r="B2042">
        <v>6</v>
      </c>
      <c r="C2042" t="str">
        <f t="shared" si="62"/>
        <v>6/01/2020</v>
      </c>
      <c r="D2042" s="1" t="str">
        <f t="shared" si="63"/>
        <v>6/01/2020</v>
      </c>
      <c r="E2042" t="s">
        <v>37</v>
      </c>
      <c r="F2042" t="s">
        <v>38</v>
      </c>
      <c r="G2042" t="s">
        <v>39</v>
      </c>
      <c r="H2042">
        <v>187</v>
      </c>
      <c r="I2042">
        <v>161</v>
      </c>
      <c r="J2042">
        <v>0</v>
      </c>
      <c r="M2042">
        <v>0</v>
      </c>
      <c r="N2042">
        <v>0</v>
      </c>
      <c r="O2042">
        <v>0</v>
      </c>
      <c r="Q2042">
        <v>0</v>
      </c>
      <c r="R2042">
        <v>23</v>
      </c>
      <c r="W2042" s="1">
        <v>44160</v>
      </c>
      <c r="X2042" t="s">
        <v>56</v>
      </c>
      <c r="AB2042" t="s">
        <v>40</v>
      </c>
      <c r="AC2042" t="s">
        <v>40</v>
      </c>
      <c r="AG2042" t="s">
        <v>40</v>
      </c>
      <c r="AJ2042" t="s">
        <v>40</v>
      </c>
      <c r="AK2042" t="s">
        <v>40</v>
      </c>
      <c r="AL2042" t="s">
        <v>40</v>
      </c>
      <c r="AM2042" t="s">
        <v>40</v>
      </c>
    </row>
    <row r="2043" spans="1:39" x14ac:dyDescent="0.3">
      <c r="A2043">
        <v>2020</v>
      </c>
      <c r="B2043">
        <v>6</v>
      </c>
      <c r="C2043" t="str">
        <f t="shared" si="62"/>
        <v>6/01/2020</v>
      </c>
      <c r="D2043" s="1" t="str">
        <f t="shared" si="63"/>
        <v>6/01/2020</v>
      </c>
      <c r="E2043" t="s">
        <v>37</v>
      </c>
      <c r="F2043" t="s">
        <v>38</v>
      </c>
      <c r="G2043" t="s">
        <v>41</v>
      </c>
      <c r="H2043">
        <v>152</v>
      </c>
      <c r="I2043">
        <v>42</v>
      </c>
      <c r="J2043">
        <v>0</v>
      </c>
      <c r="L2043">
        <v>0</v>
      </c>
      <c r="M2043">
        <v>0</v>
      </c>
      <c r="N2043">
        <v>0</v>
      </c>
      <c r="Q2043">
        <v>0</v>
      </c>
      <c r="S2043">
        <v>0</v>
      </c>
      <c r="U2043">
        <v>10</v>
      </c>
      <c r="V2043">
        <v>10</v>
      </c>
      <c r="W2043" s="1">
        <v>44160</v>
      </c>
      <c r="X2043" t="s">
        <v>56</v>
      </c>
      <c r="AB2043" t="s">
        <v>40</v>
      </c>
      <c r="AF2043" t="s">
        <v>40</v>
      </c>
      <c r="AG2043" t="s">
        <v>40</v>
      </c>
      <c r="AI2043" t="s">
        <v>40</v>
      </c>
      <c r="AK2043" t="s">
        <v>40</v>
      </c>
    </row>
    <row r="2044" spans="1:39" x14ac:dyDescent="0.3">
      <c r="A2044">
        <v>2020</v>
      </c>
      <c r="B2044">
        <v>6</v>
      </c>
      <c r="C2044" t="str">
        <f t="shared" si="62"/>
        <v>6/01/2020</v>
      </c>
      <c r="D2044" s="1" t="str">
        <f t="shared" si="63"/>
        <v>6/01/2020</v>
      </c>
      <c r="E2044" t="s">
        <v>37</v>
      </c>
      <c r="F2044" t="s">
        <v>38</v>
      </c>
      <c r="G2044" t="s">
        <v>42</v>
      </c>
      <c r="H2044">
        <v>276</v>
      </c>
      <c r="I2044">
        <v>150</v>
      </c>
      <c r="J2044">
        <v>0</v>
      </c>
      <c r="K2044">
        <v>26</v>
      </c>
      <c r="M2044">
        <v>0</v>
      </c>
      <c r="R2044">
        <v>11</v>
      </c>
      <c r="S2044">
        <v>22</v>
      </c>
      <c r="U2044">
        <v>26</v>
      </c>
      <c r="V2044">
        <v>25</v>
      </c>
      <c r="W2044" s="1">
        <v>44160</v>
      </c>
      <c r="X2044" t="s">
        <v>56</v>
      </c>
      <c r="AC2044" t="s">
        <v>40</v>
      </c>
      <c r="AE2044" t="s">
        <v>40</v>
      </c>
      <c r="AF2044" t="s">
        <v>40</v>
      </c>
      <c r="AG2044" t="s">
        <v>40</v>
      </c>
      <c r="AH2044" t="s">
        <v>40</v>
      </c>
      <c r="AK2044" t="s">
        <v>40</v>
      </c>
    </row>
    <row r="2045" spans="1:39" x14ac:dyDescent="0.3">
      <c r="A2045">
        <v>2020</v>
      </c>
      <c r="B2045">
        <v>6</v>
      </c>
      <c r="C2045" t="str">
        <f t="shared" si="62"/>
        <v>6/01/2020</v>
      </c>
      <c r="D2045" s="1" t="str">
        <f t="shared" si="63"/>
        <v>6/01/2020</v>
      </c>
      <c r="E2045" t="s">
        <v>37</v>
      </c>
      <c r="F2045" t="s">
        <v>38</v>
      </c>
      <c r="G2045" t="s">
        <v>43</v>
      </c>
      <c r="H2045">
        <v>431</v>
      </c>
      <c r="I2045">
        <v>320</v>
      </c>
      <c r="K2045">
        <v>104</v>
      </c>
      <c r="L2045">
        <v>10</v>
      </c>
      <c r="M2045">
        <v>0</v>
      </c>
      <c r="R2045">
        <v>17</v>
      </c>
      <c r="S2045">
        <v>25</v>
      </c>
      <c r="T2045">
        <v>11</v>
      </c>
      <c r="U2045">
        <v>56</v>
      </c>
      <c r="V2045">
        <v>50</v>
      </c>
      <c r="W2045" s="1">
        <v>44160</v>
      </c>
      <c r="X2045" t="s">
        <v>56</v>
      </c>
      <c r="AA2045" t="s">
        <v>40</v>
      </c>
      <c r="AE2045" t="s">
        <v>40</v>
      </c>
      <c r="AF2045" t="s">
        <v>40</v>
      </c>
      <c r="AG2045" t="s">
        <v>40</v>
      </c>
      <c r="AH2045" t="s">
        <v>40</v>
      </c>
    </row>
    <row r="2046" spans="1:39" x14ac:dyDescent="0.3">
      <c r="A2046">
        <v>2020</v>
      </c>
      <c r="B2046">
        <v>6</v>
      </c>
      <c r="C2046" t="str">
        <f t="shared" si="62"/>
        <v>6/01/2020</v>
      </c>
      <c r="D2046" s="1" t="str">
        <f t="shared" si="63"/>
        <v>6/01/2020</v>
      </c>
      <c r="E2046" t="s">
        <v>37</v>
      </c>
      <c r="F2046" t="s">
        <v>38</v>
      </c>
      <c r="G2046" t="s">
        <v>44</v>
      </c>
      <c r="H2046">
        <v>676</v>
      </c>
      <c r="I2046">
        <v>608</v>
      </c>
      <c r="J2046">
        <v>13</v>
      </c>
      <c r="K2046">
        <v>191</v>
      </c>
      <c r="L2046">
        <v>28</v>
      </c>
      <c r="M2046">
        <v>0</v>
      </c>
      <c r="Q2046">
        <v>10</v>
      </c>
      <c r="R2046">
        <v>11</v>
      </c>
      <c r="S2046">
        <v>60</v>
      </c>
      <c r="T2046">
        <v>23</v>
      </c>
      <c r="U2046">
        <v>128</v>
      </c>
      <c r="V2046">
        <v>119</v>
      </c>
      <c r="W2046" s="1">
        <v>44160</v>
      </c>
      <c r="X2046" t="s">
        <v>56</v>
      </c>
      <c r="AE2046" t="s">
        <v>40</v>
      </c>
      <c r="AF2046" t="s">
        <v>40</v>
      </c>
      <c r="AG2046" t="s">
        <v>40</v>
      </c>
    </row>
    <row r="2047" spans="1:39" x14ac:dyDescent="0.3">
      <c r="A2047">
        <v>2020</v>
      </c>
      <c r="B2047">
        <v>6</v>
      </c>
      <c r="C2047" t="str">
        <f t="shared" si="62"/>
        <v>6/01/2020</v>
      </c>
      <c r="D2047" s="1" t="str">
        <f t="shared" si="63"/>
        <v>6/01/2020</v>
      </c>
      <c r="E2047" t="s">
        <v>37</v>
      </c>
      <c r="F2047" t="s">
        <v>38</v>
      </c>
      <c r="G2047" t="s">
        <v>45</v>
      </c>
      <c r="H2047">
        <v>46</v>
      </c>
      <c r="I2047">
        <v>25</v>
      </c>
      <c r="J2047">
        <v>0</v>
      </c>
      <c r="L2047">
        <v>0</v>
      </c>
      <c r="M2047">
        <v>0</v>
      </c>
      <c r="N2047">
        <v>0</v>
      </c>
      <c r="O2047">
        <v>0</v>
      </c>
      <c r="Q2047">
        <v>0</v>
      </c>
      <c r="W2047" s="1">
        <v>44160</v>
      </c>
      <c r="X2047" t="s">
        <v>56</v>
      </c>
      <c r="AB2047" t="s">
        <v>40</v>
      </c>
      <c r="AG2047" t="s">
        <v>40</v>
      </c>
      <c r="AI2047" t="s">
        <v>40</v>
      </c>
      <c r="AJ2047" t="s">
        <v>40</v>
      </c>
      <c r="AK2047" t="s">
        <v>40</v>
      </c>
      <c r="AL2047" t="s">
        <v>40</v>
      </c>
      <c r="AM2047" t="s">
        <v>40</v>
      </c>
    </row>
    <row r="2048" spans="1:39" x14ac:dyDescent="0.3">
      <c r="A2048">
        <v>2020</v>
      </c>
      <c r="B2048">
        <v>6</v>
      </c>
      <c r="C2048" t="str">
        <f t="shared" si="62"/>
        <v>6/01/2020</v>
      </c>
      <c r="D2048" s="1" t="str">
        <f t="shared" si="63"/>
        <v>6/01/2020</v>
      </c>
      <c r="E2048" t="s">
        <v>37</v>
      </c>
      <c r="F2048" t="s">
        <v>38</v>
      </c>
      <c r="G2048" t="s">
        <v>46</v>
      </c>
      <c r="H2048" s="2">
        <v>1257</v>
      </c>
      <c r="I2048" s="2">
        <v>1193</v>
      </c>
      <c r="J2048">
        <v>14</v>
      </c>
      <c r="K2048">
        <v>355</v>
      </c>
      <c r="L2048">
        <v>70</v>
      </c>
      <c r="N2048">
        <v>19</v>
      </c>
      <c r="O2048">
        <v>22</v>
      </c>
      <c r="P2048">
        <v>15</v>
      </c>
      <c r="Q2048">
        <v>19</v>
      </c>
      <c r="R2048">
        <v>16</v>
      </c>
      <c r="S2048">
        <v>169</v>
      </c>
      <c r="T2048">
        <v>47</v>
      </c>
      <c r="U2048">
        <v>260</v>
      </c>
      <c r="V2048">
        <v>242</v>
      </c>
      <c r="W2048" s="1">
        <v>44160</v>
      </c>
      <c r="X2048" t="s">
        <v>56</v>
      </c>
      <c r="AD2048" t="s">
        <v>40</v>
      </c>
    </row>
    <row r="2049" spans="1:39" x14ac:dyDescent="0.3">
      <c r="A2049">
        <v>2020</v>
      </c>
      <c r="B2049">
        <v>6</v>
      </c>
      <c r="C2049" t="str">
        <f t="shared" si="62"/>
        <v>6/01/2020</v>
      </c>
      <c r="D2049" s="1" t="str">
        <f t="shared" si="63"/>
        <v>6/01/2020</v>
      </c>
      <c r="E2049" t="s">
        <v>37</v>
      </c>
      <c r="F2049" t="s">
        <v>38</v>
      </c>
      <c r="G2049" t="s">
        <v>47</v>
      </c>
      <c r="H2049" s="2">
        <v>1670</v>
      </c>
      <c r="I2049" s="2">
        <v>1630</v>
      </c>
      <c r="J2049">
        <v>31</v>
      </c>
      <c r="K2049">
        <v>421</v>
      </c>
      <c r="L2049">
        <v>98</v>
      </c>
      <c r="M2049">
        <v>28</v>
      </c>
      <c r="N2049">
        <v>34</v>
      </c>
      <c r="O2049">
        <v>41</v>
      </c>
      <c r="P2049">
        <v>33</v>
      </c>
      <c r="Q2049">
        <v>44</v>
      </c>
      <c r="R2049">
        <v>12</v>
      </c>
      <c r="S2049">
        <v>218</v>
      </c>
      <c r="T2049">
        <v>84</v>
      </c>
      <c r="U2049">
        <v>340</v>
      </c>
      <c r="V2049">
        <v>321</v>
      </c>
      <c r="W2049" s="1">
        <v>44160</v>
      </c>
      <c r="X2049" t="s">
        <v>56</v>
      </c>
    </row>
    <row r="2050" spans="1:39" x14ac:dyDescent="0.3">
      <c r="A2050">
        <v>2020</v>
      </c>
      <c r="B2050">
        <v>6</v>
      </c>
      <c r="C2050" t="str">
        <f t="shared" si="62"/>
        <v>6/01/2020</v>
      </c>
      <c r="D2050" s="1" t="str">
        <f t="shared" si="63"/>
        <v>6/01/2020</v>
      </c>
      <c r="E2050" t="s">
        <v>37</v>
      </c>
      <c r="F2050" t="s">
        <v>38</v>
      </c>
      <c r="G2050" t="s">
        <v>48</v>
      </c>
      <c r="H2050" s="2">
        <v>2073</v>
      </c>
      <c r="I2050" s="2">
        <v>2035</v>
      </c>
      <c r="J2050">
        <v>24</v>
      </c>
      <c r="K2050">
        <v>351</v>
      </c>
      <c r="L2050">
        <v>98</v>
      </c>
      <c r="M2050">
        <v>129</v>
      </c>
      <c r="N2050">
        <v>40</v>
      </c>
      <c r="O2050">
        <v>54</v>
      </c>
      <c r="P2050">
        <v>39</v>
      </c>
      <c r="Q2050">
        <v>51</v>
      </c>
      <c r="S2050">
        <v>384</v>
      </c>
      <c r="T2050">
        <v>134</v>
      </c>
      <c r="U2050">
        <v>323</v>
      </c>
      <c r="V2050">
        <v>300</v>
      </c>
      <c r="W2050" s="1">
        <v>44160</v>
      </c>
      <c r="X2050" t="s">
        <v>56</v>
      </c>
      <c r="AI2050" t="s">
        <v>40</v>
      </c>
    </row>
    <row r="2051" spans="1:39" x14ac:dyDescent="0.3">
      <c r="A2051">
        <v>2020</v>
      </c>
      <c r="B2051">
        <v>6</v>
      </c>
      <c r="C2051" t="str">
        <f t="shared" ref="C2051:C2114" si="64">CONCATENATE(B2051,"/01/",A2051)</f>
        <v>6/01/2020</v>
      </c>
      <c r="D2051" s="1" t="str">
        <f t="shared" ref="D2051:D2114" si="65">C2051</f>
        <v>6/01/2020</v>
      </c>
      <c r="E2051" t="s">
        <v>37</v>
      </c>
      <c r="F2051" t="s">
        <v>38</v>
      </c>
      <c r="G2051" t="s">
        <v>49</v>
      </c>
      <c r="H2051" s="2">
        <v>2883</v>
      </c>
      <c r="I2051" s="2">
        <v>2825</v>
      </c>
      <c r="J2051">
        <v>35</v>
      </c>
      <c r="K2051">
        <v>261</v>
      </c>
      <c r="L2051">
        <v>84</v>
      </c>
      <c r="M2051">
        <v>337</v>
      </c>
      <c r="N2051">
        <v>36</v>
      </c>
      <c r="O2051">
        <v>93</v>
      </c>
      <c r="P2051">
        <v>36</v>
      </c>
      <c r="Q2051">
        <v>53</v>
      </c>
      <c r="R2051">
        <v>21</v>
      </c>
      <c r="S2051">
        <v>674</v>
      </c>
      <c r="T2051">
        <v>246</v>
      </c>
      <c r="U2051">
        <v>370</v>
      </c>
      <c r="V2051">
        <v>321</v>
      </c>
      <c r="W2051" s="1">
        <v>44160</v>
      </c>
      <c r="X2051" t="s">
        <v>56</v>
      </c>
    </row>
    <row r="2052" spans="1:39" x14ac:dyDescent="0.3">
      <c r="A2052">
        <v>2020</v>
      </c>
      <c r="B2052">
        <v>6</v>
      </c>
      <c r="C2052" t="str">
        <f t="shared" si="64"/>
        <v>6/01/2020</v>
      </c>
      <c r="D2052" s="1" t="str">
        <f t="shared" si="65"/>
        <v>6/01/2020</v>
      </c>
      <c r="E2052" t="s">
        <v>37</v>
      </c>
      <c r="F2052" t="s">
        <v>50</v>
      </c>
      <c r="G2052" t="s">
        <v>39</v>
      </c>
      <c r="H2052">
        <v>10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S2052">
        <v>0</v>
      </c>
      <c r="T2052">
        <v>0</v>
      </c>
      <c r="U2052">
        <v>0</v>
      </c>
      <c r="V2052">
        <v>0</v>
      </c>
      <c r="W2052" s="1">
        <v>44160</v>
      </c>
      <c r="X2052" t="s">
        <v>56</v>
      </c>
      <c r="Z2052" t="s">
        <v>40</v>
      </c>
      <c r="AI2052" t="s">
        <v>40</v>
      </c>
    </row>
    <row r="2053" spans="1:39" x14ac:dyDescent="0.3">
      <c r="A2053">
        <v>2020</v>
      </c>
      <c r="B2053">
        <v>6</v>
      </c>
      <c r="C2053" t="str">
        <f t="shared" si="64"/>
        <v>6/01/2020</v>
      </c>
      <c r="D2053" s="1" t="str">
        <f t="shared" si="65"/>
        <v>6/01/2020</v>
      </c>
      <c r="E2053" t="s">
        <v>37</v>
      </c>
      <c r="F2053" t="s">
        <v>50</v>
      </c>
      <c r="G2053" t="s">
        <v>41</v>
      </c>
      <c r="H2053">
        <v>18</v>
      </c>
      <c r="J2053">
        <v>0</v>
      </c>
      <c r="K2053">
        <v>0</v>
      </c>
      <c r="L2053">
        <v>0</v>
      </c>
      <c r="M2053">
        <v>0</v>
      </c>
      <c r="P2053">
        <v>0</v>
      </c>
      <c r="Q2053">
        <v>0</v>
      </c>
      <c r="S2053">
        <v>0</v>
      </c>
      <c r="T2053">
        <v>0</v>
      </c>
      <c r="W2053" s="1">
        <v>44160</v>
      </c>
      <c r="X2053" t="s">
        <v>56</v>
      </c>
      <c r="Z2053" t="s">
        <v>40</v>
      </c>
      <c r="AE2053" t="s">
        <v>40</v>
      </c>
      <c r="AF2053" t="s">
        <v>40</v>
      </c>
      <c r="AI2053" t="s">
        <v>40</v>
      </c>
      <c r="AL2053" t="s">
        <v>40</v>
      </c>
      <c r="AM2053" t="s">
        <v>40</v>
      </c>
    </row>
    <row r="2054" spans="1:39" x14ac:dyDescent="0.3">
      <c r="A2054">
        <v>2020</v>
      </c>
      <c r="B2054">
        <v>6</v>
      </c>
      <c r="C2054" t="str">
        <f t="shared" si="64"/>
        <v>6/01/2020</v>
      </c>
      <c r="D2054" s="1" t="str">
        <f t="shared" si="65"/>
        <v>6/01/2020</v>
      </c>
      <c r="E2054" t="s">
        <v>37</v>
      </c>
      <c r="F2054" t="s">
        <v>50</v>
      </c>
      <c r="G2054" t="s">
        <v>42</v>
      </c>
      <c r="H2054">
        <v>61</v>
      </c>
      <c r="I2054">
        <v>41</v>
      </c>
      <c r="L2054">
        <v>0</v>
      </c>
      <c r="M2054">
        <v>0</v>
      </c>
      <c r="N2054">
        <v>0</v>
      </c>
      <c r="P2054">
        <v>0</v>
      </c>
      <c r="Q2054">
        <v>0</v>
      </c>
      <c r="W2054" s="1">
        <v>44160</v>
      </c>
      <c r="X2054" t="s">
        <v>56</v>
      </c>
      <c r="AA2054" t="s">
        <v>40</v>
      </c>
      <c r="AB2054" t="s">
        <v>40</v>
      </c>
      <c r="AF2054" t="s">
        <v>40</v>
      </c>
      <c r="AI2054" t="s">
        <v>40</v>
      </c>
      <c r="AJ2054" t="s">
        <v>40</v>
      </c>
      <c r="AK2054" t="s">
        <v>40</v>
      </c>
      <c r="AL2054" t="s">
        <v>40</v>
      </c>
      <c r="AM2054" t="s">
        <v>40</v>
      </c>
    </row>
    <row r="2055" spans="1:39" x14ac:dyDescent="0.3">
      <c r="A2055">
        <v>2020</v>
      </c>
      <c r="B2055">
        <v>6</v>
      </c>
      <c r="C2055" t="str">
        <f t="shared" si="64"/>
        <v>6/01/2020</v>
      </c>
      <c r="D2055" s="1" t="str">
        <f t="shared" si="65"/>
        <v>6/01/2020</v>
      </c>
      <c r="E2055" t="s">
        <v>37</v>
      </c>
      <c r="F2055" t="s">
        <v>50</v>
      </c>
      <c r="G2055" t="s">
        <v>43</v>
      </c>
      <c r="H2055">
        <v>58</v>
      </c>
      <c r="I2055">
        <v>35</v>
      </c>
      <c r="J2055">
        <v>0</v>
      </c>
      <c r="M2055">
        <v>0</v>
      </c>
      <c r="N2055">
        <v>0</v>
      </c>
      <c r="O2055">
        <v>0</v>
      </c>
      <c r="P2055">
        <v>0</v>
      </c>
      <c r="T2055">
        <v>0</v>
      </c>
      <c r="W2055" s="1">
        <v>44160</v>
      </c>
      <c r="X2055" t="s">
        <v>56</v>
      </c>
      <c r="AB2055" t="s">
        <v>40</v>
      </c>
      <c r="AC2055" t="s">
        <v>40</v>
      </c>
      <c r="AH2055" t="s">
        <v>40</v>
      </c>
      <c r="AI2055" t="s">
        <v>40</v>
      </c>
      <c r="AJ2055" t="s">
        <v>40</v>
      </c>
      <c r="AL2055" t="s">
        <v>40</v>
      </c>
      <c r="AM2055" t="s">
        <v>40</v>
      </c>
    </row>
    <row r="2056" spans="1:39" x14ac:dyDescent="0.3">
      <c r="A2056">
        <v>2020</v>
      </c>
      <c r="B2056">
        <v>6</v>
      </c>
      <c r="C2056" t="str">
        <f t="shared" si="64"/>
        <v>6/01/2020</v>
      </c>
      <c r="D2056" s="1" t="str">
        <f t="shared" si="65"/>
        <v>6/01/2020</v>
      </c>
      <c r="E2056" t="s">
        <v>37</v>
      </c>
      <c r="F2056" t="s">
        <v>50</v>
      </c>
      <c r="G2056" t="s">
        <v>44</v>
      </c>
      <c r="H2056">
        <v>97</v>
      </c>
      <c r="I2056">
        <v>83</v>
      </c>
      <c r="M2056">
        <v>0</v>
      </c>
      <c r="S2056">
        <v>12</v>
      </c>
      <c r="U2056">
        <v>29</v>
      </c>
      <c r="V2056">
        <v>26</v>
      </c>
      <c r="W2056" s="1">
        <v>44160</v>
      </c>
      <c r="X2056" t="s">
        <v>56</v>
      </c>
      <c r="AA2056" t="s">
        <v>40</v>
      </c>
      <c r="AB2056" t="s">
        <v>40</v>
      </c>
      <c r="AC2056" t="s">
        <v>40</v>
      </c>
      <c r="AE2056" t="s">
        <v>40</v>
      </c>
      <c r="AF2056" t="s">
        <v>40</v>
      </c>
      <c r="AG2056" t="s">
        <v>40</v>
      </c>
      <c r="AH2056" t="s">
        <v>40</v>
      </c>
      <c r="AI2056" t="s">
        <v>40</v>
      </c>
      <c r="AK2056" t="s">
        <v>40</v>
      </c>
    </row>
    <row r="2057" spans="1:39" x14ac:dyDescent="0.3">
      <c r="A2057">
        <v>2020</v>
      </c>
      <c r="B2057">
        <v>6</v>
      </c>
      <c r="C2057" t="str">
        <f t="shared" si="64"/>
        <v>6/01/2020</v>
      </c>
      <c r="D2057" s="1" t="str">
        <f t="shared" si="65"/>
        <v>6/01/2020</v>
      </c>
      <c r="E2057" t="s">
        <v>37</v>
      </c>
      <c r="F2057" t="s">
        <v>50</v>
      </c>
      <c r="G2057" t="s">
        <v>45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 s="1">
        <v>44160</v>
      </c>
      <c r="X2057" t="s">
        <v>56</v>
      </c>
      <c r="Y2057" t="s">
        <v>40</v>
      </c>
      <c r="Z2057" t="s">
        <v>40</v>
      </c>
    </row>
    <row r="2058" spans="1:39" x14ac:dyDescent="0.3">
      <c r="A2058">
        <v>2020</v>
      </c>
      <c r="B2058">
        <v>6</v>
      </c>
      <c r="C2058" t="str">
        <f t="shared" si="64"/>
        <v>6/01/2020</v>
      </c>
      <c r="D2058" s="1" t="str">
        <f t="shared" si="65"/>
        <v>6/01/2020</v>
      </c>
      <c r="E2058" t="s">
        <v>37</v>
      </c>
      <c r="F2058" t="s">
        <v>50</v>
      </c>
      <c r="G2058" t="s">
        <v>46</v>
      </c>
      <c r="H2058">
        <v>152</v>
      </c>
      <c r="I2058">
        <v>142</v>
      </c>
      <c r="J2058">
        <v>0</v>
      </c>
      <c r="K2058">
        <v>25</v>
      </c>
      <c r="M2058">
        <v>0</v>
      </c>
      <c r="P2058">
        <v>0</v>
      </c>
      <c r="S2058">
        <v>21</v>
      </c>
      <c r="U2058">
        <v>35</v>
      </c>
      <c r="V2058">
        <v>35</v>
      </c>
      <c r="W2058" s="1">
        <v>44160</v>
      </c>
      <c r="X2058" t="s">
        <v>56</v>
      </c>
      <c r="AC2058" t="s">
        <v>40</v>
      </c>
      <c r="AE2058" t="s">
        <v>40</v>
      </c>
      <c r="AF2058" t="s">
        <v>40</v>
      </c>
      <c r="AH2058" t="s">
        <v>40</v>
      </c>
      <c r="AI2058" t="s">
        <v>40</v>
      </c>
      <c r="AK2058" t="s">
        <v>40</v>
      </c>
    </row>
    <row r="2059" spans="1:39" x14ac:dyDescent="0.3">
      <c r="A2059">
        <v>2020</v>
      </c>
      <c r="B2059">
        <v>6</v>
      </c>
      <c r="C2059" t="str">
        <f t="shared" si="64"/>
        <v>6/01/2020</v>
      </c>
      <c r="D2059" s="1" t="str">
        <f t="shared" si="65"/>
        <v>6/01/2020</v>
      </c>
      <c r="E2059" t="s">
        <v>37</v>
      </c>
      <c r="F2059" t="s">
        <v>50</v>
      </c>
      <c r="G2059" t="s">
        <v>47</v>
      </c>
      <c r="H2059">
        <v>181</v>
      </c>
      <c r="I2059">
        <v>172</v>
      </c>
      <c r="K2059">
        <v>37</v>
      </c>
      <c r="L2059">
        <v>10</v>
      </c>
      <c r="S2059">
        <v>24</v>
      </c>
      <c r="U2059">
        <v>42</v>
      </c>
      <c r="V2059">
        <v>41</v>
      </c>
      <c r="W2059" s="1">
        <v>44160</v>
      </c>
      <c r="X2059" t="s">
        <v>56</v>
      </c>
      <c r="AA2059" t="s">
        <v>40</v>
      </c>
      <c r="AD2059" t="s">
        <v>40</v>
      </c>
      <c r="AE2059" t="s">
        <v>40</v>
      </c>
      <c r="AF2059" t="s">
        <v>40</v>
      </c>
      <c r="AG2059" t="s">
        <v>40</v>
      </c>
      <c r="AH2059" t="s">
        <v>40</v>
      </c>
      <c r="AI2059" t="s">
        <v>40</v>
      </c>
      <c r="AK2059" t="s">
        <v>40</v>
      </c>
    </row>
    <row r="2060" spans="1:39" x14ac:dyDescent="0.3">
      <c r="A2060">
        <v>2020</v>
      </c>
      <c r="B2060">
        <v>6</v>
      </c>
      <c r="C2060" t="str">
        <f t="shared" si="64"/>
        <v>6/01/2020</v>
      </c>
      <c r="D2060" s="1" t="str">
        <f t="shared" si="65"/>
        <v>6/01/2020</v>
      </c>
      <c r="E2060" t="s">
        <v>37</v>
      </c>
      <c r="F2060" t="s">
        <v>50</v>
      </c>
      <c r="G2060" t="s">
        <v>48</v>
      </c>
      <c r="H2060">
        <v>192</v>
      </c>
      <c r="I2060">
        <v>187</v>
      </c>
      <c r="K2060">
        <v>23</v>
      </c>
      <c r="L2060">
        <v>13</v>
      </c>
      <c r="M2060">
        <v>10</v>
      </c>
      <c r="O2060">
        <v>10</v>
      </c>
      <c r="S2060">
        <v>37</v>
      </c>
      <c r="U2060">
        <v>35</v>
      </c>
      <c r="V2060">
        <v>33</v>
      </c>
      <c r="W2060" s="1">
        <v>44160</v>
      </c>
      <c r="X2060" t="s">
        <v>56</v>
      </c>
      <c r="AA2060" t="s">
        <v>40</v>
      </c>
      <c r="AE2060" t="s">
        <v>40</v>
      </c>
      <c r="AG2060" t="s">
        <v>40</v>
      </c>
      <c r="AH2060" t="s">
        <v>40</v>
      </c>
      <c r="AI2060" t="s">
        <v>40</v>
      </c>
      <c r="AK2060" t="s">
        <v>40</v>
      </c>
    </row>
    <row r="2061" spans="1:39" x14ac:dyDescent="0.3">
      <c r="A2061">
        <v>2020</v>
      </c>
      <c r="B2061">
        <v>6</v>
      </c>
      <c r="C2061" t="str">
        <f t="shared" si="64"/>
        <v>6/01/2020</v>
      </c>
      <c r="D2061" s="1" t="str">
        <f t="shared" si="65"/>
        <v>6/01/2020</v>
      </c>
      <c r="E2061" t="s">
        <v>37</v>
      </c>
      <c r="F2061" t="s">
        <v>50</v>
      </c>
      <c r="G2061" t="s">
        <v>49</v>
      </c>
      <c r="H2061">
        <v>128</v>
      </c>
      <c r="I2061">
        <v>124</v>
      </c>
      <c r="K2061">
        <v>13</v>
      </c>
      <c r="S2061">
        <v>20</v>
      </c>
      <c r="T2061">
        <v>11</v>
      </c>
      <c r="U2061">
        <v>14</v>
      </c>
      <c r="V2061">
        <v>13</v>
      </c>
      <c r="W2061" s="1">
        <v>44160</v>
      </c>
      <c r="X2061" t="s">
        <v>56</v>
      </c>
      <c r="AA2061" t="s">
        <v>40</v>
      </c>
      <c r="AC2061" t="s">
        <v>40</v>
      </c>
      <c r="AD2061" t="s">
        <v>40</v>
      </c>
      <c r="AE2061" t="s">
        <v>40</v>
      </c>
      <c r="AF2061" t="s">
        <v>40</v>
      </c>
      <c r="AG2061" t="s">
        <v>40</v>
      </c>
      <c r="AH2061" t="s">
        <v>40</v>
      </c>
      <c r="AI2061" t="s">
        <v>40</v>
      </c>
    </row>
    <row r="2062" spans="1:39" x14ac:dyDescent="0.3">
      <c r="A2062">
        <v>2020</v>
      </c>
      <c r="B2062">
        <v>6</v>
      </c>
      <c r="C2062" t="str">
        <f t="shared" si="64"/>
        <v>6/01/2020</v>
      </c>
      <c r="D2062" s="1" t="str">
        <f t="shared" si="65"/>
        <v>6/01/2020</v>
      </c>
      <c r="E2062" t="s">
        <v>37</v>
      </c>
      <c r="F2062" t="s">
        <v>51</v>
      </c>
      <c r="G2062" t="s">
        <v>39</v>
      </c>
      <c r="H2062">
        <v>30</v>
      </c>
      <c r="I2062">
        <v>26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 s="1">
        <v>44160</v>
      </c>
      <c r="X2062" t="s">
        <v>56</v>
      </c>
    </row>
    <row r="2063" spans="1:39" x14ac:dyDescent="0.3">
      <c r="A2063">
        <v>2020</v>
      </c>
      <c r="B2063">
        <v>6</v>
      </c>
      <c r="C2063" t="str">
        <f t="shared" si="64"/>
        <v>6/01/2020</v>
      </c>
      <c r="D2063" s="1" t="str">
        <f t="shared" si="65"/>
        <v>6/01/2020</v>
      </c>
      <c r="E2063" t="s">
        <v>37</v>
      </c>
      <c r="F2063" t="s">
        <v>51</v>
      </c>
      <c r="G2063" t="s">
        <v>41</v>
      </c>
      <c r="H2063">
        <v>20</v>
      </c>
      <c r="I2063">
        <v>12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S2063">
        <v>0</v>
      </c>
      <c r="T2063">
        <v>0</v>
      </c>
      <c r="U2063">
        <v>0</v>
      </c>
      <c r="V2063">
        <v>0</v>
      </c>
      <c r="W2063" s="1">
        <v>44160</v>
      </c>
      <c r="X2063" t="s">
        <v>56</v>
      </c>
      <c r="AA2063" t="s">
        <v>40</v>
      </c>
      <c r="AB2063" t="s">
        <v>40</v>
      </c>
      <c r="AI2063" t="s">
        <v>40</v>
      </c>
    </row>
    <row r="2064" spans="1:39" x14ac:dyDescent="0.3">
      <c r="A2064">
        <v>2020</v>
      </c>
      <c r="B2064">
        <v>6</v>
      </c>
      <c r="C2064" t="str">
        <f t="shared" si="64"/>
        <v>6/01/2020</v>
      </c>
      <c r="D2064" s="1" t="str">
        <f t="shared" si="65"/>
        <v>6/01/2020</v>
      </c>
      <c r="E2064" t="s">
        <v>37</v>
      </c>
      <c r="F2064" t="s">
        <v>51</v>
      </c>
      <c r="G2064" t="s">
        <v>42</v>
      </c>
      <c r="H2064">
        <v>42</v>
      </c>
      <c r="I2064">
        <v>30</v>
      </c>
      <c r="J2064">
        <v>0</v>
      </c>
      <c r="K2064">
        <v>10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W2064" s="1">
        <v>44160</v>
      </c>
      <c r="X2064" t="s">
        <v>56</v>
      </c>
      <c r="AI2064" t="s">
        <v>40</v>
      </c>
      <c r="AJ2064" t="s">
        <v>40</v>
      </c>
      <c r="AK2064" t="s">
        <v>40</v>
      </c>
      <c r="AL2064" t="s">
        <v>40</v>
      </c>
      <c r="AM2064" t="s">
        <v>40</v>
      </c>
    </row>
    <row r="2065" spans="1:39" x14ac:dyDescent="0.3">
      <c r="A2065">
        <v>2020</v>
      </c>
      <c r="B2065">
        <v>6</v>
      </c>
      <c r="C2065" t="str">
        <f t="shared" si="64"/>
        <v>6/01/2020</v>
      </c>
      <c r="D2065" s="1" t="str">
        <f t="shared" si="65"/>
        <v>6/01/2020</v>
      </c>
      <c r="E2065" t="s">
        <v>37</v>
      </c>
      <c r="F2065" t="s">
        <v>51</v>
      </c>
      <c r="G2065" t="s">
        <v>43</v>
      </c>
      <c r="H2065">
        <v>78</v>
      </c>
      <c r="I2065">
        <v>64</v>
      </c>
      <c r="K2065">
        <v>32</v>
      </c>
      <c r="M2065">
        <v>0</v>
      </c>
      <c r="P2065">
        <v>0</v>
      </c>
      <c r="W2065" s="1">
        <v>44160</v>
      </c>
      <c r="X2065" t="s">
        <v>56</v>
      </c>
      <c r="AA2065" t="s">
        <v>40</v>
      </c>
      <c r="AC2065" t="s">
        <v>40</v>
      </c>
      <c r="AE2065" t="s">
        <v>40</v>
      </c>
      <c r="AF2065" t="s">
        <v>40</v>
      </c>
      <c r="AH2065" t="s">
        <v>40</v>
      </c>
      <c r="AI2065" t="s">
        <v>40</v>
      </c>
      <c r="AJ2065" t="s">
        <v>40</v>
      </c>
      <c r="AK2065" t="s">
        <v>40</v>
      </c>
      <c r="AL2065" t="s">
        <v>40</v>
      </c>
      <c r="AM2065" t="s">
        <v>40</v>
      </c>
    </row>
    <row r="2066" spans="1:39" x14ac:dyDescent="0.3">
      <c r="A2066">
        <v>2020</v>
      </c>
      <c r="B2066">
        <v>6</v>
      </c>
      <c r="C2066" t="str">
        <f t="shared" si="64"/>
        <v>6/01/2020</v>
      </c>
      <c r="D2066" s="1" t="str">
        <f t="shared" si="65"/>
        <v>6/01/2020</v>
      </c>
      <c r="E2066" t="s">
        <v>37</v>
      </c>
      <c r="F2066" t="s">
        <v>51</v>
      </c>
      <c r="G2066" t="s">
        <v>44</v>
      </c>
      <c r="H2066">
        <v>164</v>
      </c>
      <c r="I2066">
        <v>147</v>
      </c>
      <c r="K2066">
        <v>82</v>
      </c>
      <c r="M2066">
        <v>0</v>
      </c>
      <c r="N2066">
        <v>0</v>
      </c>
      <c r="S2066">
        <v>13</v>
      </c>
      <c r="T2066">
        <v>13</v>
      </c>
      <c r="U2066">
        <v>14</v>
      </c>
      <c r="V2066">
        <v>13</v>
      </c>
      <c r="W2066" s="1">
        <v>44160</v>
      </c>
      <c r="X2066" t="s">
        <v>56</v>
      </c>
      <c r="AA2066" t="s">
        <v>40</v>
      </c>
      <c r="AC2066" t="s">
        <v>40</v>
      </c>
      <c r="AF2066" t="s">
        <v>40</v>
      </c>
      <c r="AG2066" t="s">
        <v>40</v>
      </c>
      <c r="AH2066" t="s">
        <v>40</v>
      </c>
      <c r="AI2066" t="s">
        <v>40</v>
      </c>
    </row>
    <row r="2067" spans="1:39" x14ac:dyDescent="0.3">
      <c r="A2067">
        <v>2020</v>
      </c>
      <c r="B2067">
        <v>6</v>
      </c>
      <c r="C2067" t="str">
        <f t="shared" si="64"/>
        <v>6/01/2020</v>
      </c>
      <c r="D2067" s="1" t="str">
        <f t="shared" si="65"/>
        <v>6/01/2020</v>
      </c>
      <c r="E2067" t="s">
        <v>37</v>
      </c>
      <c r="F2067" t="s">
        <v>51</v>
      </c>
      <c r="G2067" t="s">
        <v>45</v>
      </c>
      <c r="J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 s="1">
        <v>44160</v>
      </c>
      <c r="X2067" t="s">
        <v>56</v>
      </c>
      <c r="Y2067" t="s">
        <v>40</v>
      </c>
      <c r="Z2067" t="s">
        <v>40</v>
      </c>
      <c r="AB2067" t="s">
        <v>40</v>
      </c>
    </row>
    <row r="2068" spans="1:39" x14ac:dyDescent="0.3">
      <c r="A2068">
        <v>2020</v>
      </c>
      <c r="B2068">
        <v>6</v>
      </c>
      <c r="C2068" t="str">
        <f t="shared" si="64"/>
        <v>6/01/2020</v>
      </c>
      <c r="D2068" s="1" t="str">
        <f t="shared" si="65"/>
        <v>6/01/2020</v>
      </c>
      <c r="E2068" t="s">
        <v>37</v>
      </c>
      <c r="F2068" t="s">
        <v>51</v>
      </c>
      <c r="G2068" t="s">
        <v>46</v>
      </c>
      <c r="H2068">
        <v>280</v>
      </c>
      <c r="I2068">
        <v>268</v>
      </c>
      <c r="J2068">
        <v>0</v>
      </c>
      <c r="K2068">
        <v>128</v>
      </c>
      <c r="L2068">
        <v>10</v>
      </c>
      <c r="M2068">
        <v>0</v>
      </c>
      <c r="Q2068">
        <v>0</v>
      </c>
      <c r="S2068">
        <v>34</v>
      </c>
      <c r="T2068">
        <v>15</v>
      </c>
      <c r="U2068">
        <v>28</v>
      </c>
      <c r="V2068">
        <v>27</v>
      </c>
      <c r="W2068" s="1">
        <v>44160</v>
      </c>
      <c r="X2068" t="s">
        <v>56</v>
      </c>
      <c r="AE2068" t="s">
        <v>40</v>
      </c>
      <c r="AF2068" t="s">
        <v>40</v>
      </c>
      <c r="AG2068" t="s">
        <v>40</v>
      </c>
      <c r="AI2068" t="s">
        <v>40</v>
      </c>
    </row>
    <row r="2069" spans="1:39" x14ac:dyDescent="0.3">
      <c r="A2069">
        <v>2020</v>
      </c>
      <c r="B2069">
        <v>6</v>
      </c>
      <c r="C2069" t="str">
        <f t="shared" si="64"/>
        <v>6/01/2020</v>
      </c>
      <c r="D2069" s="1" t="str">
        <f t="shared" si="65"/>
        <v>6/01/2020</v>
      </c>
      <c r="E2069" t="s">
        <v>37</v>
      </c>
      <c r="F2069" t="s">
        <v>51</v>
      </c>
      <c r="G2069" t="s">
        <v>47</v>
      </c>
      <c r="H2069">
        <v>498</v>
      </c>
      <c r="I2069">
        <v>482</v>
      </c>
      <c r="K2069">
        <v>175</v>
      </c>
      <c r="L2069">
        <v>23</v>
      </c>
      <c r="M2069">
        <v>10</v>
      </c>
      <c r="Q2069">
        <v>11</v>
      </c>
      <c r="S2069">
        <v>69</v>
      </c>
      <c r="T2069">
        <v>36</v>
      </c>
      <c r="U2069">
        <v>58</v>
      </c>
      <c r="V2069">
        <v>52</v>
      </c>
      <c r="W2069" s="1">
        <v>44160</v>
      </c>
      <c r="X2069" t="s">
        <v>56</v>
      </c>
      <c r="AA2069" t="s">
        <v>40</v>
      </c>
      <c r="AE2069" t="s">
        <v>40</v>
      </c>
      <c r="AF2069" t="s">
        <v>40</v>
      </c>
      <c r="AG2069" t="s">
        <v>40</v>
      </c>
      <c r="AI2069" t="s">
        <v>40</v>
      </c>
    </row>
    <row r="2070" spans="1:39" x14ac:dyDescent="0.3">
      <c r="A2070">
        <v>2020</v>
      </c>
      <c r="B2070">
        <v>6</v>
      </c>
      <c r="C2070" t="str">
        <f t="shared" si="64"/>
        <v>6/01/2020</v>
      </c>
      <c r="D2070" s="1" t="str">
        <f t="shared" si="65"/>
        <v>6/01/2020</v>
      </c>
      <c r="E2070" t="s">
        <v>37</v>
      </c>
      <c r="F2070" t="s">
        <v>51</v>
      </c>
      <c r="G2070" t="s">
        <v>48</v>
      </c>
      <c r="H2070">
        <v>774</v>
      </c>
      <c r="I2070">
        <v>756</v>
      </c>
      <c r="J2070">
        <v>10</v>
      </c>
      <c r="K2070">
        <v>184</v>
      </c>
      <c r="L2070">
        <v>35</v>
      </c>
      <c r="M2070">
        <v>33</v>
      </c>
      <c r="N2070">
        <v>11</v>
      </c>
      <c r="O2070">
        <v>18</v>
      </c>
      <c r="P2070">
        <v>12</v>
      </c>
      <c r="Q2070">
        <v>18</v>
      </c>
      <c r="S2070">
        <v>146</v>
      </c>
      <c r="T2070">
        <v>80</v>
      </c>
      <c r="U2070">
        <v>78</v>
      </c>
      <c r="V2070">
        <v>69</v>
      </c>
      <c r="W2070" s="1">
        <v>44160</v>
      </c>
      <c r="X2070" t="s">
        <v>56</v>
      </c>
      <c r="AI2070" t="s">
        <v>40</v>
      </c>
    </row>
    <row r="2071" spans="1:39" x14ac:dyDescent="0.3">
      <c r="A2071">
        <v>2020</v>
      </c>
      <c r="B2071">
        <v>6</v>
      </c>
      <c r="C2071" t="str">
        <f t="shared" si="64"/>
        <v>6/01/2020</v>
      </c>
      <c r="D2071" s="1" t="str">
        <f t="shared" si="65"/>
        <v>6/01/2020</v>
      </c>
      <c r="E2071" t="s">
        <v>37</v>
      </c>
      <c r="F2071" t="s">
        <v>51</v>
      </c>
      <c r="G2071" t="s">
        <v>49</v>
      </c>
      <c r="H2071" s="2">
        <v>1301</v>
      </c>
      <c r="I2071" s="2">
        <v>1284</v>
      </c>
      <c r="K2071">
        <v>145</v>
      </c>
      <c r="L2071">
        <v>50</v>
      </c>
      <c r="M2071">
        <v>137</v>
      </c>
      <c r="N2071">
        <v>23</v>
      </c>
      <c r="O2071">
        <v>26</v>
      </c>
      <c r="P2071">
        <v>11</v>
      </c>
      <c r="Q2071">
        <v>28</v>
      </c>
      <c r="R2071">
        <v>17</v>
      </c>
      <c r="S2071">
        <v>298</v>
      </c>
      <c r="T2071">
        <v>115</v>
      </c>
      <c r="U2071">
        <v>132</v>
      </c>
      <c r="V2071">
        <v>121</v>
      </c>
      <c r="W2071" s="1">
        <v>44160</v>
      </c>
      <c r="X2071" t="s">
        <v>56</v>
      </c>
      <c r="AA2071" t="s">
        <v>40</v>
      </c>
    </row>
    <row r="2072" spans="1:39" x14ac:dyDescent="0.3">
      <c r="A2072">
        <v>2020</v>
      </c>
      <c r="B2072">
        <v>6</v>
      </c>
      <c r="C2072" t="str">
        <f t="shared" si="64"/>
        <v>6/01/2020</v>
      </c>
      <c r="D2072" s="1" t="str">
        <f t="shared" si="65"/>
        <v>6/01/2020</v>
      </c>
      <c r="E2072" t="s">
        <v>37</v>
      </c>
      <c r="F2072" t="s">
        <v>52</v>
      </c>
      <c r="G2072" t="s">
        <v>39</v>
      </c>
      <c r="H2072">
        <v>252</v>
      </c>
      <c r="I2072">
        <v>214</v>
      </c>
      <c r="L2072">
        <v>0</v>
      </c>
      <c r="M2072">
        <v>0</v>
      </c>
      <c r="N2072">
        <v>0</v>
      </c>
      <c r="O2072">
        <v>0</v>
      </c>
      <c r="R2072">
        <v>46</v>
      </c>
      <c r="U2072">
        <v>0</v>
      </c>
      <c r="V2072">
        <v>0</v>
      </c>
      <c r="W2072" s="1">
        <v>44160</v>
      </c>
      <c r="X2072" t="s">
        <v>56</v>
      </c>
      <c r="AA2072" t="s">
        <v>40</v>
      </c>
      <c r="AB2072" t="s">
        <v>40</v>
      </c>
      <c r="AG2072" t="s">
        <v>40</v>
      </c>
      <c r="AH2072" t="s">
        <v>40</v>
      </c>
      <c r="AJ2072" t="s">
        <v>40</v>
      </c>
      <c r="AK2072" t="s">
        <v>40</v>
      </c>
    </row>
    <row r="2073" spans="1:39" x14ac:dyDescent="0.3">
      <c r="A2073">
        <v>2020</v>
      </c>
      <c r="B2073">
        <v>6</v>
      </c>
      <c r="C2073" t="str">
        <f t="shared" si="64"/>
        <v>6/01/2020</v>
      </c>
      <c r="D2073" s="1" t="str">
        <f t="shared" si="65"/>
        <v>6/01/2020</v>
      </c>
      <c r="E2073" t="s">
        <v>37</v>
      </c>
      <c r="F2073" t="s">
        <v>52</v>
      </c>
      <c r="G2073" t="s">
        <v>41</v>
      </c>
      <c r="H2073">
        <v>234</v>
      </c>
      <c r="I2073">
        <v>78</v>
      </c>
      <c r="J2073">
        <v>0</v>
      </c>
      <c r="M2073">
        <v>0</v>
      </c>
      <c r="R2073">
        <v>10</v>
      </c>
      <c r="W2073" s="1">
        <v>44160</v>
      </c>
      <c r="X2073" t="s">
        <v>56</v>
      </c>
      <c r="AB2073" t="s">
        <v>40</v>
      </c>
      <c r="AC2073" t="s">
        <v>40</v>
      </c>
      <c r="AE2073" t="s">
        <v>40</v>
      </c>
      <c r="AF2073" t="s">
        <v>40</v>
      </c>
      <c r="AG2073" t="s">
        <v>40</v>
      </c>
      <c r="AH2073" t="s">
        <v>40</v>
      </c>
      <c r="AJ2073" t="s">
        <v>40</v>
      </c>
      <c r="AK2073" t="s">
        <v>40</v>
      </c>
      <c r="AL2073" t="s">
        <v>40</v>
      </c>
      <c r="AM2073" t="s">
        <v>40</v>
      </c>
    </row>
    <row r="2074" spans="1:39" x14ac:dyDescent="0.3">
      <c r="A2074">
        <v>2020</v>
      </c>
      <c r="B2074">
        <v>6</v>
      </c>
      <c r="C2074" t="str">
        <f t="shared" si="64"/>
        <v>6/01/2020</v>
      </c>
      <c r="D2074" s="1" t="str">
        <f t="shared" si="65"/>
        <v>6/01/2020</v>
      </c>
      <c r="E2074" t="s">
        <v>37</v>
      </c>
      <c r="F2074" t="s">
        <v>52</v>
      </c>
      <c r="G2074" t="s">
        <v>42</v>
      </c>
      <c r="H2074">
        <v>435</v>
      </c>
      <c r="I2074">
        <v>255</v>
      </c>
      <c r="K2074">
        <v>33</v>
      </c>
      <c r="L2074">
        <v>11</v>
      </c>
      <c r="M2074">
        <v>0</v>
      </c>
      <c r="R2074">
        <v>29</v>
      </c>
      <c r="S2074">
        <v>49</v>
      </c>
      <c r="U2074">
        <v>18</v>
      </c>
      <c r="V2074">
        <v>15</v>
      </c>
      <c r="W2074" s="1">
        <v>44160</v>
      </c>
      <c r="X2074" t="s">
        <v>56</v>
      </c>
      <c r="AA2074" t="s">
        <v>40</v>
      </c>
      <c r="AE2074" t="s">
        <v>40</v>
      </c>
      <c r="AF2074" t="s">
        <v>40</v>
      </c>
      <c r="AG2074" t="s">
        <v>40</v>
      </c>
      <c r="AH2074" t="s">
        <v>40</v>
      </c>
      <c r="AK2074" t="s">
        <v>40</v>
      </c>
    </row>
    <row r="2075" spans="1:39" x14ac:dyDescent="0.3">
      <c r="A2075">
        <v>2020</v>
      </c>
      <c r="B2075">
        <v>6</v>
      </c>
      <c r="C2075" t="str">
        <f t="shared" si="64"/>
        <v>6/01/2020</v>
      </c>
      <c r="D2075" s="1" t="str">
        <f t="shared" si="65"/>
        <v>6/01/2020</v>
      </c>
      <c r="E2075" t="s">
        <v>37</v>
      </c>
      <c r="F2075" t="s">
        <v>52</v>
      </c>
      <c r="G2075" t="s">
        <v>43</v>
      </c>
      <c r="H2075">
        <v>668</v>
      </c>
      <c r="I2075">
        <v>496</v>
      </c>
      <c r="J2075">
        <v>11</v>
      </c>
      <c r="K2075">
        <v>97</v>
      </c>
      <c r="L2075">
        <v>26</v>
      </c>
      <c r="M2075">
        <v>0</v>
      </c>
      <c r="P2075">
        <v>10</v>
      </c>
      <c r="Q2075">
        <v>10</v>
      </c>
      <c r="R2075">
        <v>31</v>
      </c>
      <c r="S2075">
        <v>96</v>
      </c>
      <c r="T2075">
        <v>16</v>
      </c>
      <c r="U2075">
        <v>55</v>
      </c>
      <c r="V2075">
        <v>46</v>
      </c>
      <c r="W2075" s="1">
        <v>44160</v>
      </c>
      <c r="X2075" t="s">
        <v>56</v>
      </c>
      <c r="AE2075" t="s">
        <v>40</v>
      </c>
      <c r="AF2075" t="s">
        <v>40</v>
      </c>
    </row>
    <row r="2076" spans="1:39" x14ac:dyDescent="0.3">
      <c r="A2076">
        <v>2020</v>
      </c>
      <c r="B2076">
        <v>6</v>
      </c>
      <c r="C2076" t="str">
        <f t="shared" si="64"/>
        <v>6/01/2020</v>
      </c>
      <c r="D2076" s="1" t="str">
        <f t="shared" si="65"/>
        <v>6/01/2020</v>
      </c>
      <c r="E2076" t="s">
        <v>37</v>
      </c>
      <c r="F2076" t="s">
        <v>52</v>
      </c>
      <c r="G2076" t="s">
        <v>44</v>
      </c>
      <c r="H2076" s="2">
        <v>1222</v>
      </c>
      <c r="I2076" s="2">
        <v>1103</v>
      </c>
      <c r="J2076">
        <v>27</v>
      </c>
      <c r="K2076">
        <v>260</v>
      </c>
      <c r="L2076">
        <v>62</v>
      </c>
      <c r="N2076">
        <v>19</v>
      </c>
      <c r="O2076">
        <v>24</v>
      </c>
      <c r="P2076">
        <v>22</v>
      </c>
      <c r="Q2076">
        <v>32</v>
      </c>
      <c r="R2076">
        <v>35</v>
      </c>
      <c r="S2076">
        <v>234</v>
      </c>
      <c r="T2076">
        <v>45</v>
      </c>
      <c r="U2076">
        <v>115</v>
      </c>
      <c r="V2076">
        <v>101</v>
      </c>
      <c r="W2076" s="1">
        <v>44160</v>
      </c>
      <c r="X2076" t="s">
        <v>56</v>
      </c>
      <c r="AD2076" t="s">
        <v>40</v>
      </c>
    </row>
    <row r="2077" spans="1:39" x14ac:dyDescent="0.3">
      <c r="A2077">
        <v>2020</v>
      </c>
      <c r="B2077">
        <v>6</v>
      </c>
      <c r="C2077" t="str">
        <f t="shared" si="64"/>
        <v>6/01/2020</v>
      </c>
      <c r="D2077" s="1" t="str">
        <f t="shared" si="65"/>
        <v>6/01/2020</v>
      </c>
      <c r="E2077" t="s">
        <v>37</v>
      </c>
      <c r="F2077" t="s">
        <v>52</v>
      </c>
      <c r="G2077" t="s">
        <v>45</v>
      </c>
      <c r="H2077">
        <v>54</v>
      </c>
      <c r="I2077">
        <v>25</v>
      </c>
      <c r="J2077">
        <v>0</v>
      </c>
      <c r="M2077">
        <v>0</v>
      </c>
      <c r="N2077">
        <v>0</v>
      </c>
      <c r="Q2077">
        <v>0</v>
      </c>
      <c r="S2077">
        <v>0</v>
      </c>
      <c r="U2077">
        <v>0</v>
      </c>
      <c r="V2077">
        <v>0</v>
      </c>
      <c r="W2077" s="1">
        <v>44160</v>
      </c>
      <c r="X2077" t="s">
        <v>56</v>
      </c>
      <c r="AB2077" t="s">
        <v>40</v>
      </c>
      <c r="AC2077" t="s">
        <v>40</v>
      </c>
      <c r="AF2077" t="s">
        <v>40</v>
      </c>
      <c r="AG2077" t="s">
        <v>40</v>
      </c>
      <c r="AI2077" t="s">
        <v>40</v>
      </c>
      <c r="AK2077" t="s">
        <v>40</v>
      </c>
    </row>
    <row r="2078" spans="1:39" x14ac:dyDescent="0.3">
      <c r="A2078">
        <v>2020</v>
      </c>
      <c r="B2078">
        <v>6</v>
      </c>
      <c r="C2078" t="str">
        <f t="shared" si="64"/>
        <v>6/01/2020</v>
      </c>
      <c r="D2078" s="1" t="str">
        <f t="shared" si="65"/>
        <v>6/01/2020</v>
      </c>
      <c r="E2078" t="s">
        <v>37</v>
      </c>
      <c r="F2078" t="s">
        <v>52</v>
      </c>
      <c r="G2078" t="s">
        <v>46</v>
      </c>
      <c r="H2078" s="2">
        <v>2509</v>
      </c>
      <c r="I2078" s="2">
        <v>2372</v>
      </c>
      <c r="J2078">
        <v>44</v>
      </c>
      <c r="K2078">
        <v>650</v>
      </c>
      <c r="L2078">
        <v>130</v>
      </c>
      <c r="N2078">
        <v>23</v>
      </c>
      <c r="O2078">
        <v>107</v>
      </c>
      <c r="P2078">
        <v>37</v>
      </c>
      <c r="Q2078">
        <v>64</v>
      </c>
      <c r="R2078">
        <v>27</v>
      </c>
      <c r="S2078">
        <v>529</v>
      </c>
      <c r="T2078">
        <v>108</v>
      </c>
      <c r="U2078">
        <v>260</v>
      </c>
      <c r="V2078">
        <v>232</v>
      </c>
      <c r="W2078" s="1">
        <v>44160</v>
      </c>
      <c r="X2078" t="s">
        <v>56</v>
      </c>
      <c r="AD2078" t="s">
        <v>40</v>
      </c>
    </row>
    <row r="2079" spans="1:39" x14ac:dyDescent="0.3">
      <c r="A2079">
        <v>2020</v>
      </c>
      <c r="B2079">
        <v>6</v>
      </c>
      <c r="C2079" t="str">
        <f t="shared" si="64"/>
        <v>6/01/2020</v>
      </c>
      <c r="D2079" s="1" t="str">
        <f t="shared" si="65"/>
        <v>6/01/2020</v>
      </c>
      <c r="E2079" t="s">
        <v>37</v>
      </c>
      <c r="F2079" t="s">
        <v>52</v>
      </c>
      <c r="G2079" t="s">
        <v>47</v>
      </c>
      <c r="H2079" s="2">
        <v>3377</v>
      </c>
      <c r="I2079" s="2">
        <v>3305</v>
      </c>
      <c r="J2079">
        <v>74</v>
      </c>
      <c r="K2079">
        <v>843</v>
      </c>
      <c r="L2079">
        <v>171</v>
      </c>
      <c r="M2079">
        <v>39</v>
      </c>
      <c r="N2079">
        <v>55</v>
      </c>
      <c r="O2079">
        <v>118</v>
      </c>
      <c r="P2079">
        <v>48</v>
      </c>
      <c r="Q2079">
        <v>86</v>
      </c>
      <c r="R2079">
        <v>31</v>
      </c>
      <c r="S2079">
        <v>741</v>
      </c>
      <c r="T2079">
        <v>176</v>
      </c>
      <c r="U2079">
        <v>399</v>
      </c>
      <c r="V2079">
        <v>351</v>
      </c>
      <c r="W2079" s="1">
        <v>44160</v>
      </c>
      <c r="X2079" t="s">
        <v>56</v>
      </c>
    </row>
    <row r="2080" spans="1:39" x14ac:dyDescent="0.3">
      <c r="A2080">
        <v>2020</v>
      </c>
      <c r="B2080">
        <v>6</v>
      </c>
      <c r="C2080" t="str">
        <f t="shared" si="64"/>
        <v>6/01/2020</v>
      </c>
      <c r="D2080" s="1" t="str">
        <f t="shared" si="65"/>
        <v>6/01/2020</v>
      </c>
      <c r="E2080" t="s">
        <v>37</v>
      </c>
      <c r="F2080" t="s">
        <v>52</v>
      </c>
      <c r="G2080" t="s">
        <v>48</v>
      </c>
      <c r="H2080" s="2">
        <v>3411</v>
      </c>
      <c r="I2080" s="2">
        <v>3371</v>
      </c>
      <c r="J2080">
        <v>76</v>
      </c>
      <c r="K2080">
        <v>560</v>
      </c>
      <c r="L2080">
        <v>175</v>
      </c>
      <c r="M2080">
        <v>169</v>
      </c>
      <c r="N2080">
        <v>53</v>
      </c>
      <c r="O2080">
        <v>109</v>
      </c>
      <c r="P2080">
        <v>52</v>
      </c>
      <c r="Q2080">
        <v>93</v>
      </c>
      <c r="R2080">
        <v>26</v>
      </c>
      <c r="S2080">
        <v>785</v>
      </c>
      <c r="T2080">
        <v>236</v>
      </c>
      <c r="U2080">
        <v>422</v>
      </c>
      <c r="V2080">
        <v>382</v>
      </c>
      <c r="W2080" s="1">
        <v>44160</v>
      </c>
      <c r="X2080" t="s">
        <v>56</v>
      </c>
    </row>
    <row r="2081" spans="1:39" x14ac:dyDescent="0.3">
      <c r="A2081">
        <v>2020</v>
      </c>
      <c r="B2081">
        <v>6</v>
      </c>
      <c r="C2081" t="str">
        <f t="shared" si="64"/>
        <v>6/01/2020</v>
      </c>
      <c r="D2081" s="1" t="str">
        <f t="shared" si="65"/>
        <v>6/01/2020</v>
      </c>
      <c r="E2081" t="s">
        <v>37</v>
      </c>
      <c r="F2081" t="s">
        <v>52</v>
      </c>
      <c r="G2081" t="s">
        <v>49</v>
      </c>
      <c r="H2081" s="2">
        <v>3765</v>
      </c>
      <c r="I2081" s="2">
        <v>3716</v>
      </c>
      <c r="J2081">
        <v>55</v>
      </c>
      <c r="K2081">
        <v>353</v>
      </c>
      <c r="L2081">
        <v>129</v>
      </c>
      <c r="M2081">
        <v>387</v>
      </c>
      <c r="N2081">
        <v>52</v>
      </c>
      <c r="O2081">
        <v>90</v>
      </c>
      <c r="P2081">
        <v>35</v>
      </c>
      <c r="Q2081">
        <v>92</v>
      </c>
      <c r="R2081">
        <v>51</v>
      </c>
      <c r="S2081">
        <v>900</v>
      </c>
      <c r="T2081">
        <v>279</v>
      </c>
      <c r="U2081">
        <v>439</v>
      </c>
      <c r="V2081">
        <v>358</v>
      </c>
      <c r="W2081" s="1">
        <v>44160</v>
      </c>
      <c r="X2081" t="s">
        <v>56</v>
      </c>
    </row>
    <row r="2082" spans="1:39" x14ac:dyDescent="0.3">
      <c r="A2082">
        <v>2020</v>
      </c>
      <c r="B2082">
        <v>6</v>
      </c>
      <c r="C2082" t="str">
        <f t="shared" si="64"/>
        <v>6/01/2020</v>
      </c>
      <c r="D2082" s="1" t="str">
        <f t="shared" si="65"/>
        <v>6/01/2020</v>
      </c>
      <c r="E2082" t="s">
        <v>37</v>
      </c>
      <c r="F2082" t="s">
        <v>53</v>
      </c>
      <c r="G2082" t="s">
        <v>39</v>
      </c>
      <c r="H2082">
        <v>334</v>
      </c>
      <c r="I2082">
        <v>294</v>
      </c>
      <c r="L2082">
        <v>0</v>
      </c>
      <c r="M2082">
        <v>0</v>
      </c>
      <c r="O2082">
        <v>0</v>
      </c>
      <c r="R2082">
        <v>29</v>
      </c>
      <c r="U2082">
        <v>0</v>
      </c>
      <c r="V2082">
        <v>0</v>
      </c>
      <c r="W2082" s="1">
        <v>44160</v>
      </c>
      <c r="X2082" t="s">
        <v>56</v>
      </c>
      <c r="AA2082" t="s">
        <v>40</v>
      </c>
      <c r="AB2082" t="s">
        <v>40</v>
      </c>
      <c r="AE2082" t="s">
        <v>40</v>
      </c>
      <c r="AG2082" t="s">
        <v>40</v>
      </c>
      <c r="AH2082" t="s">
        <v>40</v>
      </c>
      <c r="AJ2082" t="s">
        <v>40</v>
      </c>
      <c r="AK2082" t="s">
        <v>40</v>
      </c>
    </row>
    <row r="2083" spans="1:39" x14ac:dyDescent="0.3">
      <c r="A2083">
        <v>2020</v>
      </c>
      <c r="B2083">
        <v>6</v>
      </c>
      <c r="C2083" t="str">
        <f t="shared" si="64"/>
        <v>6/01/2020</v>
      </c>
      <c r="D2083" s="1" t="str">
        <f t="shared" si="65"/>
        <v>6/01/2020</v>
      </c>
      <c r="E2083" t="s">
        <v>37</v>
      </c>
      <c r="F2083" t="s">
        <v>53</v>
      </c>
      <c r="G2083" t="s">
        <v>41</v>
      </c>
      <c r="H2083">
        <v>395</v>
      </c>
      <c r="I2083">
        <v>114</v>
      </c>
      <c r="K2083">
        <v>16</v>
      </c>
      <c r="M2083">
        <v>0</v>
      </c>
      <c r="N2083">
        <v>0</v>
      </c>
      <c r="R2083">
        <v>27</v>
      </c>
      <c r="S2083">
        <v>12</v>
      </c>
      <c r="W2083" s="1">
        <v>44160</v>
      </c>
      <c r="X2083" t="s">
        <v>56</v>
      </c>
      <c r="AA2083" t="s">
        <v>40</v>
      </c>
      <c r="AC2083" t="s">
        <v>40</v>
      </c>
      <c r="AF2083" t="s">
        <v>40</v>
      </c>
      <c r="AG2083" t="s">
        <v>40</v>
      </c>
      <c r="AH2083" t="s">
        <v>40</v>
      </c>
      <c r="AK2083" t="s">
        <v>40</v>
      </c>
      <c r="AL2083" t="s">
        <v>40</v>
      </c>
      <c r="AM2083" t="s">
        <v>40</v>
      </c>
    </row>
    <row r="2084" spans="1:39" x14ac:dyDescent="0.3">
      <c r="A2084">
        <v>2020</v>
      </c>
      <c r="B2084">
        <v>6</v>
      </c>
      <c r="C2084" t="str">
        <f t="shared" si="64"/>
        <v>6/01/2020</v>
      </c>
      <c r="D2084" s="1" t="str">
        <f t="shared" si="65"/>
        <v>6/01/2020</v>
      </c>
      <c r="E2084" t="s">
        <v>37</v>
      </c>
      <c r="F2084" t="s">
        <v>53</v>
      </c>
      <c r="G2084" t="s">
        <v>42</v>
      </c>
      <c r="H2084" s="2">
        <v>1005</v>
      </c>
      <c r="I2084">
        <v>456</v>
      </c>
      <c r="J2084">
        <v>11</v>
      </c>
      <c r="K2084">
        <v>91</v>
      </c>
      <c r="L2084">
        <v>13</v>
      </c>
      <c r="M2084">
        <v>0</v>
      </c>
      <c r="R2084">
        <v>55</v>
      </c>
      <c r="S2084">
        <v>52</v>
      </c>
      <c r="T2084">
        <v>13</v>
      </c>
      <c r="W2084" s="1">
        <v>44160</v>
      </c>
      <c r="X2084" t="s">
        <v>56</v>
      </c>
      <c r="AE2084" t="s">
        <v>40</v>
      </c>
      <c r="AF2084" t="s">
        <v>40</v>
      </c>
      <c r="AG2084" t="s">
        <v>40</v>
      </c>
      <c r="AH2084" t="s">
        <v>40</v>
      </c>
      <c r="AL2084" t="s">
        <v>40</v>
      </c>
      <c r="AM2084" t="s">
        <v>40</v>
      </c>
    </row>
    <row r="2085" spans="1:39" x14ac:dyDescent="0.3">
      <c r="A2085">
        <v>2020</v>
      </c>
      <c r="B2085">
        <v>6</v>
      </c>
      <c r="C2085" t="str">
        <f t="shared" si="64"/>
        <v>6/01/2020</v>
      </c>
      <c r="D2085" s="1" t="str">
        <f t="shared" si="65"/>
        <v>6/01/2020</v>
      </c>
      <c r="E2085" t="s">
        <v>37</v>
      </c>
      <c r="F2085" t="s">
        <v>53</v>
      </c>
      <c r="G2085" t="s">
        <v>43</v>
      </c>
      <c r="H2085" s="2">
        <v>1649</v>
      </c>
      <c r="I2085" s="2">
        <v>1018</v>
      </c>
      <c r="J2085">
        <v>17</v>
      </c>
      <c r="K2085">
        <v>270</v>
      </c>
      <c r="L2085">
        <v>43</v>
      </c>
      <c r="M2085">
        <v>0</v>
      </c>
      <c r="N2085">
        <v>16</v>
      </c>
      <c r="O2085">
        <v>12</v>
      </c>
      <c r="P2085">
        <v>14</v>
      </c>
      <c r="R2085">
        <v>79</v>
      </c>
      <c r="S2085">
        <v>159</v>
      </c>
      <c r="T2085">
        <v>33</v>
      </c>
      <c r="U2085">
        <v>18</v>
      </c>
      <c r="V2085">
        <v>14</v>
      </c>
      <c r="W2085" s="1">
        <v>44160</v>
      </c>
      <c r="X2085" t="s">
        <v>56</v>
      </c>
      <c r="AH2085" t="s">
        <v>40</v>
      </c>
    </row>
    <row r="2086" spans="1:39" x14ac:dyDescent="0.3">
      <c r="A2086">
        <v>2020</v>
      </c>
      <c r="B2086">
        <v>6</v>
      </c>
      <c r="C2086" t="str">
        <f t="shared" si="64"/>
        <v>6/01/2020</v>
      </c>
      <c r="D2086" s="1" t="str">
        <f t="shared" si="65"/>
        <v>6/01/2020</v>
      </c>
      <c r="E2086" t="s">
        <v>37</v>
      </c>
      <c r="F2086" t="s">
        <v>53</v>
      </c>
      <c r="G2086" t="s">
        <v>44</v>
      </c>
      <c r="H2086" s="2">
        <v>3502</v>
      </c>
      <c r="I2086" s="2">
        <v>2848</v>
      </c>
      <c r="J2086">
        <v>56</v>
      </c>
      <c r="K2086">
        <v>938</v>
      </c>
      <c r="L2086">
        <v>96</v>
      </c>
      <c r="N2086">
        <v>44</v>
      </c>
      <c r="O2086">
        <v>121</v>
      </c>
      <c r="P2086">
        <v>36</v>
      </c>
      <c r="Q2086">
        <v>36</v>
      </c>
      <c r="R2086">
        <v>90</v>
      </c>
      <c r="S2086">
        <v>486</v>
      </c>
      <c r="T2086">
        <v>88</v>
      </c>
      <c r="U2086">
        <v>84</v>
      </c>
      <c r="V2086">
        <v>70</v>
      </c>
      <c r="W2086" s="1">
        <v>44160</v>
      </c>
      <c r="X2086" t="s">
        <v>56</v>
      </c>
      <c r="AD2086" t="s">
        <v>40</v>
      </c>
    </row>
    <row r="2087" spans="1:39" x14ac:dyDescent="0.3">
      <c r="A2087">
        <v>2020</v>
      </c>
      <c r="B2087">
        <v>6</v>
      </c>
      <c r="C2087" t="str">
        <f t="shared" si="64"/>
        <v>6/01/2020</v>
      </c>
      <c r="D2087" s="1" t="str">
        <f t="shared" si="65"/>
        <v>6/01/2020</v>
      </c>
      <c r="E2087" t="s">
        <v>37</v>
      </c>
      <c r="F2087" t="s">
        <v>53</v>
      </c>
      <c r="G2087" t="s">
        <v>45</v>
      </c>
      <c r="H2087">
        <v>105</v>
      </c>
      <c r="I2087">
        <v>49</v>
      </c>
      <c r="K2087">
        <v>12</v>
      </c>
      <c r="L2087">
        <v>0</v>
      </c>
      <c r="M2087">
        <v>0</v>
      </c>
      <c r="N2087">
        <v>0</v>
      </c>
      <c r="O2087">
        <v>0</v>
      </c>
      <c r="Q2087">
        <v>0</v>
      </c>
      <c r="U2087">
        <v>0</v>
      </c>
      <c r="V2087">
        <v>0</v>
      </c>
      <c r="W2087" s="1">
        <v>44160</v>
      </c>
      <c r="X2087" t="s">
        <v>56</v>
      </c>
      <c r="AA2087" t="s">
        <v>40</v>
      </c>
      <c r="AG2087" t="s">
        <v>40</v>
      </c>
      <c r="AI2087" t="s">
        <v>40</v>
      </c>
      <c r="AJ2087" t="s">
        <v>40</v>
      </c>
      <c r="AK2087" t="s">
        <v>40</v>
      </c>
    </row>
    <row r="2088" spans="1:39" x14ac:dyDescent="0.3">
      <c r="A2088">
        <v>2020</v>
      </c>
      <c r="B2088">
        <v>6</v>
      </c>
      <c r="C2088" t="str">
        <f t="shared" si="64"/>
        <v>6/01/2020</v>
      </c>
      <c r="D2088" s="1" t="str">
        <f t="shared" si="65"/>
        <v>6/01/2020</v>
      </c>
      <c r="E2088" t="s">
        <v>37</v>
      </c>
      <c r="F2088" t="s">
        <v>53</v>
      </c>
      <c r="G2088" t="s">
        <v>46</v>
      </c>
      <c r="H2088" s="2">
        <v>8480</v>
      </c>
      <c r="I2088" s="2">
        <v>7821</v>
      </c>
      <c r="J2088">
        <v>137</v>
      </c>
      <c r="K2088" s="2">
        <v>2792</v>
      </c>
      <c r="L2088">
        <v>300</v>
      </c>
      <c r="M2088">
        <v>40</v>
      </c>
      <c r="N2088">
        <v>100</v>
      </c>
      <c r="O2088">
        <v>532</v>
      </c>
      <c r="P2088">
        <v>108</v>
      </c>
      <c r="Q2088">
        <v>81</v>
      </c>
      <c r="R2088">
        <v>119</v>
      </c>
      <c r="S2088" s="2">
        <v>1404</v>
      </c>
      <c r="T2088">
        <v>293</v>
      </c>
      <c r="U2088">
        <v>252</v>
      </c>
      <c r="V2088">
        <v>227</v>
      </c>
      <c r="W2088" s="1">
        <v>44160</v>
      </c>
      <c r="X2088" t="s">
        <v>56</v>
      </c>
    </row>
    <row r="2089" spans="1:39" x14ac:dyDescent="0.3">
      <c r="A2089">
        <v>2020</v>
      </c>
      <c r="B2089">
        <v>6</v>
      </c>
      <c r="C2089" t="str">
        <f t="shared" si="64"/>
        <v>6/01/2020</v>
      </c>
      <c r="D2089" s="1" t="str">
        <f t="shared" si="65"/>
        <v>6/01/2020</v>
      </c>
      <c r="E2089" t="s">
        <v>37</v>
      </c>
      <c r="F2089" t="s">
        <v>53</v>
      </c>
      <c r="G2089" t="s">
        <v>47</v>
      </c>
      <c r="H2089" s="2">
        <v>14907</v>
      </c>
      <c r="I2089" s="2">
        <v>14418</v>
      </c>
      <c r="J2089">
        <v>275</v>
      </c>
      <c r="K2089" s="2">
        <v>4893</v>
      </c>
      <c r="L2089">
        <v>500</v>
      </c>
      <c r="M2089">
        <v>306</v>
      </c>
      <c r="N2089">
        <v>164</v>
      </c>
      <c r="O2089" s="2">
        <v>1109</v>
      </c>
      <c r="P2089">
        <v>244</v>
      </c>
      <c r="Q2089">
        <v>258</v>
      </c>
      <c r="R2089">
        <v>128</v>
      </c>
      <c r="S2089" s="2">
        <v>2560</v>
      </c>
      <c r="T2089">
        <v>632</v>
      </c>
      <c r="U2089">
        <v>611</v>
      </c>
      <c r="V2089">
        <v>525</v>
      </c>
      <c r="W2089" s="1">
        <v>44160</v>
      </c>
      <c r="X2089" t="s">
        <v>56</v>
      </c>
    </row>
    <row r="2090" spans="1:39" x14ac:dyDescent="0.3">
      <c r="A2090">
        <v>2020</v>
      </c>
      <c r="B2090">
        <v>6</v>
      </c>
      <c r="C2090" t="str">
        <f t="shared" si="64"/>
        <v>6/01/2020</v>
      </c>
      <c r="D2090" s="1" t="str">
        <f t="shared" si="65"/>
        <v>6/01/2020</v>
      </c>
      <c r="E2090" t="s">
        <v>37</v>
      </c>
      <c r="F2090" t="s">
        <v>53</v>
      </c>
      <c r="G2090" t="s">
        <v>48</v>
      </c>
      <c r="H2090" s="2">
        <v>21592</v>
      </c>
      <c r="I2090" s="2">
        <v>20972</v>
      </c>
      <c r="J2090">
        <v>296</v>
      </c>
      <c r="K2090" s="2">
        <v>4795</v>
      </c>
      <c r="L2090">
        <v>537</v>
      </c>
      <c r="M2090" s="2">
        <v>1421</v>
      </c>
      <c r="N2090">
        <v>267</v>
      </c>
      <c r="O2090" s="2">
        <v>1554</v>
      </c>
      <c r="P2090">
        <v>372</v>
      </c>
      <c r="Q2090">
        <v>345</v>
      </c>
      <c r="R2090">
        <v>180</v>
      </c>
      <c r="S2090" s="2">
        <v>4140</v>
      </c>
      <c r="T2090" s="2">
        <v>1340</v>
      </c>
      <c r="U2090" s="2">
        <v>1270</v>
      </c>
      <c r="V2090" s="2">
        <v>1071</v>
      </c>
      <c r="W2090" s="1">
        <v>44160</v>
      </c>
      <c r="X2090" t="s">
        <v>56</v>
      </c>
    </row>
    <row r="2091" spans="1:39" x14ac:dyDescent="0.3">
      <c r="A2091">
        <v>2020</v>
      </c>
      <c r="B2091">
        <v>6</v>
      </c>
      <c r="C2091" t="str">
        <f t="shared" si="64"/>
        <v>6/01/2020</v>
      </c>
      <c r="D2091" s="1" t="str">
        <f t="shared" si="65"/>
        <v>6/01/2020</v>
      </c>
      <c r="E2091" t="s">
        <v>37</v>
      </c>
      <c r="F2091" t="s">
        <v>53</v>
      </c>
      <c r="G2091" t="s">
        <v>49</v>
      </c>
      <c r="H2091" s="2">
        <v>35668</v>
      </c>
      <c r="I2091" s="2">
        <v>34602</v>
      </c>
      <c r="J2091">
        <v>304</v>
      </c>
      <c r="K2091" s="2">
        <v>3264</v>
      </c>
      <c r="L2091">
        <v>537</v>
      </c>
      <c r="M2091" s="2">
        <v>3703</v>
      </c>
      <c r="N2091">
        <v>444</v>
      </c>
      <c r="O2091" s="2">
        <v>1488</v>
      </c>
      <c r="P2091">
        <v>387</v>
      </c>
      <c r="Q2091">
        <v>536</v>
      </c>
      <c r="R2091">
        <v>541</v>
      </c>
      <c r="S2091" s="2">
        <v>9239</v>
      </c>
      <c r="T2091" s="2">
        <v>2750</v>
      </c>
      <c r="U2091" s="2">
        <v>2468</v>
      </c>
      <c r="V2091" s="2">
        <v>1990</v>
      </c>
      <c r="W2091" s="1">
        <v>44160</v>
      </c>
      <c r="X2091" t="s">
        <v>56</v>
      </c>
    </row>
    <row r="2092" spans="1:39" x14ac:dyDescent="0.3">
      <c r="A2092">
        <v>2020</v>
      </c>
      <c r="B2092">
        <v>6</v>
      </c>
      <c r="C2092" t="str">
        <f t="shared" si="64"/>
        <v>6/01/2020</v>
      </c>
      <c r="D2092" s="1" t="str">
        <f t="shared" si="65"/>
        <v>6/01/2020</v>
      </c>
      <c r="E2092" t="s">
        <v>37</v>
      </c>
      <c r="F2092" t="s">
        <v>54</v>
      </c>
      <c r="G2092" t="s">
        <v>39</v>
      </c>
      <c r="H2092">
        <v>34</v>
      </c>
      <c r="I2092">
        <v>32</v>
      </c>
      <c r="J2092">
        <v>0</v>
      </c>
      <c r="L2092">
        <v>0</v>
      </c>
      <c r="M2092">
        <v>0</v>
      </c>
      <c r="O2092">
        <v>0</v>
      </c>
      <c r="P2092">
        <v>0</v>
      </c>
      <c r="Q2092">
        <v>0</v>
      </c>
      <c r="S2092">
        <v>0</v>
      </c>
      <c r="T2092">
        <v>0</v>
      </c>
      <c r="W2092" s="1">
        <v>44160</v>
      </c>
      <c r="X2092" t="s">
        <v>56</v>
      </c>
      <c r="AB2092" t="s">
        <v>40</v>
      </c>
      <c r="AE2092" t="s">
        <v>40</v>
      </c>
      <c r="AI2092" t="s">
        <v>40</v>
      </c>
      <c r="AL2092" t="s">
        <v>40</v>
      </c>
      <c r="AM2092" t="s">
        <v>40</v>
      </c>
    </row>
    <row r="2093" spans="1:39" x14ac:dyDescent="0.3">
      <c r="A2093">
        <v>2020</v>
      </c>
      <c r="B2093">
        <v>6</v>
      </c>
      <c r="C2093" t="str">
        <f t="shared" si="64"/>
        <v>6/01/2020</v>
      </c>
      <c r="D2093" s="1" t="str">
        <f t="shared" si="65"/>
        <v>6/01/2020</v>
      </c>
      <c r="E2093" t="s">
        <v>37</v>
      </c>
      <c r="F2093" t="s">
        <v>54</v>
      </c>
      <c r="G2093" t="s">
        <v>41</v>
      </c>
      <c r="H2093">
        <v>21</v>
      </c>
      <c r="J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W2093" s="1">
        <v>44160</v>
      </c>
      <c r="X2093" t="s">
        <v>56</v>
      </c>
      <c r="Z2093" t="s">
        <v>40</v>
      </c>
      <c r="AB2093" t="s">
        <v>40</v>
      </c>
      <c r="AL2093" t="s">
        <v>40</v>
      </c>
      <c r="AM2093" t="s">
        <v>40</v>
      </c>
    </row>
    <row r="2094" spans="1:39" x14ac:dyDescent="0.3">
      <c r="A2094">
        <v>2020</v>
      </c>
      <c r="B2094">
        <v>6</v>
      </c>
      <c r="C2094" t="str">
        <f t="shared" si="64"/>
        <v>6/01/2020</v>
      </c>
      <c r="D2094" s="1" t="str">
        <f t="shared" si="65"/>
        <v>6/01/2020</v>
      </c>
      <c r="E2094" t="s">
        <v>37</v>
      </c>
      <c r="F2094" t="s">
        <v>54</v>
      </c>
      <c r="G2094" t="s">
        <v>42</v>
      </c>
      <c r="H2094">
        <v>40</v>
      </c>
      <c r="I2094">
        <v>17</v>
      </c>
      <c r="J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T2094">
        <v>0</v>
      </c>
      <c r="W2094" s="1">
        <v>44160</v>
      </c>
      <c r="X2094" t="s">
        <v>56</v>
      </c>
      <c r="AB2094" t="s">
        <v>40</v>
      </c>
      <c r="AC2094" t="s">
        <v>40</v>
      </c>
      <c r="AI2094" t="s">
        <v>40</v>
      </c>
      <c r="AJ2094" t="s">
        <v>40</v>
      </c>
      <c r="AL2094" t="s">
        <v>40</v>
      </c>
      <c r="AM2094" t="s">
        <v>40</v>
      </c>
    </row>
    <row r="2095" spans="1:39" x14ac:dyDescent="0.3">
      <c r="A2095">
        <v>2020</v>
      </c>
      <c r="B2095">
        <v>6</v>
      </c>
      <c r="C2095" t="str">
        <f t="shared" si="64"/>
        <v>6/01/2020</v>
      </c>
      <c r="D2095" s="1" t="str">
        <f t="shared" si="65"/>
        <v>6/01/2020</v>
      </c>
      <c r="E2095" t="s">
        <v>37</v>
      </c>
      <c r="F2095" t="s">
        <v>54</v>
      </c>
      <c r="G2095" t="s">
        <v>43</v>
      </c>
      <c r="H2095">
        <v>52</v>
      </c>
      <c r="I2095">
        <v>37</v>
      </c>
      <c r="J2095">
        <v>0</v>
      </c>
      <c r="M2095">
        <v>0</v>
      </c>
      <c r="O2095">
        <v>0</v>
      </c>
      <c r="T2095">
        <v>0</v>
      </c>
      <c r="W2095" s="1">
        <v>44160</v>
      </c>
      <c r="X2095" t="s">
        <v>56</v>
      </c>
      <c r="AB2095" t="s">
        <v>40</v>
      </c>
      <c r="AC2095" t="s">
        <v>40</v>
      </c>
      <c r="AE2095" t="s">
        <v>40</v>
      </c>
      <c r="AG2095" t="s">
        <v>40</v>
      </c>
      <c r="AH2095" t="s">
        <v>40</v>
      </c>
      <c r="AI2095" t="s">
        <v>40</v>
      </c>
      <c r="AJ2095" t="s">
        <v>40</v>
      </c>
      <c r="AL2095" t="s">
        <v>40</v>
      </c>
      <c r="AM2095" t="s">
        <v>40</v>
      </c>
    </row>
    <row r="2096" spans="1:39" x14ac:dyDescent="0.3">
      <c r="A2096">
        <v>2020</v>
      </c>
      <c r="B2096">
        <v>6</v>
      </c>
      <c r="C2096" t="str">
        <f t="shared" si="64"/>
        <v>6/01/2020</v>
      </c>
      <c r="D2096" s="1" t="str">
        <f t="shared" si="65"/>
        <v>6/01/2020</v>
      </c>
      <c r="E2096" t="s">
        <v>37</v>
      </c>
      <c r="F2096" t="s">
        <v>54</v>
      </c>
      <c r="G2096" t="s">
        <v>44</v>
      </c>
      <c r="H2096">
        <v>90</v>
      </c>
      <c r="I2096">
        <v>73</v>
      </c>
      <c r="J2096">
        <v>0</v>
      </c>
      <c r="K2096">
        <v>24</v>
      </c>
      <c r="M2096">
        <v>0</v>
      </c>
      <c r="P2096">
        <v>0</v>
      </c>
      <c r="Q2096">
        <v>0</v>
      </c>
      <c r="W2096" s="1">
        <v>44160</v>
      </c>
      <c r="X2096" t="s">
        <v>56</v>
      </c>
      <c r="AC2096" t="s">
        <v>40</v>
      </c>
      <c r="AE2096" t="s">
        <v>40</v>
      </c>
      <c r="AF2096" t="s">
        <v>40</v>
      </c>
      <c r="AI2096" t="s">
        <v>40</v>
      </c>
      <c r="AJ2096" t="s">
        <v>40</v>
      </c>
      <c r="AK2096" t="s">
        <v>40</v>
      </c>
      <c r="AL2096" t="s">
        <v>40</v>
      </c>
      <c r="AM2096" t="s">
        <v>40</v>
      </c>
    </row>
    <row r="2097" spans="1:39" x14ac:dyDescent="0.3">
      <c r="A2097">
        <v>2020</v>
      </c>
      <c r="B2097">
        <v>6</v>
      </c>
      <c r="C2097" t="str">
        <f t="shared" si="64"/>
        <v>6/01/2020</v>
      </c>
      <c r="D2097" s="1" t="str">
        <f t="shared" si="65"/>
        <v>6/01/2020</v>
      </c>
      <c r="E2097" t="s">
        <v>37</v>
      </c>
      <c r="F2097" t="s">
        <v>54</v>
      </c>
      <c r="G2097" t="s">
        <v>45</v>
      </c>
      <c r="J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U2097">
        <v>0</v>
      </c>
      <c r="V2097">
        <v>0</v>
      </c>
      <c r="W2097" s="1">
        <v>44160</v>
      </c>
      <c r="X2097" t="s">
        <v>56</v>
      </c>
      <c r="Y2097" t="s">
        <v>40</v>
      </c>
      <c r="Z2097" t="s">
        <v>40</v>
      </c>
      <c r="AB2097" t="s">
        <v>40</v>
      </c>
      <c r="AK2097" t="s">
        <v>40</v>
      </c>
    </row>
    <row r="2098" spans="1:39" x14ac:dyDescent="0.3">
      <c r="A2098">
        <v>2020</v>
      </c>
      <c r="B2098">
        <v>6</v>
      </c>
      <c r="C2098" t="str">
        <f t="shared" si="64"/>
        <v>6/01/2020</v>
      </c>
      <c r="D2098" s="1" t="str">
        <f t="shared" si="65"/>
        <v>6/01/2020</v>
      </c>
      <c r="E2098" t="s">
        <v>37</v>
      </c>
      <c r="F2098" t="s">
        <v>54</v>
      </c>
      <c r="G2098" t="s">
        <v>46</v>
      </c>
      <c r="H2098">
        <v>139</v>
      </c>
      <c r="I2098">
        <v>129</v>
      </c>
      <c r="K2098">
        <v>34</v>
      </c>
      <c r="M2098">
        <v>0</v>
      </c>
      <c r="P2098">
        <v>0</v>
      </c>
      <c r="S2098">
        <v>29</v>
      </c>
      <c r="W2098" s="1">
        <v>44160</v>
      </c>
      <c r="X2098" t="s">
        <v>56</v>
      </c>
      <c r="AA2098" t="s">
        <v>40</v>
      </c>
      <c r="AC2098" t="s">
        <v>40</v>
      </c>
      <c r="AE2098" t="s">
        <v>40</v>
      </c>
      <c r="AF2098" t="s">
        <v>40</v>
      </c>
      <c r="AH2098" t="s">
        <v>40</v>
      </c>
      <c r="AI2098" t="s">
        <v>40</v>
      </c>
      <c r="AK2098" t="s">
        <v>40</v>
      </c>
      <c r="AL2098" t="s">
        <v>40</v>
      </c>
      <c r="AM2098" t="s">
        <v>40</v>
      </c>
    </row>
    <row r="2099" spans="1:39" x14ac:dyDescent="0.3">
      <c r="A2099">
        <v>2020</v>
      </c>
      <c r="B2099">
        <v>6</v>
      </c>
      <c r="C2099" t="str">
        <f t="shared" si="64"/>
        <v>6/01/2020</v>
      </c>
      <c r="D2099" s="1" t="str">
        <f t="shared" si="65"/>
        <v>6/01/2020</v>
      </c>
      <c r="E2099" t="s">
        <v>37</v>
      </c>
      <c r="F2099" t="s">
        <v>54</v>
      </c>
      <c r="G2099" t="s">
        <v>47</v>
      </c>
      <c r="H2099">
        <v>187</v>
      </c>
      <c r="I2099">
        <v>182</v>
      </c>
      <c r="J2099">
        <v>0</v>
      </c>
      <c r="K2099">
        <v>48</v>
      </c>
      <c r="O2099">
        <v>17</v>
      </c>
      <c r="S2099">
        <v>35</v>
      </c>
      <c r="T2099">
        <v>10</v>
      </c>
      <c r="U2099">
        <v>17</v>
      </c>
      <c r="V2099">
        <v>17</v>
      </c>
      <c r="W2099" s="1">
        <v>44160</v>
      </c>
      <c r="X2099" t="s">
        <v>56</v>
      </c>
      <c r="AC2099" t="s">
        <v>40</v>
      </c>
      <c r="AD2099" t="s">
        <v>40</v>
      </c>
      <c r="AE2099" t="s">
        <v>40</v>
      </c>
      <c r="AG2099" t="s">
        <v>40</v>
      </c>
      <c r="AH2099" t="s">
        <v>40</v>
      </c>
      <c r="AI2099" t="s">
        <v>40</v>
      </c>
    </row>
    <row r="2100" spans="1:39" x14ac:dyDescent="0.3">
      <c r="A2100">
        <v>2020</v>
      </c>
      <c r="B2100">
        <v>6</v>
      </c>
      <c r="C2100" t="str">
        <f t="shared" si="64"/>
        <v>6/01/2020</v>
      </c>
      <c r="D2100" s="1" t="str">
        <f t="shared" si="65"/>
        <v>6/01/2020</v>
      </c>
      <c r="E2100" t="s">
        <v>37</v>
      </c>
      <c r="F2100" t="s">
        <v>54</v>
      </c>
      <c r="G2100" t="s">
        <v>48</v>
      </c>
      <c r="H2100">
        <v>175</v>
      </c>
      <c r="I2100">
        <v>174</v>
      </c>
      <c r="K2100">
        <v>31</v>
      </c>
      <c r="M2100">
        <v>14</v>
      </c>
      <c r="P2100">
        <v>0</v>
      </c>
      <c r="S2100">
        <v>36</v>
      </c>
      <c r="T2100">
        <v>13</v>
      </c>
      <c r="U2100">
        <v>26</v>
      </c>
      <c r="V2100">
        <v>25</v>
      </c>
      <c r="W2100" s="1">
        <v>44160</v>
      </c>
      <c r="X2100" t="s">
        <v>56</v>
      </c>
      <c r="AA2100" t="s">
        <v>40</v>
      </c>
      <c r="AC2100" t="s">
        <v>40</v>
      </c>
      <c r="AE2100" t="s">
        <v>40</v>
      </c>
      <c r="AF2100" t="s">
        <v>40</v>
      </c>
      <c r="AH2100" t="s">
        <v>40</v>
      </c>
      <c r="AI2100" t="s">
        <v>40</v>
      </c>
    </row>
    <row r="2101" spans="1:39" x14ac:dyDescent="0.3">
      <c r="A2101">
        <v>2020</v>
      </c>
      <c r="B2101">
        <v>6</v>
      </c>
      <c r="C2101" t="str">
        <f t="shared" si="64"/>
        <v>6/01/2020</v>
      </c>
      <c r="D2101" s="1" t="str">
        <f t="shared" si="65"/>
        <v>6/01/2020</v>
      </c>
      <c r="E2101" t="s">
        <v>37</v>
      </c>
      <c r="F2101" t="s">
        <v>54</v>
      </c>
      <c r="G2101" t="s">
        <v>49</v>
      </c>
      <c r="H2101">
        <v>159</v>
      </c>
      <c r="I2101">
        <v>155</v>
      </c>
      <c r="K2101">
        <v>15</v>
      </c>
      <c r="M2101">
        <v>15</v>
      </c>
      <c r="S2101">
        <v>45</v>
      </c>
      <c r="T2101">
        <v>11</v>
      </c>
      <c r="U2101">
        <v>12</v>
      </c>
      <c r="V2101">
        <v>11</v>
      </c>
      <c r="W2101" s="1">
        <v>44160</v>
      </c>
      <c r="X2101" t="s">
        <v>56</v>
      </c>
      <c r="AA2101" t="s">
        <v>40</v>
      </c>
      <c r="AC2101" t="s">
        <v>40</v>
      </c>
      <c r="AE2101" t="s">
        <v>40</v>
      </c>
      <c r="AF2101" t="s">
        <v>40</v>
      </c>
      <c r="AG2101" t="s">
        <v>40</v>
      </c>
      <c r="AH2101" t="s">
        <v>40</v>
      </c>
      <c r="AI2101" t="s">
        <v>40</v>
      </c>
    </row>
    <row r="2102" spans="1:39" x14ac:dyDescent="0.3">
      <c r="A2102">
        <v>2020</v>
      </c>
      <c r="B2102">
        <v>6</v>
      </c>
      <c r="C2102" t="str">
        <f t="shared" si="64"/>
        <v>6/01/2020</v>
      </c>
      <c r="D2102" s="1" t="str">
        <f t="shared" si="65"/>
        <v>6/01/2020</v>
      </c>
      <c r="E2102" t="s">
        <v>55</v>
      </c>
      <c r="F2102" t="s">
        <v>38</v>
      </c>
      <c r="G2102" t="s">
        <v>39</v>
      </c>
      <c r="H2102">
        <v>235</v>
      </c>
      <c r="I2102">
        <v>210</v>
      </c>
      <c r="L2102">
        <v>0</v>
      </c>
      <c r="M2102">
        <v>0</v>
      </c>
      <c r="N2102">
        <v>0</v>
      </c>
      <c r="O2102">
        <v>0</v>
      </c>
      <c r="R2102">
        <v>25</v>
      </c>
      <c r="W2102" s="1">
        <v>44160</v>
      </c>
      <c r="X2102" t="s">
        <v>56</v>
      </c>
      <c r="AA2102" t="s">
        <v>40</v>
      </c>
      <c r="AB2102" t="s">
        <v>40</v>
      </c>
      <c r="AG2102" t="s">
        <v>40</v>
      </c>
      <c r="AH2102" t="s">
        <v>40</v>
      </c>
      <c r="AJ2102" t="s">
        <v>40</v>
      </c>
      <c r="AK2102" t="s">
        <v>40</v>
      </c>
      <c r="AL2102" t="s">
        <v>40</v>
      </c>
      <c r="AM2102" t="s">
        <v>40</v>
      </c>
    </row>
    <row r="2103" spans="1:39" x14ac:dyDescent="0.3">
      <c r="A2103">
        <v>2020</v>
      </c>
      <c r="B2103">
        <v>6</v>
      </c>
      <c r="C2103" t="str">
        <f t="shared" si="64"/>
        <v>6/01/2020</v>
      </c>
      <c r="D2103" s="1" t="str">
        <f t="shared" si="65"/>
        <v>6/01/2020</v>
      </c>
      <c r="E2103" t="s">
        <v>55</v>
      </c>
      <c r="F2103" t="s">
        <v>38</v>
      </c>
      <c r="G2103" t="s">
        <v>41</v>
      </c>
      <c r="H2103">
        <v>537</v>
      </c>
      <c r="I2103">
        <v>102</v>
      </c>
      <c r="J2103">
        <v>0</v>
      </c>
      <c r="K2103">
        <v>21</v>
      </c>
      <c r="M2103">
        <v>0</v>
      </c>
      <c r="R2103">
        <v>29</v>
      </c>
      <c r="U2103">
        <v>13</v>
      </c>
      <c r="W2103" s="1">
        <v>44160</v>
      </c>
      <c r="X2103" t="s">
        <v>56</v>
      </c>
      <c r="AC2103" t="s">
        <v>40</v>
      </c>
      <c r="AE2103" t="s">
        <v>40</v>
      </c>
      <c r="AF2103" t="s">
        <v>40</v>
      </c>
      <c r="AG2103" t="s">
        <v>40</v>
      </c>
      <c r="AH2103" t="s">
        <v>40</v>
      </c>
      <c r="AJ2103" t="s">
        <v>40</v>
      </c>
      <c r="AK2103" t="s">
        <v>40</v>
      </c>
      <c r="AM2103" t="s">
        <v>40</v>
      </c>
    </row>
    <row r="2104" spans="1:39" x14ac:dyDescent="0.3">
      <c r="A2104">
        <v>2020</v>
      </c>
      <c r="B2104">
        <v>6</v>
      </c>
      <c r="C2104" t="str">
        <f t="shared" si="64"/>
        <v>6/01/2020</v>
      </c>
      <c r="D2104" s="1" t="str">
        <f t="shared" si="65"/>
        <v>6/01/2020</v>
      </c>
      <c r="E2104" t="s">
        <v>55</v>
      </c>
      <c r="F2104" t="s">
        <v>38</v>
      </c>
      <c r="G2104" t="s">
        <v>42</v>
      </c>
      <c r="H2104">
        <v>850</v>
      </c>
      <c r="I2104">
        <v>273</v>
      </c>
      <c r="K2104">
        <v>25</v>
      </c>
      <c r="M2104">
        <v>0</v>
      </c>
      <c r="R2104">
        <v>50</v>
      </c>
      <c r="S2104">
        <v>33</v>
      </c>
      <c r="U2104">
        <v>62</v>
      </c>
      <c r="V2104">
        <v>55</v>
      </c>
      <c r="W2104" s="1">
        <v>44160</v>
      </c>
      <c r="X2104" t="s">
        <v>56</v>
      </c>
      <c r="AA2104" t="s">
        <v>40</v>
      </c>
      <c r="AC2104" t="s">
        <v>40</v>
      </c>
      <c r="AE2104" t="s">
        <v>40</v>
      </c>
      <c r="AF2104" t="s">
        <v>40</v>
      </c>
      <c r="AG2104" t="s">
        <v>40</v>
      </c>
      <c r="AH2104" t="s">
        <v>40</v>
      </c>
      <c r="AK2104" t="s">
        <v>40</v>
      </c>
    </row>
    <row r="2105" spans="1:39" x14ac:dyDescent="0.3">
      <c r="A2105">
        <v>2020</v>
      </c>
      <c r="B2105">
        <v>6</v>
      </c>
      <c r="C2105" t="str">
        <f t="shared" si="64"/>
        <v>6/01/2020</v>
      </c>
      <c r="D2105" s="1" t="str">
        <f t="shared" si="65"/>
        <v>6/01/2020</v>
      </c>
      <c r="E2105" t="s">
        <v>55</v>
      </c>
      <c r="F2105" t="s">
        <v>38</v>
      </c>
      <c r="G2105" t="s">
        <v>43</v>
      </c>
      <c r="H2105" s="2">
        <v>1079</v>
      </c>
      <c r="I2105">
        <v>651</v>
      </c>
      <c r="K2105">
        <v>64</v>
      </c>
      <c r="L2105">
        <v>22</v>
      </c>
      <c r="M2105">
        <v>0</v>
      </c>
      <c r="R2105">
        <v>59</v>
      </c>
      <c r="S2105">
        <v>91</v>
      </c>
      <c r="T2105">
        <v>27</v>
      </c>
      <c r="U2105">
        <v>166</v>
      </c>
      <c r="V2105">
        <v>155</v>
      </c>
      <c r="W2105" s="1">
        <v>44160</v>
      </c>
      <c r="X2105" t="s">
        <v>56</v>
      </c>
      <c r="AA2105" t="s">
        <v>40</v>
      </c>
      <c r="AE2105" t="s">
        <v>40</v>
      </c>
      <c r="AF2105" t="s">
        <v>40</v>
      </c>
      <c r="AG2105" t="s">
        <v>40</v>
      </c>
      <c r="AH2105" t="s">
        <v>40</v>
      </c>
    </row>
    <row r="2106" spans="1:39" x14ac:dyDescent="0.3">
      <c r="A2106">
        <v>2020</v>
      </c>
      <c r="B2106">
        <v>6</v>
      </c>
      <c r="C2106" t="str">
        <f t="shared" si="64"/>
        <v>6/01/2020</v>
      </c>
      <c r="D2106" s="1" t="str">
        <f t="shared" si="65"/>
        <v>6/01/2020</v>
      </c>
      <c r="E2106" t="s">
        <v>55</v>
      </c>
      <c r="F2106" t="s">
        <v>38</v>
      </c>
      <c r="G2106" t="s">
        <v>44</v>
      </c>
      <c r="H2106" s="2">
        <v>1660</v>
      </c>
      <c r="I2106" s="2">
        <v>1341</v>
      </c>
      <c r="J2106">
        <v>15</v>
      </c>
      <c r="K2106">
        <v>149</v>
      </c>
      <c r="L2106">
        <v>65</v>
      </c>
      <c r="N2106">
        <v>10</v>
      </c>
      <c r="P2106">
        <v>17</v>
      </c>
      <c r="Q2106">
        <v>18</v>
      </c>
      <c r="R2106">
        <v>52</v>
      </c>
      <c r="S2106">
        <v>252</v>
      </c>
      <c r="T2106">
        <v>42</v>
      </c>
      <c r="U2106">
        <v>429</v>
      </c>
      <c r="V2106">
        <v>405</v>
      </c>
      <c r="W2106" s="1">
        <v>44160</v>
      </c>
      <c r="X2106" t="s">
        <v>56</v>
      </c>
      <c r="AD2106" t="s">
        <v>40</v>
      </c>
      <c r="AF2106" t="s">
        <v>40</v>
      </c>
    </row>
    <row r="2107" spans="1:39" x14ac:dyDescent="0.3">
      <c r="A2107">
        <v>2020</v>
      </c>
      <c r="B2107">
        <v>6</v>
      </c>
      <c r="C2107" t="str">
        <f t="shared" si="64"/>
        <v>6/01/2020</v>
      </c>
      <c r="D2107" s="1" t="str">
        <f t="shared" si="65"/>
        <v>6/01/2020</v>
      </c>
      <c r="E2107" t="s">
        <v>55</v>
      </c>
      <c r="F2107" t="s">
        <v>38</v>
      </c>
      <c r="G2107" t="s">
        <v>45</v>
      </c>
      <c r="H2107">
        <v>53</v>
      </c>
      <c r="I2107">
        <v>29</v>
      </c>
      <c r="L2107">
        <v>0</v>
      </c>
      <c r="M2107">
        <v>0</v>
      </c>
      <c r="N2107">
        <v>0</v>
      </c>
      <c r="Q2107">
        <v>0</v>
      </c>
      <c r="S2107">
        <v>0</v>
      </c>
      <c r="V2107">
        <v>0</v>
      </c>
      <c r="W2107" s="1">
        <v>44160</v>
      </c>
      <c r="X2107" t="s">
        <v>56</v>
      </c>
      <c r="AA2107" t="s">
        <v>40</v>
      </c>
      <c r="AB2107" t="s">
        <v>40</v>
      </c>
      <c r="AF2107" t="s">
        <v>40</v>
      </c>
      <c r="AG2107" t="s">
        <v>40</v>
      </c>
      <c r="AI2107" t="s">
        <v>40</v>
      </c>
      <c r="AK2107" t="s">
        <v>40</v>
      </c>
      <c r="AL2107" t="s">
        <v>40</v>
      </c>
    </row>
    <row r="2108" spans="1:39" x14ac:dyDescent="0.3">
      <c r="A2108">
        <v>2020</v>
      </c>
      <c r="B2108">
        <v>6</v>
      </c>
      <c r="C2108" t="str">
        <f t="shared" si="64"/>
        <v>6/01/2020</v>
      </c>
      <c r="D2108" s="1" t="str">
        <f t="shared" si="65"/>
        <v>6/01/2020</v>
      </c>
      <c r="E2108" t="s">
        <v>55</v>
      </c>
      <c r="F2108" t="s">
        <v>38</v>
      </c>
      <c r="G2108" t="s">
        <v>46</v>
      </c>
      <c r="H2108" s="2">
        <v>2402</v>
      </c>
      <c r="I2108" s="2">
        <v>2212</v>
      </c>
      <c r="J2108">
        <v>21</v>
      </c>
      <c r="K2108">
        <v>400</v>
      </c>
      <c r="L2108">
        <v>115</v>
      </c>
      <c r="N2108">
        <v>27</v>
      </c>
      <c r="O2108">
        <v>36</v>
      </c>
      <c r="P2108">
        <v>24</v>
      </c>
      <c r="Q2108">
        <v>28</v>
      </c>
      <c r="R2108">
        <v>39</v>
      </c>
      <c r="S2108">
        <v>403</v>
      </c>
      <c r="T2108">
        <v>77</v>
      </c>
      <c r="U2108">
        <v>658</v>
      </c>
      <c r="V2108">
        <v>618</v>
      </c>
      <c r="W2108" s="1">
        <v>44160</v>
      </c>
      <c r="X2108" t="s">
        <v>56</v>
      </c>
      <c r="AD2108" t="s">
        <v>40</v>
      </c>
    </row>
    <row r="2109" spans="1:39" x14ac:dyDescent="0.3">
      <c r="A2109">
        <v>2020</v>
      </c>
      <c r="B2109">
        <v>6</v>
      </c>
      <c r="C2109" t="str">
        <f t="shared" si="64"/>
        <v>6/01/2020</v>
      </c>
      <c r="D2109" s="1" t="str">
        <f t="shared" si="65"/>
        <v>6/01/2020</v>
      </c>
      <c r="E2109" t="s">
        <v>55</v>
      </c>
      <c r="F2109" t="s">
        <v>38</v>
      </c>
      <c r="G2109" t="s">
        <v>47</v>
      </c>
      <c r="H2109" s="2">
        <v>2510</v>
      </c>
      <c r="I2109" s="2">
        <v>2428</v>
      </c>
      <c r="J2109">
        <v>20</v>
      </c>
      <c r="K2109">
        <v>503</v>
      </c>
      <c r="L2109">
        <v>134</v>
      </c>
      <c r="M2109">
        <v>30</v>
      </c>
      <c r="N2109">
        <v>33</v>
      </c>
      <c r="O2109">
        <v>44</v>
      </c>
      <c r="P2109">
        <v>31</v>
      </c>
      <c r="Q2109">
        <v>54</v>
      </c>
      <c r="R2109">
        <v>14</v>
      </c>
      <c r="S2109">
        <v>450</v>
      </c>
      <c r="T2109">
        <v>108</v>
      </c>
      <c r="U2109">
        <v>662</v>
      </c>
      <c r="V2109">
        <v>625</v>
      </c>
      <c r="W2109" s="1">
        <v>44160</v>
      </c>
      <c r="X2109" t="s">
        <v>56</v>
      </c>
    </row>
    <row r="2110" spans="1:39" x14ac:dyDescent="0.3">
      <c r="A2110">
        <v>2020</v>
      </c>
      <c r="B2110">
        <v>6</v>
      </c>
      <c r="C2110" t="str">
        <f t="shared" si="64"/>
        <v>6/01/2020</v>
      </c>
      <c r="D2110" s="1" t="str">
        <f t="shared" si="65"/>
        <v>6/01/2020</v>
      </c>
      <c r="E2110" t="s">
        <v>55</v>
      </c>
      <c r="F2110" t="s">
        <v>38</v>
      </c>
      <c r="G2110" t="s">
        <v>48</v>
      </c>
      <c r="H2110" s="2">
        <v>2248</v>
      </c>
      <c r="I2110" s="2">
        <v>2190</v>
      </c>
      <c r="J2110">
        <v>21</v>
      </c>
      <c r="K2110">
        <v>390</v>
      </c>
      <c r="L2110">
        <v>136</v>
      </c>
      <c r="M2110">
        <v>73</v>
      </c>
      <c r="N2110">
        <v>40</v>
      </c>
      <c r="O2110">
        <v>61</v>
      </c>
      <c r="P2110">
        <v>43</v>
      </c>
      <c r="Q2110">
        <v>42</v>
      </c>
      <c r="R2110">
        <v>13</v>
      </c>
      <c r="S2110">
        <v>454</v>
      </c>
      <c r="T2110">
        <v>109</v>
      </c>
      <c r="U2110">
        <v>465</v>
      </c>
      <c r="V2110">
        <v>427</v>
      </c>
      <c r="W2110" s="1">
        <v>44160</v>
      </c>
      <c r="X2110" t="s">
        <v>56</v>
      </c>
    </row>
    <row r="2111" spans="1:39" x14ac:dyDescent="0.3">
      <c r="A2111">
        <v>2020</v>
      </c>
      <c r="B2111">
        <v>6</v>
      </c>
      <c r="C2111" t="str">
        <f t="shared" si="64"/>
        <v>6/01/2020</v>
      </c>
      <c r="D2111" s="1" t="str">
        <f t="shared" si="65"/>
        <v>6/01/2020</v>
      </c>
      <c r="E2111" t="s">
        <v>55</v>
      </c>
      <c r="F2111" t="s">
        <v>38</v>
      </c>
      <c r="G2111" t="s">
        <v>49</v>
      </c>
      <c r="H2111" s="2">
        <v>1878</v>
      </c>
      <c r="I2111" s="2">
        <v>1838</v>
      </c>
      <c r="J2111">
        <v>18</v>
      </c>
      <c r="K2111">
        <v>228</v>
      </c>
      <c r="L2111">
        <v>55</v>
      </c>
      <c r="M2111">
        <v>138</v>
      </c>
      <c r="N2111">
        <v>46</v>
      </c>
      <c r="O2111">
        <v>70</v>
      </c>
      <c r="P2111">
        <v>23</v>
      </c>
      <c r="Q2111">
        <v>37</v>
      </c>
      <c r="R2111">
        <v>15</v>
      </c>
      <c r="S2111">
        <v>452</v>
      </c>
      <c r="T2111">
        <v>129</v>
      </c>
      <c r="U2111">
        <v>292</v>
      </c>
      <c r="V2111">
        <v>276</v>
      </c>
      <c r="W2111" s="1">
        <v>44160</v>
      </c>
      <c r="X2111" t="s">
        <v>56</v>
      </c>
    </row>
    <row r="2112" spans="1:39" x14ac:dyDescent="0.3">
      <c r="A2112">
        <v>2020</v>
      </c>
      <c r="B2112">
        <v>6</v>
      </c>
      <c r="C2112" t="str">
        <f t="shared" si="64"/>
        <v>6/01/2020</v>
      </c>
      <c r="D2112" s="1" t="str">
        <f t="shared" si="65"/>
        <v>6/01/2020</v>
      </c>
      <c r="E2112" t="s">
        <v>55</v>
      </c>
      <c r="F2112" t="s">
        <v>50</v>
      </c>
      <c r="G2112" t="s">
        <v>39</v>
      </c>
      <c r="H2112">
        <v>11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S2112">
        <v>0</v>
      </c>
      <c r="T2112">
        <v>0</v>
      </c>
      <c r="U2112">
        <v>0</v>
      </c>
      <c r="V2112">
        <v>0</v>
      </c>
      <c r="W2112" s="1">
        <v>44160</v>
      </c>
      <c r="X2112" t="s">
        <v>56</v>
      </c>
      <c r="Z2112" t="s">
        <v>40</v>
      </c>
      <c r="AI2112" t="s">
        <v>40</v>
      </c>
    </row>
    <row r="2113" spans="1:39" x14ac:dyDescent="0.3">
      <c r="A2113">
        <v>2020</v>
      </c>
      <c r="B2113">
        <v>6</v>
      </c>
      <c r="C2113" t="str">
        <f t="shared" si="64"/>
        <v>6/01/2020</v>
      </c>
      <c r="D2113" s="1" t="str">
        <f t="shared" si="65"/>
        <v>6/01/2020</v>
      </c>
      <c r="E2113" t="s">
        <v>55</v>
      </c>
      <c r="F2113" t="s">
        <v>50</v>
      </c>
      <c r="G2113" t="s">
        <v>41</v>
      </c>
      <c r="H2113">
        <v>27</v>
      </c>
      <c r="J2113">
        <v>0</v>
      </c>
      <c r="L2113">
        <v>0</v>
      </c>
      <c r="M2113">
        <v>0</v>
      </c>
      <c r="O2113">
        <v>0</v>
      </c>
      <c r="P2113">
        <v>0</v>
      </c>
      <c r="Q2113">
        <v>0</v>
      </c>
      <c r="S2113">
        <v>0</v>
      </c>
      <c r="T2113">
        <v>0</v>
      </c>
      <c r="W2113" s="1">
        <v>44160</v>
      </c>
      <c r="X2113" t="s">
        <v>56</v>
      </c>
      <c r="Z2113" t="s">
        <v>40</v>
      </c>
      <c r="AB2113" t="s">
        <v>40</v>
      </c>
      <c r="AE2113" t="s">
        <v>40</v>
      </c>
      <c r="AI2113" t="s">
        <v>40</v>
      </c>
      <c r="AL2113" t="s">
        <v>40</v>
      </c>
      <c r="AM2113" t="s">
        <v>40</v>
      </c>
    </row>
    <row r="2114" spans="1:39" x14ac:dyDescent="0.3">
      <c r="A2114">
        <v>2020</v>
      </c>
      <c r="B2114">
        <v>6</v>
      </c>
      <c r="C2114" t="str">
        <f t="shared" si="64"/>
        <v>6/01/2020</v>
      </c>
      <c r="D2114" s="1" t="str">
        <f t="shared" si="65"/>
        <v>6/01/2020</v>
      </c>
      <c r="E2114" t="s">
        <v>55</v>
      </c>
      <c r="F2114" t="s">
        <v>50</v>
      </c>
      <c r="G2114" t="s">
        <v>42</v>
      </c>
      <c r="H2114">
        <v>117</v>
      </c>
      <c r="I2114">
        <v>48</v>
      </c>
      <c r="K2114">
        <v>0</v>
      </c>
      <c r="M2114">
        <v>0</v>
      </c>
      <c r="N2114">
        <v>0</v>
      </c>
      <c r="O2114">
        <v>0</v>
      </c>
      <c r="Q2114">
        <v>0</v>
      </c>
      <c r="R2114">
        <v>14</v>
      </c>
      <c r="T2114">
        <v>0</v>
      </c>
      <c r="W2114" s="1">
        <v>44160</v>
      </c>
      <c r="X2114" t="s">
        <v>56</v>
      </c>
      <c r="AA2114" t="s">
        <v>40</v>
      </c>
      <c r="AC2114" t="s">
        <v>40</v>
      </c>
      <c r="AG2114" t="s">
        <v>40</v>
      </c>
      <c r="AJ2114" t="s">
        <v>40</v>
      </c>
      <c r="AL2114" t="s">
        <v>40</v>
      </c>
      <c r="AM2114" t="s">
        <v>40</v>
      </c>
    </row>
    <row r="2115" spans="1:39" x14ac:dyDescent="0.3">
      <c r="A2115">
        <v>2020</v>
      </c>
      <c r="B2115">
        <v>6</v>
      </c>
      <c r="C2115" t="str">
        <f t="shared" ref="C2115:C2178" si="66">CONCATENATE(B2115,"/01/",A2115)</f>
        <v>6/01/2020</v>
      </c>
      <c r="D2115" s="1" t="str">
        <f t="shared" ref="D2115:D2178" si="67">C2115</f>
        <v>6/01/2020</v>
      </c>
      <c r="E2115" t="s">
        <v>55</v>
      </c>
      <c r="F2115" t="s">
        <v>50</v>
      </c>
      <c r="G2115" t="s">
        <v>43</v>
      </c>
      <c r="H2115">
        <v>119</v>
      </c>
      <c r="I2115">
        <v>72</v>
      </c>
      <c r="M2115">
        <v>0</v>
      </c>
      <c r="O2115">
        <v>0</v>
      </c>
      <c r="P2115">
        <v>0</v>
      </c>
      <c r="S2115">
        <v>12</v>
      </c>
      <c r="U2115">
        <v>17</v>
      </c>
      <c r="V2115">
        <v>15</v>
      </c>
      <c r="W2115" s="1">
        <v>44160</v>
      </c>
      <c r="X2115" t="s">
        <v>56</v>
      </c>
      <c r="AA2115" t="s">
        <v>40</v>
      </c>
      <c r="AB2115" t="s">
        <v>40</v>
      </c>
      <c r="AC2115" t="s">
        <v>40</v>
      </c>
      <c r="AE2115" t="s">
        <v>40</v>
      </c>
      <c r="AH2115" t="s">
        <v>40</v>
      </c>
      <c r="AI2115" t="s">
        <v>40</v>
      </c>
      <c r="AK2115" t="s">
        <v>40</v>
      </c>
    </row>
    <row r="2116" spans="1:39" x14ac:dyDescent="0.3">
      <c r="A2116">
        <v>2020</v>
      </c>
      <c r="B2116">
        <v>6</v>
      </c>
      <c r="C2116" t="str">
        <f t="shared" si="66"/>
        <v>6/01/2020</v>
      </c>
      <c r="D2116" s="1" t="str">
        <f t="shared" si="67"/>
        <v>6/01/2020</v>
      </c>
      <c r="E2116" t="s">
        <v>55</v>
      </c>
      <c r="F2116" t="s">
        <v>50</v>
      </c>
      <c r="G2116" t="s">
        <v>44</v>
      </c>
      <c r="H2116">
        <v>157</v>
      </c>
      <c r="I2116">
        <v>122</v>
      </c>
      <c r="L2116">
        <v>11</v>
      </c>
      <c r="M2116">
        <v>0</v>
      </c>
      <c r="P2116">
        <v>0</v>
      </c>
      <c r="S2116">
        <v>19</v>
      </c>
      <c r="U2116">
        <v>28</v>
      </c>
      <c r="V2116">
        <v>27</v>
      </c>
      <c r="W2116" s="1">
        <v>44160</v>
      </c>
      <c r="X2116" t="s">
        <v>56</v>
      </c>
      <c r="AA2116" t="s">
        <v>40</v>
      </c>
      <c r="AB2116" t="s">
        <v>40</v>
      </c>
      <c r="AE2116" t="s">
        <v>40</v>
      </c>
      <c r="AF2116" t="s">
        <v>40</v>
      </c>
      <c r="AH2116" t="s">
        <v>40</v>
      </c>
      <c r="AI2116" t="s">
        <v>40</v>
      </c>
      <c r="AK2116" t="s">
        <v>40</v>
      </c>
    </row>
    <row r="2117" spans="1:39" x14ac:dyDescent="0.3">
      <c r="A2117">
        <v>2020</v>
      </c>
      <c r="B2117">
        <v>6</v>
      </c>
      <c r="C2117" t="str">
        <f t="shared" si="66"/>
        <v>6/01/2020</v>
      </c>
      <c r="D2117" s="1" t="str">
        <f t="shared" si="67"/>
        <v>6/01/2020</v>
      </c>
      <c r="E2117" t="s">
        <v>55</v>
      </c>
      <c r="F2117" t="s">
        <v>50</v>
      </c>
      <c r="G2117" t="s">
        <v>45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T2117">
        <v>0</v>
      </c>
      <c r="U2117">
        <v>0</v>
      </c>
      <c r="V2117">
        <v>0</v>
      </c>
      <c r="W2117" s="1">
        <v>44160</v>
      </c>
      <c r="X2117" t="s">
        <v>56</v>
      </c>
      <c r="Y2117" t="s">
        <v>40</v>
      </c>
      <c r="Z2117" t="s">
        <v>40</v>
      </c>
      <c r="AJ2117" t="s">
        <v>40</v>
      </c>
    </row>
    <row r="2118" spans="1:39" x14ac:dyDescent="0.3">
      <c r="A2118">
        <v>2020</v>
      </c>
      <c r="B2118">
        <v>6</v>
      </c>
      <c r="C2118" t="str">
        <f t="shared" si="66"/>
        <v>6/01/2020</v>
      </c>
      <c r="D2118" s="1" t="str">
        <f t="shared" si="67"/>
        <v>6/01/2020</v>
      </c>
      <c r="E2118" t="s">
        <v>55</v>
      </c>
      <c r="F2118" t="s">
        <v>50</v>
      </c>
      <c r="G2118" t="s">
        <v>46</v>
      </c>
      <c r="H2118">
        <v>236</v>
      </c>
      <c r="I2118">
        <v>211</v>
      </c>
      <c r="K2118">
        <v>23</v>
      </c>
      <c r="L2118">
        <v>15</v>
      </c>
      <c r="M2118">
        <v>0</v>
      </c>
      <c r="S2118">
        <v>39</v>
      </c>
      <c r="U2118">
        <v>67</v>
      </c>
      <c r="V2118">
        <v>65</v>
      </c>
      <c r="W2118" s="1">
        <v>44160</v>
      </c>
      <c r="X2118" t="s">
        <v>56</v>
      </c>
      <c r="AA2118" t="s">
        <v>40</v>
      </c>
      <c r="AE2118" t="s">
        <v>40</v>
      </c>
      <c r="AF2118" t="s">
        <v>40</v>
      </c>
      <c r="AG2118" t="s">
        <v>40</v>
      </c>
      <c r="AH2118" t="s">
        <v>40</v>
      </c>
      <c r="AI2118" t="s">
        <v>40</v>
      </c>
      <c r="AK2118" t="s">
        <v>40</v>
      </c>
    </row>
    <row r="2119" spans="1:39" x14ac:dyDescent="0.3">
      <c r="A2119">
        <v>2020</v>
      </c>
      <c r="B2119">
        <v>6</v>
      </c>
      <c r="C2119" t="str">
        <f t="shared" si="66"/>
        <v>6/01/2020</v>
      </c>
      <c r="D2119" s="1" t="str">
        <f t="shared" si="67"/>
        <v>6/01/2020</v>
      </c>
      <c r="E2119" t="s">
        <v>55</v>
      </c>
      <c r="F2119" t="s">
        <v>50</v>
      </c>
      <c r="G2119" t="s">
        <v>47</v>
      </c>
      <c r="H2119">
        <v>205</v>
      </c>
      <c r="I2119">
        <v>189</v>
      </c>
      <c r="K2119">
        <v>37</v>
      </c>
      <c r="L2119">
        <v>12</v>
      </c>
      <c r="M2119">
        <v>0</v>
      </c>
      <c r="S2119">
        <v>32</v>
      </c>
      <c r="U2119">
        <v>48</v>
      </c>
      <c r="V2119">
        <v>46</v>
      </c>
      <c r="W2119" s="1">
        <v>44160</v>
      </c>
      <c r="X2119" t="s">
        <v>56</v>
      </c>
      <c r="AA2119" t="s">
        <v>40</v>
      </c>
      <c r="AE2119" t="s">
        <v>40</v>
      </c>
      <c r="AF2119" t="s">
        <v>40</v>
      </c>
      <c r="AG2119" t="s">
        <v>40</v>
      </c>
      <c r="AH2119" t="s">
        <v>40</v>
      </c>
      <c r="AI2119" t="s">
        <v>40</v>
      </c>
      <c r="AK2119" t="s">
        <v>40</v>
      </c>
    </row>
    <row r="2120" spans="1:39" x14ac:dyDescent="0.3">
      <c r="A2120">
        <v>2020</v>
      </c>
      <c r="B2120">
        <v>6</v>
      </c>
      <c r="C2120" t="str">
        <f t="shared" si="66"/>
        <v>6/01/2020</v>
      </c>
      <c r="D2120" s="1" t="str">
        <f t="shared" si="67"/>
        <v>6/01/2020</v>
      </c>
      <c r="E2120" t="s">
        <v>55</v>
      </c>
      <c r="F2120" t="s">
        <v>50</v>
      </c>
      <c r="G2120" t="s">
        <v>48</v>
      </c>
      <c r="H2120">
        <v>155</v>
      </c>
      <c r="I2120">
        <v>148</v>
      </c>
      <c r="K2120">
        <v>28</v>
      </c>
      <c r="R2120">
        <v>0</v>
      </c>
      <c r="S2120">
        <v>30</v>
      </c>
      <c r="U2120">
        <v>35</v>
      </c>
      <c r="V2120">
        <v>33</v>
      </c>
      <c r="W2120" s="1">
        <v>44160</v>
      </c>
      <c r="X2120" t="s">
        <v>56</v>
      </c>
      <c r="AA2120" t="s">
        <v>40</v>
      </c>
      <c r="AC2120" t="s">
        <v>40</v>
      </c>
      <c r="AD2120" t="s">
        <v>40</v>
      </c>
      <c r="AE2120" t="s">
        <v>40</v>
      </c>
      <c r="AF2120" t="s">
        <v>40</v>
      </c>
      <c r="AG2120" t="s">
        <v>40</v>
      </c>
      <c r="AH2120" t="s">
        <v>40</v>
      </c>
      <c r="AK2120" t="s">
        <v>40</v>
      </c>
    </row>
    <row r="2121" spans="1:39" x14ac:dyDescent="0.3">
      <c r="A2121">
        <v>2020</v>
      </c>
      <c r="B2121">
        <v>6</v>
      </c>
      <c r="C2121" t="str">
        <f t="shared" si="66"/>
        <v>6/01/2020</v>
      </c>
      <c r="D2121" s="1" t="str">
        <f t="shared" si="67"/>
        <v>6/01/2020</v>
      </c>
      <c r="E2121" t="s">
        <v>55</v>
      </c>
      <c r="F2121" t="s">
        <v>50</v>
      </c>
      <c r="G2121" t="s">
        <v>49</v>
      </c>
      <c r="H2121">
        <v>76</v>
      </c>
      <c r="I2121">
        <v>74</v>
      </c>
      <c r="K2121">
        <v>10</v>
      </c>
      <c r="P2121">
        <v>0</v>
      </c>
      <c r="R2121">
        <v>0</v>
      </c>
      <c r="S2121">
        <v>21</v>
      </c>
      <c r="U2121">
        <v>13</v>
      </c>
      <c r="V2121">
        <v>12</v>
      </c>
      <c r="W2121" s="1">
        <v>44160</v>
      </c>
      <c r="X2121" t="s">
        <v>56</v>
      </c>
      <c r="AA2121" t="s">
        <v>40</v>
      </c>
      <c r="AC2121" t="s">
        <v>40</v>
      </c>
      <c r="AD2121" t="s">
        <v>40</v>
      </c>
      <c r="AE2121" t="s">
        <v>40</v>
      </c>
      <c r="AF2121" t="s">
        <v>40</v>
      </c>
      <c r="AH2121" t="s">
        <v>40</v>
      </c>
      <c r="AK2121" t="s">
        <v>40</v>
      </c>
    </row>
    <row r="2122" spans="1:39" x14ac:dyDescent="0.3">
      <c r="A2122">
        <v>2020</v>
      </c>
      <c r="B2122">
        <v>6</v>
      </c>
      <c r="C2122" t="str">
        <f t="shared" si="66"/>
        <v>6/01/2020</v>
      </c>
      <c r="D2122" s="1" t="str">
        <f t="shared" si="67"/>
        <v>6/01/2020</v>
      </c>
      <c r="E2122" t="s">
        <v>55</v>
      </c>
      <c r="F2122" t="s">
        <v>51</v>
      </c>
      <c r="G2122" t="s">
        <v>39</v>
      </c>
      <c r="H2122">
        <v>22</v>
      </c>
      <c r="I2122">
        <v>17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S2122">
        <v>0</v>
      </c>
      <c r="T2122">
        <v>0</v>
      </c>
      <c r="U2122">
        <v>0</v>
      </c>
      <c r="V2122">
        <v>0</v>
      </c>
      <c r="W2122" s="1">
        <v>44160</v>
      </c>
      <c r="X2122" t="s">
        <v>56</v>
      </c>
      <c r="AI2122" t="s">
        <v>40</v>
      </c>
    </row>
    <row r="2123" spans="1:39" x14ac:dyDescent="0.3">
      <c r="A2123">
        <v>2020</v>
      </c>
      <c r="B2123">
        <v>6</v>
      </c>
      <c r="C2123" t="str">
        <f t="shared" si="66"/>
        <v>6/01/2020</v>
      </c>
      <c r="D2123" s="1" t="str">
        <f t="shared" si="67"/>
        <v>6/01/2020</v>
      </c>
      <c r="E2123" t="s">
        <v>55</v>
      </c>
      <c r="F2123" t="s">
        <v>51</v>
      </c>
      <c r="G2123" t="s">
        <v>41</v>
      </c>
      <c r="H2123">
        <v>39</v>
      </c>
      <c r="I2123">
        <v>12</v>
      </c>
      <c r="J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T2123">
        <v>0</v>
      </c>
      <c r="U2123">
        <v>0</v>
      </c>
      <c r="V2123">
        <v>0</v>
      </c>
      <c r="W2123" s="1">
        <v>44160</v>
      </c>
      <c r="X2123" t="s">
        <v>56</v>
      </c>
      <c r="AB2123" t="s">
        <v>40</v>
      </c>
      <c r="AC2123" t="s">
        <v>40</v>
      </c>
      <c r="AI2123" t="s">
        <v>40</v>
      </c>
      <c r="AJ2123" t="s">
        <v>40</v>
      </c>
    </row>
    <row r="2124" spans="1:39" x14ac:dyDescent="0.3">
      <c r="A2124">
        <v>2020</v>
      </c>
      <c r="B2124">
        <v>6</v>
      </c>
      <c r="C2124" t="str">
        <f t="shared" si="66"/>
        <v>6/01/2020</v>
      </c>
      <c r="D2124" s="1" t="str">
        <f t="shared" si="67"/>
        <v>6/01/2020</v>
      </c>
      <c r="E2124" t="s">
        <v>55</v>
      </c>
      <c r="F2124" t="s">
        <v>51</v>
      </c>
      <c r="G2124" t="s">
        <v>42</v>
      </c>
      <c r="H2124">
        <v>82</v>
      </c>
      <c r="I2124">
        <v>28</v>
      </c>
      <c r="J2124">
        <v>0</v>
      </c>
      <c r="M2124">
        <v>0</v>
      </c>
      <c r="N2124">
        <v>0</v>
      </c>
      <c r="O2124">
        <v>0</v>
      </c>
      <c r="Q2124">
        <v>0</v>
      </c>
      <c r="W2124" s="1">
        <v>44160</v>
      </c>
      <c r="X2124" t="s">
        <v>56</v>
      </c>
      <c r="AB2124" t="s">
        <v>40</v>
      </c>
      <c r="AC2124" t="s">
        <v>40</v>
      </c>
      <c r="AG2124" t="s">
        <v>40</v>
      </c>
      <c r="AI2124" t="s">
        <v>40</v>
      </c>
      <c r="AJ2124" t="s">
        <v>40</v>
      </c>
      <c r="AK2124" t="s">
        <v>40</v>
      </c>
      <c r="AL2124" t="s">
        <v>40</v>
      </c>
      <c r="AM2124" t="s">
        <v>40</v>
      </c>
    </row>
    <row r="2125" spans="1:39" x14ac:dyDescent="0.3">
      <c r="A2125">
        <v>2020</v>
      </c>
      <c r="B2125">
        <v>6</v>
      </c>
      <c r="C2125" t="str">
        <f t="shared" si="66"/>
        <v>6/01/2020</v>
      </c>
      <c r="D2125" s="1" t="str">
        <f t="shared" si="67"/>
        <v>6/01/2020</v>
      </c>
      <c r="E2125" t="s">
        <v>55</v>
      </c>
      <c r="F2125" t="s">
        <v>51</v>
      </c>
      <c r="G2125" t="s">
        <v>43</v>
      </c>
      <c r="H2125">
        <v>142</v>
      </c>
      <c r="I2125">
        <v>89</v>
      </c>
      <c r="K2125">
        <v>17</v>
      </c>
      <c r="M2125">
        <v>0</v>
      </c>
      <c r="R2125">
        <v>11</v>
      </c>
      <c r="S2125">
        <v>11</v>
      </c>
      <c r="U2125">
        <v>10</v>
      </c>
      <c r="V2125">
        <v>10</v>
      </c>
      <c r="W2125" s="1">
        <v>44160</v>
      </c>
      <c r="X2125" t="s">
        <v>56</v>
      </c>
      <c r="AA2125" t="s">
        <v>40</v>
      </c>
      <c r="AC2125" t="s">
        <v>40</v>
      </c>
      <c r="AE2125" t="s">
        <v>40</v>
      </c>
      <c r="AF2125" t="s">
        <v>40</v>
      </c>
      <c r="AG2125" t="s">
        <v>40</v>
      </c>
      <c r="AH2125" t="s">
        <v>40</v>
      </c>
      <c r="AK2125" t="s">
        <v>40</v>
      </c>
    </row>
    <row r="2126" spans="1:39" x14ac:dyDescent="0.3">
      <c r="A2126">
        <v>2020</v>
      </c>
      <c r="B2126">
        <v>6</v>
      </c>
      <c r="C2126" t="str">
        <f t="shared" si="66"/>
        <v>6/01/2020</v>
      </c>
      <c r="D2126" s="1" t="str">
        <f t="shared" si="67"/>
        <v>6/01/2020</v>
      </c>
      <c r="E2126" t="s">
        <v>55</v>
      </c>
      <c r="F2126" t="s">
        <v>51</v>
      </c>
      <c r="G2126" t="s">
        <v>44</v>
      </c>
      <c r="H2126">
        <v>234</v>
      </c>
      <c r="I2126">
        <v>195</v>
      </c>
      <c r="K2126">
        <v>47</v>
      </c>
      <c r="S2126">
        <v>51</v>
      </c>
      <c r="T2126">
        <v>21</v>
      </c>
      <c r="U2126">
        <v>20</v>
      </c>
      <c r="V2126">
        <v>18</v>
      </c>
      <c r="W2126" s="1">
        <v>44160</v>
      </c>
      <c r="X2126" t="s">
        <v>56</v>
      </c>
      <c r="AA2126" t="s">
        <v>40</v>
      </c>
      <c r="AC2126" t="s">
        <v>40</v>
      </c>
      <c r="AD2126" t="s">
        <v>40</v>
      </c>
      <c r="AE2126" t="s">
        <v>40</v>
      </c>
      <c r="AF2126" t="s">
        <v>40</v>
      </c>
      <c r="AG2126" t="s">
        <v>40</v>
      </c>
      <c r="AH2126" t="s">
        <v>40</v>
      </c>
      <c r="AI2126" t="s">
        <v>40</v>
      </c>
    </row>
    <row r="2127" spans="1:39" x14ac:dyDescent="0.3">
      <c r="A2127">
        <v>2020</v>
      </c>
      <c r="B2127">
        <v>6</v>
      </c>
      <c r="C2127" t="str">
        <f t="shared" si="66"/>
        <v>6/01/2020</v>
      </c>
      <c r="D2127" s="1" t="str">
        <f t="shared" si="67"/>
        <v>6/01/2020</v>
      </c>
      <c r="E2127" t="s">
        <v>55</v>
      </c>
      <c r="F2127" t="s">
        <v>51</v>
      </c>
      <c r="G2127" t="s">
        <v>45</v>
      </c>
      <c r="J2127">
        <v>0</v>
      </c>
      <c r="K2127">
        <v>0</v>
      </c>
      <c r="L2127">
        <v>0</v>
      </c>
      <c r="M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 s="1">
        <v>44160</v>
      </c>
      <c r="X2127" t="s">
        <v>56</v>
      </c>
      <c r="Y2127" t="s">
        <v>40</v>
      </c>
      <c r="Z2127" t="s">
        <v>40</v>
      </c>
      <c r="AE2127" t="s">
        <v>40</v>
      </c>
    </row>
    <row r="2128" spans="1:39" x14ac:dyDescent="0.3">
      <c r="A2128">
        <v>2020</v>
      </c>
      <c r="B2128">
        <v>6</v>
      </c>
      <c r="C2128" t="str">
        <f t="shared" si="66"/>
        <v>6/01/2020</v>
      </c>
      <c r="D2128" s="1" t="str">
        <f t="shared" si="67"/>
        <v>6/01/2020</v>
      </c>
      <c r="E2128" t="s">
        <v>55</v>
      </c>
      <c r="F2128" t="s">
        <v>51</v>
      </c>
      <c r="G2128" t="s">
        <v>46</v>
      </c>
      <c r="H2128">
        <v>441</v>
      </c>
      <c r="I2128">
        <v>412</v>
      </c>
      <c r="K2128">
        <v>122</v>
      </c>
      <c r="L2128">
        <v>29</v>
      </c>
      <c r="S2128">
        <v>99</v>
      </c>
      <c r="T2128">
        <v>22</v>
      </c>
      <c r="U2128">
        <v>52</v>
      </c>
      <c r="V2128">
        <v>50</v>
      </c>
      <c r="W2128" s="1">
        <v>44160</v>
      </c>
      <c r="X2128" t="s">
        <v>56</v>
      </c>
      <c r="AA2128" t="s">
        <v>40</v>
      </c>
      <c r="AD2128" t="s">
        <v>40</v>
      </c>
      <c r="AE2128" t="s">
        <v>40</v>
      </c>
      <c r="AF2128" t="s">
        <v>40</v>
      </c>
      <c r="AG2128" t="s">
        <v>40</v>
      </c>
      <c r="AH2128" t="s">
        <v>40</v>
      </c>
      <c r="AI2128" t="s">
        <v>40</v>
      </c>
    </row>
    <row r="2129" spans="1:39" x14ac:dyDescent="0.3">
      <c r="A2129">
        <v>2020</v>
      </c>
      <c r="B2129">
        <v>6</v>
      </c>
      <c r="C2129" t="str">
        <f t="shared" si="66"/>
        <v>6/01/2020</v>
      </c>
      <c r="D2129" s="1" t="str">
        <f t="shared" si="67"/>
        <v>6/01/2020</v>
      </c>
      <c r="E2129" t="s">
        <v>55</v>
      </c>
      <c r="F2129" t="s">
        <v>51</v>
      </c>
      <c r="G2129" t="s">
        <v>47</v>
      </c>
      <c r="H2129">
        <v>675</v>
      </c>
      <c r="I2129">
        <v>647</v>
      </c>
      <c r="K2129">
        <v>164</v>
      </c>
      <c r="L2129">
        <v>36</v>
      </c>
      <c r="N2129">
        <v>17</v>
      </c>
      <c r="O2129">
        <v>13</v>
      </c>
      <c r="Q2129">
        <v>14</v>
      </c>
      <c r="S2129">
        <v>160</v>
      </c>
      <c r="T2129">
        <v>28</v>
      </c>
      <c r="U2129">
        <v>101</v>
      </c>
      <c r="V2129">
        <v>94</v>
      </c>
      <c r="W2129" s="1">
        <v>44160</v>
      </c>
      <c r="X2129" t="s">
        <v>56</v>
      </c>
      <c r="AA2129" t="s">
        <v>40</v>
      </c>
      <c r="AD2129" t="s">
        <v>40</v>
      </c>
      <c r="AG2129" t="s">
        <v>40</v>
      </c>
      <c r="AI2129" t="s">
        <v>40</v>
      </c>
    </row>
    <row r="2130" spans="1:39" x14ac:dyDescent="0.3">
      <c r="A2130">
        <v>2020</v>
      </c>
      <c r="B2130">
        <v>6</v>
      </c>
      <c r="C2130" t="str">
        <f t="shared" si="66"/>
        <v>6/01/2020</v>
      </c>
      <c r="D2130" s="1" t="str">
        <f t="shared" si="67"/>
        <v>6/01/2020</v>
      </c>
      <c r="E2130" t="s">
        <v>55</v>
      </c>
      <c r="F2130" t="s">
        <v>51</v>
      </c>
      <c r="G2130" t="s">
        <v>48</v>
      </c>
      <c r="H2130">
        <v>838</v>
      </c>
      <c r="I2130">
        <v>802</v>
      </c>
      <c r="J2130">
        <v>12</v>
      </c>
      <c r="K2130">
        <v>200</v>
      </c>
      <c r="L2130">
        <v>41</v>
      </c>
      <c r="M2130">
        <v>22</v>
      </c>
      <c r="N2130">
        <v>21</v>
      </c>
      <c r="O2130">
        <v>23</v>
      </c>
      <c r="P2130">
        <v>14</v>
      </c>
      <c r="Q2130">
        <v>21</v>
      </c>
      <c r="R2130">
        <v>10</v>
      </c>
      <c r="S2130">
        <v>177</v>
      </c>
      <c r="T2130">
        <v>37</v>
      </c>
      <c r="U2130">
        <v>102</v>
      </c>
      <c r="V2130">
        <v>91</v>
      </c>
      <c r="W2130" s="1">
        <v>44160</v>
      </c>
      <c r="X2130" t="s">
        <v>56</v>
      </c>
    </row>
    <row r="2131" spans="1:39" x14ac:dyDescent="0.3">
      <c r="A2131">
        <v>2020</v>
      </c>
      <c r="B2131">
        <v>6</v>
      </c>
      <c r="C2131" t="str">
        <f t="shared" si="66"/>
        <v>6/01/2020</v>
      </c>
      <c r="D2131" s="1" t="str">
        <f t="shared" si="67"/>
        <v>6/01/2020</v>
      </c>
      <c r="E2131" t="s">
        <v>55</v>
      </c>
      <c r="F2131" t="s">
        <v>51</v>
      </c>
      <c r="G2131" t="s">
        <v>49</v>
      </c>
      <c r="H2131">
        <v>875</v>
      </c>
      <c r="I2131">
        <v>855</v>
      </c>
      <c r="K2131">
        <v>129</v>
      </c>
      <c r="L2131">
        <v>27</v>
      </c>
      <c r="M2131">
        <v>46</v>
      </c>
      <c r="N2131">
        <v>27</v>
      </c>
      <c r="O2131">
        <v>36</v>
      </c>
      <c r="Q2131">
        <v>20</v>
      </c>
      <c r="S2131">
        <v>208</v>
      </c>
      <c r="T2131">
        <v>70</v>
      </c>
      <c r="U2131">
        <v>83</v>
      </c>
      <c r="V2131">
        <v>76</v>
      </c>
      <c r="W2131" s="1">
        <v>44160</v>
      </c>
      <c r="X2131" t="s">
        <v>56</v>
      </c>
      <c r="AA2131" t="s">
        <v>40</v>
      </c>
      <c r="AG2131" t="s">
        <v>40</v>
      </c>
      <c r="AI2131" t="s">
        <v>40</v>
      </c>
    </row>
    <row r="2132" spans="1:39" x14ac:dyDescent="0.3">
      <c r="A2132">
        <v>2020</v>
      </c>
      <c r="B2132">
        <v>6</v>
      </c>
      <c r="C2132" t="str">
        <f t="shared" si="66"/>
        <v>6/01/2020</v>
      </c>
      <c r="D2132" s="1" t="str">
        <f t="shared" si="67"/>
        <v>6/01/2020</v>
      </c>
      <c r="E2132" t="s">
        <v>55</v>
      </c>
      <c r="F2132" t="s">
        <v>52</v>
      </c>
      <c r="G2132" t="s">
        <v>39</v>
      </c>
      <c r="H2132">
        <v>293</v>
      </c>
      <c r="I2132">
        <v>249</v>
      </c>
      <c r="L2132">
        <v>0</v>
      </c>
      <c r="M2132">
        <v>0</v>
      </c>
      <c r="N2132">
        <v>0</v>
      </c>
      <c r="R2132">
        <v>52</v>
      </c>
      <c r="W2132" s="1">
        <v>44160</v>
      </c>
      <c r="X2132" t="s">
        <v>56</v>
      </c>
      <c r="AA2132" t="s">
        <v>40</v>
      </c>
      <c r="AB2132" t="s">
        <v>40</v>
      </c>
      <c r="AF2132" t="s">
        <v>40</v>
      </c>
      <c r="AG2132" t="s">
        <v>40</v>
      </c>
      <c r="AH2132" t="s">
        <v>40</v>
      </c>
      <c r="AJ2132" t="s">
        <v>40</v>
      </c>
      <c r="AK2132" t="s">
        <v>40</v>
      </c>
      <c r="AL2132" t="s">
        <v>40</v>
      </c>
      <c r="AM2132" t="s">
        <v>40</v>
      </c>
    </row>
    <row r="2133" spans="1:39" x14ac:dyDescent="0.3">
      <c r="A2133">
        <v>2020</v>
      </c>
      <c r="B2133">
        <v>6</v>
      </c>
      <c r="C2133" t="str">
        <f t="shared" si="66"/>
        <v>6/01/2020</v>
      </c>
      <c r="D2133" s="1" t="str">
        <f t="shared" si="67"/>
        <v>6/01/2020</v>
      </c>
      <c r="E2133" t="s">
        <v>55</v>
      </c>
      <c r="F2133" t="s">
        <v>52</v>
      </c>
      <c r="G2133" t="s">
        <v>41</v>
      </c>
      <c r="H2133">
        <v>713</v>
      </c>
      <c r="I2133">
        <v>80</v>
      </c>
      <c r="M2133">
        <v>0</v>
      </c>
      <c r="N2133">
        <v>0</v>
      </c>
      <c r="R2133">
        <v>23</v>
      </c>
      <c r="T2133">
        <v>0</v>
      </c>
      <c r="W2133" s="1">
        <v>44160</v>
      </c>
      <c r="X2133" t="s">
        <v>56</v>
      </c>
      <c r="AA2133" t="s">
        <v>40</v>
      </c>
      <c r="AB2133" t="s">
        <v>40</v>
      </c>
      <c r="AC2133" t="s">
        <v>40</v>
      </c>
      <c r="AF2133" t="s">
        <v>40</v>
      </c>
      <c r="AG2133" t="s">
        <v>40</v>
      </c>
      <c r="AH2133" t="s">
        <v>40</v>
      </c>
      <c r="AJ2133" t="s">
        <v>40</v>
      </c>
      <c r="AL2133" t="s">
        <v>40</v>
      </c>
      <c r="AM2133" t="s">
        <v>40</v>
      </c>
    </row>
    <row r="2134" spans="1:39" x14ac:dyDescent="0.3">
      <c r="A2134">
        <v>2020</v>
      </c>
      <c r="B2134">
        <v>6</v>
      </c>
      <c r="C2134" t="str">
        <f t="shared" si="66"/>
        <v>6/01/2020</v>
      </c>
      <c r="D2134" s="1" t="str">
        <f t="shared" si="67"/>
        <v>6/01/2020</v>
      </c>
      <c r="E2134" t="s">
        <v>55</v>
      </c>
      <c r="F2134" t="s">
        <v>52</v>
      </c>
      <c r="G2134" t="s">
        <v>42</v>
      </c>
      <c r="H2134" s="2">
        <v>1117</v>
      </c>
      <c r="I2134">
        <v>331</v>
      </c>
      <c r="K2134">
        <v>32</v>
      </c>
      <c r="L2134">
        <v>14</v>
      </c>
      <c r="M2134">
        <v>0</v>
      </c>
      <c r="R2134">
        <v>54</v>
      </c>
      <c r="S2134">
        <v>71</v>
      </c>
      <c r="U2134">
        <v>25</v>
      </c>
      <c r="V2134">
        <v>23</v>
      </c>
      <c r="W2134" s="1">
        <v>44160</v>
      </c>
      <c r="X2134" t="s">
        <v>56</v>
      </c>
      <c r="AA2134" t="s">
        <v>40</v>
      </c>
      <c r="AE2134" t="s">
        <v>40</v>
      </c>
      <c r="AF2134" t="s">
        <v>40</v>
      </c>
      <c r="AG2134" t="s">
        <v>40</v>
      </c>
      <c r="AH2134" t="s">
        <v>40</v>
      </c>
      <c r="AK2134" t="s">
        <v>40</v>
      </c>
    </row>
    <row r="2135" spans="1:39" x14ac:dyDescent="0.3">
      <c r="A2135">
        <v>2020</v>
      </c>
      <c r="B2135">
        <v>6</v>
      </c>
      <c r="C2135" t="str">
        <f t="shared" si="66"/>
        <v>6/01/2020</v>
      </c>
      <c r="D2135" s="1" t="str">
        <f t="shared" si="67"/>
        <v>6/01/2020</v>
      </c>
      <c r="E2135" t="s">
        <v>55</v>
      </c>
      <c r="F2135" t="s">
        <v>52</v>
      </c>
      <c r="G2135" t="s">
        <v>43</v>
      </c>
      <c r="H2135" s="2">
        <v>1157</v>
      </c>
      <c r="I2135">
        <v>646</v>
      </c>
      <c r="J2135">
        <v>11</v>
      </c>
      <c r="K2135">
        <v>54</v>
      </c>
      <c r="L2135">
        <v>44</v>
      </c>
      <c r="M2135">
        <v>0</v>
      </c>
      <c r="N2135">
        <v>11</v>
      </c>
      <c r="O2135">
        <v>11</v>
      </c>
      <c r="P2135">
        <v>13</v>
      </c>
      <c r="Q2135">
        <v>13</v>
      </c>
      <c r="R2135">
        <v>66</v>
      </c>
      <c r="S2135">
        <v>182</v>
      </c>
      <c r="T2135">
        <v>26</v>
      </c>
      <c r="U2135">
        <v>51</v>
      </c>
      <c r="V2135">
        <v>45</v>
      </c>
      <c r="W2135" s="1">
        <v>44160</v>
      </c>
      <c r="X2135" t="s">
        <v>56</v>
      </c>
    </row>
    <row r="2136" spans="1:39" x14ac:dyDescent="0.3">
      <c r="A2136">
        <v>2020</v>
      </c>
      <c r="B2136">
        <v>6</v>
      </c>
      <c r="C2136" t="str">
        <f t="shared" si="66"/>
        <v>6/01/2020</v>
      </c>
      <c r="D2136" s="1" t="str">
        <f t="shared" si="67"/>
        <v>6/01/2020</v>
      </c>
      <c r="E2136" t="s">
        <v>55</v>
      </c>
      <c r="F2136" t="s">
        <v>52</v>
      </c>
      <c r="G2136" t="s">
        <v>44</v>
      </c>
      <c r="H2136" s="2">
        <v>1922</v>
      </c>
      <c r="I2136" s="2">
        <v>1473</v>
      </c>
      <c r="J2136">
        <v>23</v>
      </c>
      <c r="K2136">
        <v>195</v>
      </c>
      <c r="L2136">
        <v>104</v>
      </c>
      <c r="N2136">
        <v>20</v>
      </c>
      <c r="O2136">
        <v>16</v>
      </c>
      <c r="P2136">
        <v>21</v>
      </c>
      <c r="Q2136">
        <v>43</v>
      </c>
      <c r="R2136">
        <v>75</v>
      </c>
      <c r="S2136">
        <v>469</v>
      </c>
      <c r="T2136">
        <v>66</v>
      </c>
      <c r="U2136">
        <v>150</v>
      </c>
      <c r="V2136">
        <v>134</v>
      </c>
      <c r="W2136" s="1">
        <v>44160</v>
      </c>
      <c r="X2136" t="s">
        <v>56</v>
      </c>
      <c r="AD2136" t="s">
        <v>40</v>
      </c>
    </row>
    <row r="2137" spans="1:39" x14ac:dyDescent="0.3">
      <c r="A2137">
        <v>2020</v>
      </c>
      <c r="B2137">
        <v>6</v>
      </c>
      <c r="C2137" t="str">
        <f t="shared" si="66"/>
        <v>6/01/2020</v>
      </c>
      <c r="D2137" s="1" t="str">
        <f t="shared" si="67"/>
        <v>6/01/2020</v>
      </c>
      <c r="E2137" t="s">
        <v>55</v>
      </c>
      <c r="F2137" t="s">
        <v>52</v>
      </c>
      <c r="G2137" t="s">
        <v>45</v>
      </c>
      <c r="H2137">
        <v>86</v>
      </c>
      <c r="I2137">
        <v>34</v>
      </c>
      <c r="J2137">
        <v>0</v>
      </c>
      <c r="L2137">
        <v>0</v>
      </c>
      <c r="M2137">
        <v>0</v>
      </c>
      <c r="N2137">
        <v>0</v>
      </c>
      <c r="P2137">
        <v>0</v>
      </c>
      <c r="Q2137">
        <v>0</v>
      </c>
      <c r="U2137">
        <v>0</v>
      </c>
      <c r="V2137">
        <v>0</v>
      </c>
      <c r="W2137" s="1">
        <v>44160</v>
      </c>
      <c r="X2137" t="s">
        <v>56</v>
      </c>
      <c r="AB2137" t="s">
        <v>40</v>
      </c>
      <c r="AF2137" t="s">
        <v>40</v>
      </c>
      <c r="AI2137" t="s">
        <v>40</v>
      </c>
      <c r="AJ2137" t="s">
        <v>40</v>
      </c>
      <c r="AK2137" t="s">
        <v>40</v>
      </c>
    </row>
    <row r="2138" spans="1:39" x14ac:dyDescent="0.3">
      <c r="A2138">
        <v>2020</v>
      </c>
      <c r="B2138">
        <v>6</v>
      </c>
      <c r="C2138" t="str">
        <f t="shared" si="66"/>
        <v>6/01/2020</v>
      </c>
      <c r="D2138" s="1" t="str">
        <f t="shared" si="67"/>
        <v>6/01/2020</v>
      </c>
      <c r="E2138" t="s">
        <v>55</v>
      </c>
      <c r="F2138" t="s">
        <v>52</v>
      </c>
      <c r="G2138" t="s">
        <v>46</v>
      </c>
      <c r="H2138" s="2">
        <v>3605</v>
      </c>
      <c r="I2138" s="2">
        <v>3170</v>
      </c>
      <c r="J2138">
        <v>52</v>
      </c>
      <c r="K2138">
        <v>674</v>
      </c>
      <c r="L2138">
        <v>171</v>
      </c>
      <c r="N2138">
        <v>36</v>
      </c>
      <c r="O2138">
        <v>66</v>
      </c>
      <c r="P2138">
        <v>38</v>
      </c>
      <c r="Q2138">
        <v>94</v>
      </c>
      <c r="R2138">
        <v>62</v>
      </c>
      <c r="S2138">
        <v>934</v>
      </c>
      <c r="T2138">
        <v>161</v>
      </c>
      <c r="U2138">
        <v>324</v>
      </c>
      <c r="V2138">
        <v>288</v>
      </c>
      <c r="W2138" s="1">
        <v>44160</v>
      </c>
      <c r="X2138" t="s">
        <v>56</v>
      </c>
      <c r="AD2138" t="s">
        <v>40</v>
      </c>
    </row>
    <row r="2139" spans="1:39" x14ac:dyDescent="0.3">
      <c r="A2139">
        <v>2020</v>
      </c>
      <c r="B2139">
        <v>6</v>
      </c>
      <c r="C2139" t="str">
        <f t="shared" si="66"/>
        <v>6/01/2020</v>
      </c>
      <c r="D2139" s="1" t="str">
        <f t="shared" si="67"/>
        <v>6/01/2020</v>
      </c>
      <c r="E2139" t="s">
        <v>55</v>
      </c>
      <c r="F2139" t="s">
        <v>52</v>
      </c>
      <c r="G2139" t="s">
        <v>47</v>
      </c>
      <c r="H2139" s="2">
        <v>4180</v>
      </c>
      <c r="I2139" s="2">
        <v>3991</v>
      </c>
      <c r="J2139">
        <v>90</v>
      </c>
      <c r="K2139">
        <v>915</v>
      </c>
      <c r="L2139">
        <v>180</v>
      </c>
      <c r="M2139">
        <v>28</v>
      </c>
      <c r="N2139">
        <v>73</v>
      </c>
      <c r="O2139">
        <v>147</v>
      </c>
      <c r="P2139">
        <v>45</v>
      </c>
      <c r="Q2139">
        <v>96</v>
      </c>
      <c r="R2139">
        <v>53</v>
      </c>
      <c r="S2139" s="2">
        <v>1015</v>
      </c>
      <c r="T2139">
        <v>239</v>
      </c>
      <c r="U2139">
        <v>504</v>
      </c>
      <c r="V2139">
        <v>449</v>
      </c>
      <c r="W2139" s="1">
        <v>44160</v>
      </c>
      <c r="X2139" t="s">
        <v>56</v>
      </c>
    </row>
    <row r="2140" spans="1:39" x14ac:dyDescent="0.3">
      <c r="A2140">
        <v>2020</v>
      </c>
      <c r="B2140">
        <v>6</v>
      </c>
      <c r="C2140" t="str">
        <f t="shared" si="66"/>
        <v>6/01/2020</v>
      </c>
      <c r="D2140" s="1" t="str">
        <f t="shared" si="67"/>
        <v>6/01/2020</v>
      </c>
      <c r="E2140" t="s">
        <v>55</v>
      </c>
      <c r="F2140" t="s">
        <v>52</v>
      </c>
      <c r="G2140" t="s">
        <v>48</v>
      </c>
      <c r="H2140" s="2">
        <v>3072</v>
      </c>
      <c r="I2140" s="2">
        <v>3000</v>
      </c>
      <c r="J2140">
        <v>46</v>
      </c>
      <c r="K2140">
        <v>590</v>
      </c>
      <c r="L2140">
        <v>138</v>
      </c>
      <c r="M2140">
        <v>91</v>
      </c>
      <c r="N2140">
        <v>37</v>
      </c>
      <c r="O2140">
        <v>101</v>
      </c>
      <c r="P2140">
        <v>39</v>
      </c>
      <c r="Q2140">
        <v>87</v>
      </c>
      <c r="R2140">
        <v>24</v>
      </c>
      <c r="S2140">
        <v>722</v>
      </c>
      <c r="T2140">
        <v>196</v>
      </c>
      <c r="U2140">
        <v>429</v>
      </c>
      <c r="V2140">
        <v>385</v>
      </c>
      <c r="W2140" s="1">
        <v>44160</v>
      </c>
      <c r="X2140" t="s">
        <v>56</v>
      </c>
    </row>
    <row r="2141" spans="1:39" x14ac:dyDescent="0.3">
      <c r="A2141">
        <v>2020</v>
      </c>
      <c r="B2141">
        <v>6</v>
      </c>
      <c r="C2141" t="str">
        <f t="shared" si="66"/>
        <v>6/01/2020</v>
      </c>
      <c r="D2141" s="1" t="str">
        <f t="shared" si="67"/>
        <v>6/01/2020</v>
      </c>
      <c r="E2141" t="s">
        <v>55</v>
      </c>
      <c r="F2141" t="s">
        <v>52</v>
      </c>
      <c r="G2141" t="s">
        <v>49</v>
      </c>
      <c r="H2141" s="2">
        <v>1818</v>
      </c>
      <c r="I2141" s="2">
        <v>1787</v>
      </c>
      <c r="J2141">
        <v>29</v>
      </c>
      <c r="K2141">
        <v>264</v>
      </c>
      <c r="L2141">
        <v>56</v>
      </c>
      <c r="M2141">
        <v>114</v>
      </c>
      <c r="N2141">
        <v>27</v>
      </c>
      <c r="O2141">
        <v>57</v>
      </c>
      <c r="P2141">
        <v>22</v>
      </c>
      <c r="Q2141">
        <v>53</v>
      </c>
      <c r="R2141">
        <v>18</v>
      </c>
      <c r="S2141">
        <v>435</v>
      </c>
      <c r="T2141">
        <v>123</v>
      </c>
      <c r="U2141">
        <v>204</v>
      </c>
      <c r="V2141">
        <v>190</v>
      </c>
      <c r="W2141" s="1">
        <v>44160</v>
      </c>
      <c r="X2141" t="s">
        <v>56</v>
      </c>
    </row>
    <row r="2142" spans="1:39" x14ac:dyDescent="0.3">
      <c r="A2142">
        <v>2020</v>
      </c>
      <c r="B2142">
        <v>6</v>
      </c>
      <c r="C2142" t="str">
        <f t="shared" si="66"/>
        <v>6/01/2020</v>
      </c>
      <c r="D2142" s="1" t="str">
        <f t="shared" si="67"/>
        <v>6/01/2020</v>
      </c>
      <c r="E2142" t="s">
        <v>55</v>
      </c>
      <c r="F2142" t="s">
        <v>53</v>
      </c>
      <c r="G2142" t="s">
        <v>39</v>
      </c>
      <c r="H2142">
        <v>456</v>
      </c>
      <c r="I2142">
        <v>387</v>
      </c>
      <c r="K2142">
        <v>10</v>
      </c>
      <c r="L2142">
        <v>0</v>
      </c>
      <c r="M2142">
        <v>0</v>
      </c>
      <c r="N2142">
        <v>0</v>
      </c>
      <c r="O2142">
        <v>0</v>
      </c>
      <c r="Q2142">
        <v>0</v>
      </c>
      <c r="R2142">
        <v>53</v>
      </c>
      <c r="U2142">
        <v>0</v>
      </c>
      <c r="V2142">
        <v>0</v>
      </c>
      <c r="W2142" s="1">
        <v>44160</v>
      </c>
      <c r="X2142" t="s">
        <v>56</v>
      </c>
      <c r="AA2142" t="s">
        <v>40</v>
      </c>
      <c r="AG2142" t="s">
        <v>40</v>
      </c>
      <c r="AJ2142" t="s">
        <v>40</v>
      </c>
      <c r="AK2142" t="s">
        <v>40</v>
      </c>
    </row>
    <row r="2143" spans="1:39" x14ac:dyDescent="0.3">
      <c r="A2143">
        <v>2020</v>
      </c>
      <c r="B2143">
        <v>6</v>
      </c>
      <c r="C2143" t="str">
        <f t="shared" si="66"/>
        <v>6/01/2020</v>
      </c>
      <c r="D2143" s="1" t="str">
        <f t="shared" si="67"/>
        <v>6/01/2020</v>
      </c>
      <c r="E2143" t="s">
        <v>55</v>
      </c>
      <c r="F2143" t="s">
        <v>53</v>
      </c>
      <c r="G2143" t="s">
        <v>41</v>
      </c>
      <c r="H2143" s="2">
        <v>1034</v>
      </c>
      <c r="I2143">
        <v>218</v>
      </c>
      <c r="K2143">
        <v>34</v>
      </c>
      <c r="L2143">
        <v>10</v>
      </c>
      <c r="M2143">
        <v>0</v>
      </c>
      <c r="Q2143">
        <v>0</v>
      </c>
      <c r="R2143">
        <v>50</v>
      </c>
      <c r="S2143">
        <v>18</v>
      </c>
      <c r="W2143" s="1">
        <v>44160</v>
      </c>
      <c r="X2143" t="s">
        <v>56</v>
      </c>
      <c r="AA2143" t="s">
        <v>40</v>
      </c>
      <c r="AE2143" t="s">
        <v>40</v>
      </c>
      <c r="AF2143" t="s">
        <v>40</v>
      </c>
      <c r="AG2143" t="s">
        <v>40</v>
      </c>
      <c r="AK2143" t="s">
        <v>40</v>
      </c>
      <c r="AL2143" t="s">
        <v>40</v>
      </c>
      <c r="AM2143" t="s">
        <v>40</v>
      </c>
    </row>
    <row r="2144" spans="1:39" x14ac:dyDescent="0.3">
      <c r="A2144">
        <v>2020</v>
      </c>
      <c r="B2144">
        <v>6</v>
      </c>
      <c r="C2144" t="str">
        <f t="shared" si="66"/>
        <v>6/01/2020</v>
      </c>
      <c r="D2144" s="1" t="str">
        <f t="shared" si="67"/>
        <v>6/01/2020</v>
      </c>
      <c r="E2144" t="s">
        <v>55</v>
      </c>
      <c r="F2144" t="s">
        <v>53</v>
      </c>
      <c r="G2144" t="s">
        <v>42</v>
      </c>
      <c r="H2144" s="2">
        <v>2443</v>
      </c>
      <c r="I2144">
        <v>737</v>
      </c>
      <c r="K2144">
        <v>100</v>
      </c>
      <c r="L2144">
        <v>23</v>
      </c>
      <c r="M2144">
        <v>0</v>
      </c>
      <c r="N2144">
        <v>11</v>
      </c>
      <c r="R2144">
        <v>161</v>
      </c>
      <c r="S2144">
        <v>125</v>
      </c>
      <c r="T2144">
        <v>23</v>
      </c>
      <c r="U2144">
        <v>15</v>
      </c>
      <c r="V2144">
        <v>14</v>
      </c>
      <c r="W2144" s="1">
        <v>44160</v>
      </c>
      <c r="X2144" t="s">
        <v>56</v>
      </c>
      <c r="AA2144" t="s">
        <v>40</v>
      </c>
      <c r="AF2144" t="s">
        <v>40</v>
      </c>
      <c r="AG2144" t="s">
        <v>40</v>
      </c>
      <c r="AH2144" t="s">
        <v>40</v>
      </c>
    </row>
    <row r="2145" spans="1:39" x14ac:dyDescent="0.3">
      <c r="A2145">
        <v>2020</v>
      </c>
      <c r="B2145">
        <v>6</v>
      </c>
      <c r="C2145" t="str">
        <f t="shared" si="66"/>
        <v>6/01/2020</v>
      </c>
      <c r="D2145" s="1" t="str">
        <f t="shared" si="67"/>
        <v>6/01/2020</v>
      </c>
      <c r="E2145" t="s">
        <v>55</v>
      </c>
      <c r="F2145" t="s">
        <v>53</v>
      </c>
      <c r="G2145" t="s">
        <v>43</v>
      </c>
      <c r="H2145" s="2">
        <v>3074</v>
      </c>
      <c r="I2145" s="2">
        <v>1444</v>
      </c>
      <c r="J2145">
        <v>24</v>
      </c>
      <c r="K2145">
        <v>206</v>
      </c>
      <c r="L2145">
        <v>53</v>
      </c>
      <c r="M2145">
        <v>0</v>
      </c>
      <c r="N2145">
        <v>16</v>
      </c>
      <c r="O2145">
        <v>18</v>
      </c>
      <c r="P2145">
        <v>14</v>
      </c>
      <c r="Q2145">
        <v>15</v>
      </c>
      <c r="R2145">
        <v>153</v>
      </c>
      <c r="S2145">
        <v>368</v>
      </c>
      <c r="T2145">
        <v>35</v>
      </c>
      <c r="U2145">
        <v>33</v>
      </c>
      <c r="V2145">
        <v>29</v>
      </c>
      <c r="W2145" s="1">
        <v>44160</v>
      </c>
      <c r="X2145" t="s">
        <v>56</v>
      </c>
    </row>
    <row r="2146" spans="1:39" x14ac:dyDescent="0.3">
      <c r="A2146">
        <v>2020</v>
      </c>
      <c r="B2146">
        <v>6</v>
      </c>
      <c r="C2146" t="str">
        <f t="shared" si="66"/>
        <v>6/01/2020</v>
      </c>
      <c r="D2146" s="1" t="str">
        <f t="shared" si="67"/>
        <v>6/01/2020</v>
      </c>
      <c r="E2146" t="s">
        <v>55</v>
      </c>
      <c r="F2146" t="s">
        <v>53</v>
      </c>
      <c r="G2146" t="s">
        <v>44</v>
      </c>
      <c r="H2146" s="2">
        <v>5760</v>
      </c>
      <c r="I2146" s="2">
        <v>4179</v>
      </c>
      <c r="J2146">
        <v>61</v>
      </c>
      <c r="K2146">
        <v>884</v>
      </c>
      <c r="L2146">
        <v>187</v>
      </c>
      <c r="N2146">
        <v>38</v>
      </c>
      <c r="O2146">
        <v>96</v>
      </c>
      <c r="P2146">
        <v>43</v>
      </c>
      <c r="Q2146">
        <v>49</v>
      </c>
      <c r="R2146">
        <v>178</v>
      </c>
      <c r="S2146" s="2">
        <v>1239</v>
      </c>
      <c r="T2146">
        <v>120</v>
      </c>
      <c r="U2146">
        <v>114</v>
      </c>
      <c r="V2146">
        <v>101</v>
      </c>
      <c r="W2146" s="1">
        <v>44160</v>
      </c>
      <c r="X2146" t="s">
        <v>56</v>
      </c>
      <c r="AD2146" t="s">
        <v>40</v>
      </c>
    </row>
    <row r="2147" spans="1:39" x14ac:dyDescent="0.3">
      <c r="A2147">
        <v>2020</v>
      </c>
      <c r="B2147">
        <v>6</v>
      </c>
      <c r="C2147" t="str">
        <f t="shared" si="66"/>
        <v>6/01/2020</v>
      </c>
      <c r="D2147" s="1" t="str">
        <f t="shared" si="67"/>
        <v>6/01/2020</v>
      </c>
      <c r="E2147" t="s">
        <v>55</v>
      </c>
      <c r="F2147" t="s">
        <v>53</v>
      </c>
      <c r="G2147" t="s">
        <v>45</v>
      </c>
      <c r="H2147">
        <v>141</v>
      </c>
      <c r="I2147">
        <v>66</v>
      </c>
      <c r="K2147">
        <v>23</v>
      </c>
      <c r="M2147">
        <v>0</v>
      </c>
      <c r="N2147">
        <v>0</v>
      </c>
      <c r="O2147">
        <v>0</v>
      </c>
      <c r="Q2147">
        <v>0</v>
      </c>
      <c r="U2147">
        <v>0</v>
      </c>
      <c r="V2147">
        <v>0</v>
      </c>
      <c r="W2147" s="1">
        <v>44160</v>
      </c>
      <c r="X2147" t="s">
        <v>56</v>
      </c>
      <c r="AA2147" t="s">
        <v>40</v>
      </c>
      <c r="AC2147" t="s">
        <v>40</v>
      </c>
      <c r="AG2147" t="s">
        <v>40</v>
      </c>
      <c r="AI2147" t="s">
        <v>40</v>
      </c>
      <c r="AJ2147" t="s">
        <v>40</v>
      </c>
      <c r="AK2147" t="s">
        <v>40</v>
      </c>
    </row>
    <row r="2148" spans="1:39" x14ac:dyDescent="0.3">
      <c r="A2148">
        <v>2020</v>
      </c>
      <c r="B2148">
        <v>6</v>
      </c>
      <c r="C2148" t="str">
        <f t="shared" si="66"/>
        <v>6/01/2020</v>
      </c>
      <c r="D2148" s="1" t="str">
        <f t="shared" si="67"/>
        <v>6/01/2020</v>
      </c>
      <c r="E2148" t="s">
        <v>55</v>
      </c>
      <c r="F2148" t="s">
        <v>53</v>
      </c>
      <c r="G2148" t="s">
        <v>46</v>
      </c>
      <c r="H2148" s="2">
        <v>13934</v>
      </c>
      <c r="I2148" s="2">
        <v>12249</v>
      </c>
      <c r="J2148">
        <v>167</v>
      </c>
      <c r="K2148" s="2">
        <v>3488</v>
      </c>
      <c r="L2148">
        <v>484</v>
      </c>
      <c r="M2148">
        <v>26</v>
      </c>
      <c r="N2148">
        <v>119</v>
      </c>
      <c r="O2148">
        <v>577</v>
      </c>
      <c r="P2148">
        <v>146</v>
      </c>
      <c r="Q2148">
        <v>154</v>
      </c>
      <c r="R2148">
        <v>215</v>
      </c>
      <c r="S2148" s="2">
        <v>3430</v>
      </c>
      <c r="T2148">
        <v>384</v>
      </c>
      <c r="U2148">
        <v>399</v>
      </c>
      <c r="V2148">
        <v>329</v>
      </c>
      <c r="W2148" s="1">
        <v>44160</v>
      </c>
      <c r="X2148" t="s">
        <v>56</v>
      </c>
    </row>
    <row r="2149" spans="1:39" x14ac:dyDescent="0.3">
      <c r="A2149">
        <v>2020</v>
      </c>
      <c r="B2149">
        <v>6</v>
      </c>
      <c r="C2149" t="str">
        <f t="shared" si="66"/>
        <v>6/01/2020</v>
      </c>
      <c r="D2149" s="1" t="str">
        <f t="shared" si="67"/>
        <v>6/01/2020</v>
      </c>
      <c r="E2149" t="s">
        <v>55</v>
      </c>
      <c r="F2149" t="s">
        <v>53</v>
      </c>
      <c r="G2149" t="s">
        <v>47</v>
      </c>
      <c r="H2149" s="2">
        <v>20868</v>
      </c>
      <c r="I2149" s="2">
        <v>19643</v>
      </c>
      <c r="J2149">
        <v>256</v>
      </c>
      <c r="K2149" s="2">
        <v>6014</v>
      </c>
      <c r="L2149">
        <v>826</v>
      </c>
      <c r="M2149">
        <v>203</v>
      </c>
      <c r="N2149">
        <v>221</v>
      </c>
      <c r="O2149" s="2">
        <v>1265</v>
      </c>
      <c r="P2149">
        <v>332</v>
      </c>
      <c r="Q2149">
        <v>282</v>
      </c>
      <c r="R2149">
        <v>206</v>
      </c>
      <c r="S2149" s="2">
        <v>4891</v>
      </c>
      <c r="T2149">
        <v>704</v>
      </c>
      <c r="U2149">
        <v>936</v>
      </c>
      <c r="V2149">
        <v>820</v>
      </c>
      <c r="W2149" s="1">
        <v>44160</v>
      </c>
      <c r="X2149" t="s">
        <v>56</v>
      </c>
    </row>
    <row r="2150" spans="1:39" x14ac:dyDescent="0.3">
      <c r="A2150">
        <v>2020</v>
      </c>
      <c r="B2150">
        <v>6</v>
      </c>
      <c r="C2150" t="str">
        <f t="shared" si="66"/>
        <v>6/01/2020</v>
      </c>
      <c r="D2150" s="1" t="str">
        <f t="shared" si="67"/>
        <v>6/01/2020</v>
      </c>
      <c r="E2150" t="s">
        <v>55</v>
      </c>
      <c r="F2150" t="s">
        <v>53</v>
      </c>
      <c r="G2150" t="s">
        <v>48</v>
      </c>
      <c r="H2150" s="2">
        <v>23956</v>
      </c>
      <c r="I2150" s="2">
        <v>22963</v>
      </c>
      <c r="J2150">
        <v>300</v>
      </c>
      <c r="K2150" s="2">
        <v>5839</v>
      </c>
      <c r="L2150">
        <v>696</v>
      </c>
      <c r="M2150">
        <v>878</v>
      </c>
      <c r="N2150">
        <v>343</v>
      </c>
      <c r="O2150" s="2">
        <v>1485</v>
      </c>
      <c r="P2150">
        <v>431</v>
      </c>
      <c r="Q2150">
        <v>450</v>
      </c>
      <c r="R2150">
        <v>177</v>
      </c>
      <c r="S2150" s="2">
        <v>5600</v>
      </c>
      <c r="T2150" s="2">
        <v>1160</v>
      </c>
      <c r="U2150" s="2">
        <v>1262</v>
      </c>
      <c r="V2150" s="2">
        <v>1105</v>
      </c>
      <c r="W2150" s="1">
        <v>44160</v>
      </c>
      <c r="X2150" t="s">
        <v>56</v>
      </c>
    </row>
    <row r="2151" spans="1:39" x14ac:dyDescent="0.3">
      <c r="A2151">
        <v>2020</v>
      </c>
      <c r="B2151">
        <v>6</v>
      </c>
      <c r="C2151" t="str">
        <f t="shared" si="66"/>
        <v>6/01/2020</v>
      </c>
      <c r="D2151" s="1" t="str">
        <f t="shared" si="67"/>
        <v>6/01/2020</v>
      </c>
      <c r="E2151" t="s">
        <v>55</v>
      </c>
      <c r="F2151" t="s">
        <v>53</v>
      </c>
      <c r="G2151" t="s">
        <v>49</v>
      </c>
      <c r="H2151" s="2">
        <v>22788</v>
      </c>
      <c r="I2151" s="2">
        <v>21932</v>
      </c>
      <c r="J2151">
        <v>240</v>
      </c>
      <c r="K2151" s="2">
        <v>3167</v>
      </c>
      <c r="L2151">
        <v>477</v>
      </c>
      <c r="M2151" s="2">
        <v>1432</v>
      </c>
      <c r="N2151">
        <v>384</v>
      </c>
      <c r="O2151" s="2">
        <v>1017</v>
      </c>
      <c r="P2151">
        <v>328</v>
      </c>
      <c r="Q2151">
        <v>446</v>
      </c>
      <c r="R2151">
        <v>221</v>
      </c>
      <c r="S2151" s="2">
        <v>6618</v>
      </c>
      <c r="T2151" s="2">
        <v>1332</v>
      </c>
      <c r="U2151" s="2">
        <v>1430</v>
      </c>
      <c r="V2151" s="2">
        <v>1232</v>
      </c>
      <c r="W2151" s="1">
        <v>44160</v>
      </c>
      <c r="X2151" t="s">
        <v>56</v>
      </c>
    </row>
    <row r="2152" spans="1:39" x14ac:dyDescent="0.3">
      <c r="A2152">
        <v>2020</v>
      </c>
      <c r="B2152">
        <v>6</v>
      </c>
      <c r="C2152" t="str">
        <f t="shared" si="66"/>
        <v>6/01/2020</v>
      </c>
      <c r="D2152" s="1" t="str">
        <f t="shared" si="67"/>
        <v>6/01/2020</v>
      </c>
      <c r="E2152" t="s">
        <v>55</v>
      </c>
      <c r="F2152" t="s">
        <v>54</v>
      </c>
      <c r="G2152" t="s">
        <v>39</v>
      </c>
      <c r="H2152">
        <v>58</v>
      </c>
      <c r="I2152">
        <v>50</v>
      </c>
      <c r="J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S2152">
        <v>0</v>
      </c>
      <c r="T2152">
        <v>0</v>
      </c>
      <c r="W2152" s="1">
        <v>44160</v>
      </c>
      <c r="X2152" t="s">
        <v>56</v>
      </c>
      <c r="AB2152" t="s">
        <v>40</v>
      </c>
      <c r="AI2152" t="s">
        <v>40</v>
      </c>
      <c r="AL2152" t="s">
        <v>40</v>
      </c>
      <c r="AM2152" t="s">
        <v>40</v>
      </c>
    </row>
    <row r="2153" spans="1:39" x14ac:dyDescent="0.3">
      <c r="A2153">
        <v>2020</v>
      </c>
      <c r="B2153">
        <v>6</v>
      </c>
      <c r="C2153" t="str">
        <f t="shared" si="66"/>
        <v>6/01/2020</v>
      </c>
      <c r="D2153" s="1" t="str">
        <f t="shared" si="67"/>
        <v>6/01/2020</v>
      </c>
      <c r="E2153" t="s">
        <v>55</v>
      </c>
      <c r="F2153" t="s">
        <v>54</v>
      </c>
      <c r="G2153" t="s">
        <v>41</v>
      </c>
      <c r="H2153">
        <v>51</v>
      </c>
      <c r="J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T2153">
        <v>0</v>
      </c>
      <c r="U2153">
        <v>0</v>
      </c>
      <c r="V2153">
        <v>0</v>
      </c>
      <c r="W2153" s="1">
        <v>44160</v>
      </c>
      <c r="X2153" t="s">
        <v>56</v>
      </c>
      <c r="Z2153" t="s">
        <v>40</v>
      </c>
      <c r="AB2153" t="s">
        <v>40</v>
      </c>
      <c r="AI2153" t="s">
        <v>40</v>
      </c>
      <c r="AJ2153" t="s">
        <v>40</v>
      </c>
    </row>
    <row r="2154" spans="1:39" x14ac:dyDescent="0.3">
      <c r="A2154">
        <v>2020</v>
      </c>
      <c r="B2154">
        <v>6</v>
      </c>
      <c r="C2154" t="str">
        <f t="shared" si="66"/>
        <v>6/01/2020</v>
      </c>
      <c r="D2154" s="1" t="str">
        <f t="shared" si="67"/>
        <v>6/01/2020</v>
      </c>
      <c r="E2154" t="s">
        <v>55</v>
      </c>
      <c r="F2154" t="s">
        <v>54</v>
      </c>
      <c r="G2154" t="s">
        <v>42</v>
      </c>
      <c r="H2154">
        <v>84</v>
      </c>
      <c r="I2154">
        <v>32</v>
      </c>
      <c r="J2154">
        <v>0</v>
      </c>
      <c r="M2154">
        <v>0</v>
      </c>
      <c r="N2154">
        <v>0</v>
      </c>
      <c r="O2154">
        <v>0</v>
      </c>
      <c r="Q2154">
        <v>0</v>
      </c>
      <c r="R2154">
        <v>10</v>
      </c>
      <c r="W2154" s="1">
        <v>44160</v>
      </c>
      <c r="X2154" t="s">
        <v>56</v>
      </c>
      <c r="AB2154" t="s">
        <v>40</v>
      </c>
      <c r="AC2154" t="s">
        <v>40</v>
      </c>
      <c r="AG2154" t="s">
        <v>40</v>
      </c>
      <c r="AJ2154" t="s">
        <v>40</v>
      </c>
      <c r="AK2154" t="s">
        <v>40</v>
      </c>
      <c r="AL2154" t="s">
        <v>40</v>
      </c>
      <c r="AM2154" t="s">
        <v>40</v>
      </c>
    </row>
    <row r="2155" spans="1:39" x14ac:dyDescent="0.3">
      <c r="A2155">
        <v>2020</v>
      </c>
      <c r="B2155">
        <v>6</v>
      </c>
      <c r="C2155" t="str">
        <f t="shared" si="66"/>
        <v>6/01/2020</v>
      </c>
      <c r="D2155" s="1" t="str">
        <f t="shared" si="67"/>
        <v>6/01/2020</v>
      </c>
      <c r="E2155" t="s">
        <v>55</v>
      </c>
      <c r="F2155" t="s">
        <v>54</v>
      </c>
      <c r="G2155" t="s">
        <v>43</v>
      </c>
      <c r="H2155">
        <v>60</v>
      </c>
      <c r="I2155">
        <v>29</v>
      </c>
      <c r="J2155">
        <v>0</v>
      </c>
      <c r="M2155">
        <v>0</v>
      </c>
      <c r="N2155">
        <v>0</v>
      </c>
      <c r="O2155">
        <v>0</v>
      </c>
      <c r="P2155">
        <v>0</v>
      </c>
      <c r="W2155" s="1">
        <v>44160</v>
      </c>
      <c r="X2155" t="s">
        <v>56</v>
      </c>
      <c r="AB2155" t="s">
        <v>40</v>
      </c>
      <c r="AC2155" t="s">
        <v>40</v>
      </c>
      <c r="AH2155" t="s">
        <v>40</v>
      </c>
      <c r="AI2155" t="s">
        <v>40</v>
      </c>
      <c r="AJ2155" t="s">
        <v>40</v>
      </c>
      <c r="AK2155" t="s">
        <v>40</v>
      </c>
      <c r="AL2155" t="s">
        <v>40</v>
      </c>
      <c r="AM2155" t="s">
        <v>40</v>
      </c>
    </row>
    <row r="2156" spans="1:39" x14ac:dyDescent="0.3">
      <c r="A2156">
        <v>2020</v>
      </c>
      <c r="B2156">
        <v>6</v>
      </c>
      <c r="C2156" t="str">
        <f t="shared" si="66"/>
        <v>6/01/2020</v>
      </c>
      <c r="D2156" s="1" t="str">
        <f t="shared" si="67"/>
        <v>6/01/2020</v>
      </c>
      <c r="E2156" t="s">
        <v>55</v>
      </c>
      <c r="F2156" t="s">
        <v>54</v>
      </c>
      <c r="G2156" t="s">
        <v>44</v>
      </c>
      <c r="H2156">
        <v>153</v>
      </c>
      <c r="I2156">
        <v>124</v>
      </c>
      <c r="J2156">
        <v>0</v>
      </c>
      <c r="K2156">
        <v>20</v>
      </c>
      <c r="M2156">
        <v>0</v>
      </c>
      <c r="N2156">
        <v>0</v>
      </c>
      <c r="Q2156">
        <v>0</v>
      </c>
      <c r="S2156">
        <v>37</v>
      </c>
      <c r="U2156">
        <v>13</v>
      </c>
      <c r="V2156">
        <v>12</v>
      </c>
      <c r="W2156" s="1">
        <v>44160</v>
      </c>
      <c r="X2156" t="s">
        <v>56</v>
      </c>
      <c r="AC2156" t="s">
        <v>40</v>
      </c>
      <c r="AF2156" t="s">
        <v>40</v>
      </c>
      <c r="AG2156" t="s">
        <v>40</v>
      </c>
      <c r="AI2156" t="s">
        <v>40</v>
      </c>
      <c r="AK2156" t="s">
        <v>40</v>
      </c>
    </row>
    <row r="2157" spans="1:39" x14ac:dyDescent="0.3">
      <c r="A2157">
        <v>2020</v>
      </c>
      <c r="B2157">
        <v>6</v>
      </c>
      <c r="C2157" t="str">
        <f t="shared" si="66"/>
        <v>6/01/2020</v>
      </c>
      <c r="D2157" s="1" t="str">
        <f t="shared" si="67"/>
        <v>6/01/2020</v>
      </c>
      <c r="E2157" t="s">
        <v>55</v>
      </c>
      <c r="F2157" t="s">
        <v>54</v>
      </c>
      <c r="G2157" t="s">
        <v>45</v>
      </c>
      <c r="J2157">
        <v>0</v>
      </c>
      <c r="L2157">
        <v>0</v>
      </c>
      <c r="M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U2157">
        <v>0</v>
      </c>
      <c r="V2157">
        <v>0</v>
      </c>
      <c r="W2157" s="1">
        <v>44160</v>
      </c>
      <c r="X2157" t="s">
        <v>56</v>
      </c>
      <c r="Y2157" t="s">
        <v>40</v>
      </c>
      <c r="Z2157" t="s">
        <v>40</v>
      </c>
      <c r="AB2157" t="s">
        <v>40</v>
      </c>
      <c r="AE2157" t="s">
        <v>40</v>
      </c>
      <c r="AK2157" t="s">
        <v>40</v>
      </c>
    </row>
    <row r="2158" spans="1:39" x14ac:dyDescent="0.3">
      <c r="A2158">
        <v>2020</v>
      </c>
      <c r="B2158">
        <v>6</v>
      </c>
      <c r="C2158" t="str">
        <f t="shared" si="66"/>
        <v>6/01/2020</v>
      </c>
      <c r="D2158" s="1" t="str">
        <f t="shared" si="67"/>
        <v>6/01/2020</v>
      </c>
      <c r="E2158" t="s">
        <v>55</v>
      </c>
      <c r="F2158" t="s">
        <v>54</v>
      </c>
      <c r="G2158" t="s">
        <v>46</v>
      </c>
      <c r="H2158">
        <v>283</v>
      </c>
      <c r="I2158">
        <v>240</v>
      </c>
      <c r="K2158">
        <v>43</v>
      </c>
      <c r="M2158">
        <v>0</v>
      </c>
      <c r="R2158">
        <v>15</v>
      </c>
      <c r="S2158">
        <v>76</v>
      </c>
      <c r="T2158">
        <v>12</v>
      </c>
      <c r="U2158">
        <v>20</v>
      </c>
      <c r="V2158">
        <v>18</v>
      </c>
      <c r="W2158" s="1">
        <v>44160</v>
      </c>
      <c r="X2158" t="s">
        <v>56</v>
      </c>
      <c r="AA2158" t="s">
        <v>40</v>
      </c>
      <c r="AC2158" t="s">
        <v>40</v>
      </c>
      <c r="AE2158" t="s">
        <v>40</v>
      </c>
      <c r="AF2158" t="s">
        <v>40</v>
      </c>
      <c r="AG2158" t="s">
        <v>40</v>
      </c>
      <c r="AH2158" t="s">
        <v>40</v>
      </c>
    </row>
    <row r="2159" spans="1:39" x14ac:dyDescent="0.3">
      <c r="A2159">
        <v>2020</v>
      </c>
      <c r="B2159">
        <v>6</v>
      </c>
      <c r="C2159" t="str">
        <f t="shared" si="66"/>
        <v>6/01/2020</v>
      </c>
      <c r="D2159" s="1" t="str">
        <f t="shared" si="67"/>
        <v>6/01/2020</v>
      </c>
      <c r="E2159" t="s">
        <v>55</v>
      </c>
      <c r="F2159" t="s">
        <v>54</v>
      </c>
      <c r="G2159" t="s">
        <v>47</v>
      </c>
      <c r="H2159">
        <v>265</v>
      </c>
      <c r="I2159">
        <v>251</v>
      </c>
      <c r="K2159">
        <v>49</v>
      </c>
      <c r="M2159">
        <v>0</v>
      </c>
      <c r="O2159">
        <v>14</v>
      </c>
      <c r="S2159">
        <v>71</v>
      </c>
      <c r="U2159">
        <v>32</v>
      </c>
      <c r="V2159">
        <v>31</v>
      </c>
      <c r="W2159" s="1">
        <v>44160</v>
      </c>
      <c r="X2159" t="s">
        <v>56</v>
      </c>
      <c r="AA2159" t="s">
        <v>40</v>
      </c>
      <c r="AC2159" t="s">
        <v>40</v>
      </c>
      <c r="AE2159" t="s">
        <v>40</v>
      </c>
      <c r="AG2159" t="s">
        <v>40</v>
      </c>
      <c r="AH2159" t="s">
        <v>40</v>
      </c>
      <c r="AI2159" t="s">
        <v>40</v>
      </c>
      <c r="AK2159" t="s">
        <v>40</v>
      </c>
    </row>
    <row r="2160" spans="1:39" x14ac:dyDescent="0.3">
      <c r="A2160">
        <v>2020</v>
      </c>
      <c r="B2160">
        <v>6</v>
      </c>
      <c r="C2160" t="str">
        <f t="shared" si="66"/>
        <v>6/01/2020</v>
      </c>
      <c r="D2160" s="1" t="str">
        <f t="shared" si="67"/>
        <v>6/01/2020</v>
      </c>
      <c r="E2160" t="s">
        <v>55</v>
      </c>
      <c r="F2160" t="s">
        <v>54</v>
      </c>
      <c r="G2160" t="s">
        <v>48</v>
      </c>
      <c r="H2160">
        <v>189</v>
      </c>
      <c r="I2160">
        <v>182</v>
      </c>
      <c r="K2160">
        <v>43</v>
      </c>
      <c r="N2160">
        <v>0</v>
      </c>
      <c r="S2160">
        <v>53</v>
      </c>
      <c r="T2160">
        <v>14</v>
      </c>
      <c r="U2160">
        <v>16</v>
      </c>
      <c r="V2160">
        <v>16</v>
      </c>
      <c r="W2160" s="1">
        <v>44160</v>
      </c>
      <c r="X2160" t="s">
        <v>56</v>
      </c>
      <c r="AA2160" t="s">
        <v>40</v>
      </c>
      <c r="AC2160" t="s">
        <v>40</v>
      </c>
      <c r="AD2160" t="s">
        <v>40</v>
      </c>
      <c r="AF2160" t="s">
        <v>40</v>
      </c>
      <c r="AG2160" t="s">
        <v>40</v>
      </c>
      <c r="AH2160" t="s">
        <v>40</v>
      </c>
      <c r="AI2160" t="s">
        <v>40</v>
      </c>
    </row>
    <row r="2161" spans="1:39" x14ac:dyDescent="0.3">
      <c r="A2161">
        <v>2020</v>
      </c>
      <c r="B2161">
        <v>6</v>
      </c>
      <c r="C2161" t="str">
        <f t="shared" si="66"/>
        <v>6/01/2020</v>
      </c>
      <c r="D2161" s="1" t="str">
        <f t="shared" si="67"/>
        <v>6/01/2020</v>
      </c>
      <c r="E2161" t="s">
        <v>55</v>
      </c>
      <c r="F2161" t="s">
        <v>54</v>
      </c>
      <c r="G2161" t="s">
        <v>49</v>
      </c>
      <c r="H2161">
        <v>113</v>
      </c>
      <c r="I2161">
        <v>108</v>
      </c>
      <c r="J2161">
        <v>0</v>
      </c>
      <c r="K2161">
        <v>10</v>
      </c>
      <c r="P2161">
        <v>0</v>
      </c>
      <c r="S2161">
        <v>34</v>
      </c>
      <c r="U2161">
        <v>12</v>
      </c>
      <c r="V2161">
        <v>11</v>
      </c>
      <c r="W2161" s="1">
        <v>44160</v>
      </c>
      <c r="X2161" t="s">
        <v>56</v>
      </c>
      <c r="AC2161" t="s">
        <v>40</v>
      </c>
      <c r="AD2161" t="s">
        <v>40</v>
      </c>
      <c r="AE2161" t="s">
        <v>40</v>
      </c>
      <c r="AF2161" t="s">
        <v>40</v>
      </c>
      <c r="AH2161" t="s">
        <v>40</v>
      </c>
      <c r="AI2161" t="s">
        <v>40</v>
      </c>
      <c r="AK2161" t="s">
        <v>40</v>
      </c>
    </row>
    <row r="2162" spans="1:39" x14ac:dyDescent="0.3">
      <c r="A2162">
        <v>2020</v>
      </c>
      <c r="B2162">
        <v>7</v>
      </c>
      <c r="C2162" t="str">
        <f t="shared" si="66"/>
        <v>7/01/2020</v>
      </c>
      <c r="D2162" s="1" t="str">
        <f t="shared" si="67"/>
        <v>7/01/2020</v>
      </c>
      <c r="E2162" t="s">
        <v>37</v>
      </c>
      <c r="F2162" t="s">
        <v>38</v>
      </c>
      <c r="G2162" t="s">
        <v>39</v>
      </c>
      <c r="H2162">
        <v>197</v>
      </c>
      <c r="I2162">
        <v>177</v>
      </c>
      <c r="L2162">
        <v>0</v>
      </c>
      <c r="M2162">
        <v>0</v>
      </c>
      <c r="O2162">
        <v>0</v>
      </c>
      <c r="Q2162">
        <v>0</v>
      </c>
      <c r="R2162">
        <v>18</v>
      </c>
      <c r="U2162">
        <v>0</v>
      </c>
      <c r="V2162">
        <v>0</v>
      </c>
      <c r="W2162" s="1">
        <v>44160</v>
      </c>
      <c r="X2162" t="s">
        <v>56</v>
      </c>
      <c r="AA2162" t="s">
        <v>40</v>
      </c>
      <c r="AB2162" t="s">
        <v>40</v>
      </c>
      <c r="AE2162" t="s">
        <v>40</v>
      </c>
      <c r="AG2162" t="s">
        <v>40</v>
      </c>
      <c r="AJ2162" t="s">
        <v>40</v>
      </c>
      <c r="AK2162" t="s">
        <v>40</v>
      </c>
    </row>
    <row r="2163" spans="1:39" x14ac:dyDescent="0.3">
      <c r="A2163">
        <v>2020</v>
      </c>
      <c r="B2163">
        <v>7</v>
      </c>
      <c r="C2163" t="str">
        <f t="shared" si="66"/>
        <v>7/01/2020</v>
      </c>
      <c r="D2163" s="1" t="str">
        <f t="shared" si="67"/>
        <v>7/01/2020</v>
      </c>
      <c r="E2163" t="s">
        <v>37</v>
      </c>
      <c r="F2163" t="s">
        <v>38</v>
      </c>
      <c r="G2163" t="s">
        <v>41</v>
      </c>
      <c r="H2163">
        <v>183</v>
      </c>
      <c r="I2163">
        <v>84</v>
      </c>
      <c r="J2163">
        <v>0</v>
      </c>
      <c r="K2163">
        <v>10</v>
      </c>
      <c r="M2163">
        <v>0</v>
      </c>
      <c r="N2163">
        <v>0</v>
      </c>
      <c r="Q2163">
        <v>0</v>
      </c>
      <c r="R2163">
        <v>15</v>
      </c>
      <c r="U2163">
        <v>22</v>
      </c>
      <c r="V2163">
        <v>22</v>
      </c>
      <c r="W2163" s="1">
        <v>44160</v>
      </c>
      <c r="X2163" t="s">
        <v>56</v>
      </c>
      <c r="AC2163" t="s">
        <v>40</v>
      </c>
      <c r="AF2163" t="s">
        <v>40</v>
      </c>
      <c r="AG2163" t="s">
        <v>40</v>
      </c>
      <c r="AJ2163" t="s">
        <v>40</v>
      </c>
      <c r="AK2163" t="s">
        <v>40</v>
      </c>
    </row>
    <row r="2164" spans="1:39" x14ac:dyDescent="0.3">
      <c r="A2164">
        <v>2020</v>
      </c>
      <c r="B2164">
        <v>7</v>
      </c>
      <c r="C2164" t="str">
        <f t="shared" si="66"/>
        <v>7/01/2020</v>
      </c>
      <c r="D2164" s="1" t="str">
        <f t="shared" si="67"/>
        <v>7/01/2020</v>
      </c>
      <c r="E2164" t="s">
        <v>37</v>
      </c>
      <c r="F2164" t="s">
        <v>38</v>
      </c>
      <c r="G2164" t="s">
        <v>42</v>
      </c>
      <c r="H2164">
        <v>281</v>
      </c>
      <c r="I2164">
        <v>171</v>
      </c>
      <c r="K2164">
        <v>25</v>
      </c>
      <c r="L2164">
        <v>10</v>
      </c>
      <c r="M2164">
        <v>0</v>
      </c>
      <c r="P2164">
        <v>0</v>
      </c>
      <c r="R2164">
        <v>14</v>
      </c>
      <c r="S2164">
        <v>13</v>
      </c>
      <c r="U2164">
        <v>52</v>
      </c>
      <c r="V2164">
        <v>48</v>
      </c>
      <c r="W2164" s="1">
        <v>44160</v>
      </c>
      <c r="X2164" t="s">
        <v>56</v>
      </c>
      <c r="AA2164" t="s">
        <v>40</v>
      </c>
      <c r="AE2164" t="s">
        <v>40</v>
      </c>
      <c r="AF2164" t="s">
        <v>40</v>
      </c>
      <c r="AH2164" t="s">
        <v>40</v>
      </c>
      <c r="AK2164" t="s">
        <v>40</v>
      </c>
    </row>
    <row r="2165" spans="1:39" x14ac:dyDescent="0.3">
      <c r="A2165">
        <v>2020</v>
      </c>
      <c r="B2165">
        <v>7</v>
      </c>
      <c r="C2165" t="str">
        <f t="shared" si="66"/>
        <v>7/01/2020</v>
      </c>
      <c r="D2165" s="1" t="str">
        <f t="shared" si="67"/>
        <v>7/01/2020</v>
      </c>
      <c r="E2165" t="s">
        <v>37</v>
      </c>
      <c r="F2165" t="s">
        <v>38</v>
      </c>
      <c r="G2165" t="s">
        <v>43</v>
      </c>
      <c r="H2165">
        <v>501</v>
      </c>
      <c r="I2165">
        <v>418</v>
      </c>
      <c r="K2165">
        <v>84</v>
      </c>
      <c r="L2165">
        <v>22</v>
      </c>
      <c r="M2165">
        <v>0</v>
      </c>
      <c r="R2165">
        <v>16</v>
      </c>
      <c r="S2165">
        <v>37</v>
      </c>
      <c r="U2165">
        <v>137</v>
      </c>
      <c r="V2165">
        <v>130</v>
      </c>
      <c r="W2165" s="1">
        <v>44160</v>
      </c>
      <c r="X2165" t="s">
        <v>56</v>
      </c>
      <c r="AA2165" t="s">
        <v>40</v>
      </c>
      <c r="AE2165" t="s">
        <v>40</v>
      </c>
      <c r="AF2165" t="s">
        <v>40</v>
      </c>
      <c r="AG2165" t="s">
        <v>40</v>
      </c>
      <c r="AH2165" t="s">
        <v>40</v>
      </c>
      <c r="AK2165" t="s">
        <v>40</v>
      </c>
    </row>
    <row r="2166" spans="1:39" x14ac:dyDescent="0.3">
      <c r="A2166">
        <v>2020</v>
      </c>
      <c r="B2166">
        <v>7</v>
      </c>
      <c r="C2166" t="str">
        <f t="shared" si="66"/>
        <v>7/01/2020</v>
      </c>
      <c r="D2166" s="1" t="str">
        <f t="shared" si="67"/>
        <v>7/01/2020</v>
      </c>
      <c r="E2166" t="s">
        <v>37</v>
      </c>
      <c r="F2166" t="s">
        <v>38</v>
      </c>
      <c r="G2166" t="s">
        <v>44</v>
      </c>
      <c r="H2166">
        <v>915</v>
      </c>
      <c r="I2166">
        <v>841</v>
      </c>
      <c r="K2166">
        <v>205</v>
      </c>
      <c r="L2166">
        <v>32</v>
      </c>
      <c r="M2166">
        <v>0</v>
      </c>
      <c r="Q2166">
        <v>14</v>
      </c>
      <c r="R2166">
        <v>23</v>
      </c>
      <c r="S2166">
        <v>71</v>
      </c>
      <c r="T2166">
        <v>26</v>
      </c>
      <c r="U2166">
        <v>303</v>
      </c>
      <c r="V2166">
        <v>292</v>
      </c>
      <c r="W2166" s="1">
        <v>44160</v>
      </c>
      <c r="X2166" t="s">
        <v>56</v>
      </c>
      <c r="AA2166" t="s">
        <v>40</v>
      </c>
      <c r="AE2166" t="s">
        <v>40</v>
      </c>
      <c r="AF2166" t="s">
        <v>40</v>
      </c>
      <c r="AG2166" t="s">
        <v>40</v>
      </c>
    </row>
    <row r="2167" spans="1:39" x14ac:dyDescent="0.3">
      <c r="A2167">
        <v>2020</v>
      </c>
      <c r="B2167">
        <v>7</v>
      </c>
      <c r="C2167" t="str">
        <f t="shared" si="66"/>
        <v>7/01/2020</v>
      </c>
      <c r="D2167" s="1" t="str">
        <f t="shared" si="67"/>
        <v>7/01/2020</v>
      </c>
      <c r="E2167" t="s">
        <v>37</v>
      </c>
      <c r="F2167" t="s">
        <v>38</v>
      </c>
      <c r="G2167" t="s">
        <v>45</v>
      </c>
      <c r="H2167">
        <v>50</v>
      </c>
      <c r="I2167">
        <v>24</v>
      </c>
      <c r="J2167">
        <v>0</v>
      </c>
      <c r="K2167">
        <v>10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T2167">
        <v>0</v>
      </c>
      <c r="W2167" s="1">
        <v>44160</v>
      </c>
      <c r="X2167" t="s">
        <v>56</v>
      </c>
      <c r="AI2167" t="s">
        <v>40</v>
      </c>
      <c r="AJ2167" t="s">
        <v>40</v>
      </c>
      <c r="AL2167" t="s">
        <v>40</v>
      </c>
      <c r="AM2167" t="s">
        <v>40</v>
      </c>
    </row>
    <row r="2168" spans="1:39" x14ac:dyDescent="0.3">
      <c r="A2168">
        <v>2020</v>
      </c>
      <c r="B2168">
        <v>7</v>
      </c>
      <c r="C2168" t="str">
        <f t="shared" si="66"/>
        <v>7/01/2020</v>
      </c>
      <c r="D2168" s="1" t="str">
        <f t="shared" si="67"/>
        <v>7/01/2020</v>
      </c>
      <c r="E2168" t="s">
        <v>37</v>
      </c>
      <c r="F2168" t="s">
        <v>38</v>
      </c>
      <c r="G2168" t="s">
        <v>46</v>
      </c>
      <c r="H2168" s="2">
        <v>1648</v>
      </c>
      <c r="I2168" s="2">
        <v>1592</v>
      </c>
      <c r="J2168">
        <v>21</v>
      </c>
      <c r="K2168">
        <v>347</v>
      </c>
      <c r="L2168">
        <v>94</v>
      </c>
      <c r="N2168">
        <v>17</v>
      </c>
      <c r="O2168">
        <v>22</v>
      </c>
      <c r="P2168">
        <v>19</v>
      </c>
      <c r="Q2168">
        <v>18</v>
      </c>
      <c r="R2168">
        <v>23</v>
      </c>
      <c r="S2168">
        <v>179</v>
      </c>
      <c r="T2168">
        <v>48</v>
      </c>
      <c r="U2168">
        <v>619</v>
      </c>
      <c r="V2168">
        <v>596</v>
      </c>
      <c r="W2168" s="1">
        <v>44160</v>
      </c>
      <c r="X2168" t="s">
        <v>56</v>
      </c>
      <c r="AD2168" t="s">
        <v>40</v>
      </c>
    </row>
    <row r="2169" spans="1:39" x14ac:dyDescent="0.3">
      <c r="A2169">
        <v>2020</v>
      </c>
      <c r="B2169">
        <v>7</v>
      </c>
      <c r="C2169" t="str">
        <f t="shared" si="66"/>
        <v>7/01/2020</v>
      </c>
      <c r="D2169" s="1" t="str">
        <f t="shared" si="67"/>
        <v>7/01/2020</v>
      </c>
      <c r="E2169" t="s">
        <v>37</v>
      </c>
      <c r="F2169" t="s">
        <v>38</v>
      </c>
      <c r="G2169" t="s">
        <v>47</v>
      </c>
      <c r="H2169" s="2">
        <v>2333</v>
      </c>
      <c r="I2169" s="2">
        <v>2287</v>
      </c>
      <c r="J2169">
        <v>32</v>
      </c>
      <c r="K2169">
        <v>444</v>
      </c>
      <c r="L2169">
        <v>124</v>
      </c>
      <c r="M2169">
        <v>29</v>
      </c>
      <c r="N2169">
        <v>25</v>
      </c>
      <c r="O2169">
        <v>33</v>
      </c>
      <c r="P2169">
        <v>31</v>
      </c>
      <c r="Q2169">
        <v>42</v>
      </c>
      <c r="R2169">
        <v>17</v>
      </c>
      <c r="S2169">
        <v>291</v>
      </c>
      <c r="T2169">
        <v>77</v>
      </c>
      <c r="U2169">
        <v>877</v>
      </c>
      <c r="V2169">
        <v>828</v>
      </c>
      <c r="W2169" s="1">
        <v>44160</v>
      </c>
      <c r="X2169" t="s">
        <v>56</v>
      </c>
    </row>
    <row r="2170" spans="1:39" x14ac:dyDescent="0.3">
      <c r="A2170">
        <v>2020</v>
      </c>
      <c r="B2170">
        <v>7</v>
      </c>
      <c r="C2170" t="str">
        <f t="shared" si="66"/>
        <v>7/01/2020</v>
      </c>
      <c r="D2170" s="1" t="str">
        <f t="shared" si="67"/>
        <v>7/01/2020</v>
      </c>
      <c r="E2170" t="s">
        <v>37</v>
      </c>
      <c r="F2170" t="s">
        <v>38</v>
      </c>
      <c r="G2170" t="s">
        <v>48</v>
      </c>
      <c r="H2170" s="2">
        <v>2878</v>
      </c>
      <c r="I2170" s="2">
        <v>2833</v>
      </c>
      <c r="J2170">
        <v>25</v>
      </c>
      <c r="K2170">
        <v>398</v>
      </c>
      <c r="L2170">
        <v>150</v>
      </c>
      <c r="M2170">
        <v>162</v>
      </c>
      <c r="N2170">
        <v>48</v>
      </c>
      <c r="O2170">
        <v>58</v>
      </c>
      <c r="P2170">
        <v>44</v>
      </c>
      <c r="Q2170">
        <v>45</v>
      </c>
      <c r="R2170">
        <v>20</v>
      </c>
      <c r="S2170">
        <v>455</v>
      </c>
      <c r="T2170">
        <v>155</v>
      </c>
      <c r="U2170">
        <v>901</v>
      </c>
      <c r="V2170">
        <v>849</v>
      </c>
      <c r="W2170" s="1">
        <v>44160</v>
      </c>
      <c r="X2170" t="s">
        <v>56</v>
      </c>
    </row>
    <row r="2171" spans="1:39" x14ac:dyDescent="0.3">
      <c r="A2171">
        <v>2020</v>
      </c>
      <c r="B2171">
        <v>7</v>
      </c>
      <c r="C2171" t="str">
        <f t="shared" si="66"/>
        <v>7/01/2020</v>
      </c>
      <c r="D2171" s="1" t="str">
        <f t="shared" si="67"/>
        <v>7/01/2020</v>
      </c>
      <c r="E2171" t="s">
        <v>37</v>
      </c>
      <c r="F2171" t="s">
        <v>38</v>
      </c>
      <c r="G2171" t="s">
        <v>49</v>
      </c>
      <c r="H2171" s="2">
        <v>3640</v>
      </c>
      <c r="I2171" s="2">
        <v>3587</v>
      </c>
      <c r="J2171">
        <v>19</v>
      </c>
      <c r="K2171">
        <v>269</v>
      </c>
      <c r="L2171">
        <v>122</v>
      </c>
      <c r="M2171">
        <v>427</v>
      </c>
      <c r="N2171">
        <v>44</v>
      </c>
      <c r="O2171">
        <v>83</v>
      </c>
      <c r="P2171">
        <v>32</v>
      </c>
      <c r="Q2171">
        <v>36</v>
      </c>
      <c r="R2171">
        <v>31</v>
      </c>
      <c r="S2171">
        <v>734</v>
      </c>
      <c r="T2171">
        <v>288</v>
      </c>
      <c r="U2171">
        <v>859</v>
      </c>
      <c r="V2171">
        <v>786</v>
      </c>
      <c r="W2171" s="1">
        <v>44160</v>
      </c>
      <c r="X2171" t="s">
        <v>56</v>
      </c>
    </row>
    <row r="2172" spans="1:39" x14ac:dyDescent="0.3">
      <c r="A2172">
        <v>2020</v>
      </c>
      <c r="B2172">
        <v>7</v>
      </c>
      <c r="C2172" t="str">
        <f t="shared" si="66"/>
        <v>7/01/2020</v>
      </c>
      <c r="D2172" s="1" t="str">
        <f t="shared" si="67"/>
        <v>7/01/2020</v>
      </c>
      <c r="E2172" t="s">
        <v>37</v>
      </c>
      <c r="F2172" t="s">
        <v>50</v>
      </c>
      <c r="G2172" t="s">
        <v>39</v>
      </c>
      <c r="H2172">
        <v>12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S2172">
        <v>0</v>
      </c>
      <c r="T2172">
        <v>0</v>
      </c>
      <c r="U2172">
        <v>0</v>
      </c>
      <c r="V2172">
        <v>0</v>
      </c>
      <c r="W2172" s="1">
        <v>44160</v>
      </c>
      <c r="X2172" t="s">
        <v>56</v>
      </c>
      <c r="Z2172" t="s">
        <v>40</v>
      </c>
      <c r="AA2172" t="s">
        <v>40</v>
      </c>
      <c r="AI2172" t="s">
        <v>40</v>
      </c>
    </row>
    <row r="2173" spans="1:39" x14ac:dyDescent="0.3">
      <c r="A2173">
        <v>2020</v>
      </c>
      <c r="B2173">
        <v>7</v>
      </c>
      <c r="C2173" t="str">
        <f t="shared" si="66"/>
        <v>7/01/2020</v>
      </c>
      <c r="D2173" s="1" t="str">
        <f t="shared" si="67"/>
        <v>7/01/2020</v>
      </c>
      <c r="E2173" t="s">
        <v>37</v>
      </c>
      <c r="F2173" t="s">
        <v>50</v>
      </c>
      <c r="G2173" t="s">
        <v>41</v>
      </c>
      <c r="H2173">
        <v>17</v>
      </c>
      <c r="J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S2173">
        <v>0</v>
      </c>
      <c r="T2173">
        <v>0</v>
      </c>
      <c r="U2173">
        <v>0</v>
      </c>
      <c r="V2173">
        <v>0</v>
      </c>
      <c r="W2173" s="1">
        <v>44160</v>
      </c>
      <c r="X2173" t="s">
        <v>56</v>
      </c>
      <c r="Z2173" t="s">
        <v>40</v>
      </c>
      <c r="AB2173" t="s">
        <v>40</v>
      </c>
      <c r="AI2173" t="s">
        <v>40</v>
      </c>
    </row>
    <row r="2174" spans="1:39" x14ac:dyDescent="0.3">
      <c r="A2174">
        <v>2020</v>
      </c>
      <c r="B2174">
        <v>7</v>
      </c>
      <c r="C2174" t="str">
        <f t="shared" si="66"/>
        <v>7/01/2020</v>
      </c>
      <c r="D2174" s="1" t="str">
        <f t="shared" si="67"/>
        <v>7/01/2020</v>
      </c>
      <c r="E2174" t="s">
        <v>37</v>
      </c>
      <c r="F2174" t="s">
        <v>50</v>
      </c>
      <c r="G2174" t="s">
        <v>42</v>
      </c>
      <c r="H2174">
        <v>66</v>
      </c>
      <c r="I2174">
        <v>49</v>
      </c>
      <c r="J2174">
        <v>0</v>
      </c>
      <c r="L2174">
        <v>0</v>
      </c>
      <c r="M2174">
        <v>0</v>
      </c>
      <c r="N2174">
        <v>0</v>
      </c>
      <c r="P2174">
        <v>0</v>
      </c>
      <c r="Q2174">
        <v>0</v>
      </c>
      <c r="U2174">
        <v>12</v>
      </c>
      <c r="V2174">
        <v>11</v>
      </c>
      <c r="W2174" s="1">
        <v>44160</v>
      </c>
      <c r="X2174" t="s">
        <v>56</v>
      </c>
      <c r="AB2174" t="s">
        <v>40</v>
      </c>
      <c r="AF2174" t="s">
        <v>40</v>
      </c>
      <c r="AI2174" t="s">
        <v>40</v>
      </c>
      <c r="AJ2174" t="s">
        <v>40</v>
      </c>
      <c r="AK2174" t="s">
        <v>40</v>
      </c>
    </row>
    <row r="2175" spans="1:39" x14ac:dyDescent="0.3">
      <c r="A2175">
        <v>2020</v>
      </c>
      <c r="B2175">
        <v>7</v>
      </c>
      <c r="C2175" t="str">
        <f t="shared" si="66"/>
        <v>7/01/2020</v>
      </c>
      <c r="D2175" s="1" t="str">
        <f t="shared" si="67"/>
        <v>7/01/2020</v>
      </c>
      <c r="E2175" t="s">
        <v>37</v>
      </c>
      <c r="F2175" t="s">
        <v>50</v>
      </c>
      <c r="G2175" t="s">
        <v>43</v>
      </c>
      <c r="H2175">
        <v>80</v>
      </c>
      <c r="I2175">
        <v>56</v>
      </c>
      <c r="J2175">
        <v>0</v>
      </c>
      <c r="L2175">
        <v>0</v>
      </c>
      <c r="M2175">
        <v>0</v>
      </c>
      <c r="N2175">
        <v>0</v>
      </c>
      <c r="P2175">
        <v>0</v>
      </c>
      <c r="Q2175">
        <v>0</v>
      </c>
      <c r="T2175">
        <v>0</v>
      </c>
      <c r="U2175">
        <v>14</v>
      </c>
      <c r="V2175">
        <v>12</v>
      </c>
      <c r="W2175" s="1">
        <v>44160</v>
      </c>
      <c r="X2175" t="s">
        <v>56</v>
      </c>
      <c r="AB2175" t="s">
        <v>40</v>
      </c>
      <c r="AF2175" t="s">
        <v>40</v>
      </c>
      <c r="AI2175" t="s">
        <v>40</v>
      </c>
      <c r="AJ2175" t="s">
        <v>40</v>
      </c>
    </row>
    <row r="2176" spans="1:39" x14ac:dyDescent="0.3">
      <c r="A2176">
        <v>2020</v>
      </c>
      <c r="B2176">
        <v>7</v>
      </c>
      <c r="C2176" t="str">
        <f t="shared" si="66"/>
        <v>7/01/2020</v>
      </c>
      <c r="D2176" s="1" t="str">
        <f t="shared" si="67"/>
        <v>7/01/2020</v>
      </c>
      <c r="E2176" t="s">
        <v>37</v>
      </c>
      <c r="F2176" t="s">
        <v>50</v>
      </c>
      <c r="G2176" t="s">
        <v>44</v>
      </c>
      <c r="H2176">
        <v>98</v>
      </c>
      <c r="I2176">
        <v>84</v>
      </c>
      <c r="K2176">
        <v>12</v>
      </c>
      <c r="M2176">
        <v>0</v>
      </c>
      <c r="U2176">
        <v>18</v>
      </c>
      <c r="V2176">
        <v>18</v>
      </c>
      <c r="W2176" s="1">
        <v>44160</v>
      </c>
      <c r="X2176" t="s">
        <v>56</v>
      </c>
      <c r="AA2176" t="s">
        <v>40</v>
      </c>
      <c r="AC2176" t="s">
        <v>40</v>
      </c>
      <c r="AE2176" t="s">
        <v>40</v>
      </c>
      <c r="AF2176" t="s">
        <v>40</v>
      </c>
      <c r="AG2176" t="s">
        <v>40</v>
      </c>
      <c r="AH2176" t="s">
        <v>40</v>
      </c>
      <c r="AI2176" t="s">
        <v>40</v>
      </c>
      <c r="AJ2176" t="s">
        <v>40</v>
      </c>
      <c r="AK2176" t="s">
        <v>40</v>
      </c>
    </row>
    <row r="2177" spans="1:39" x14ac:dyDescent="0.3">
      <c r="A2177">
        <v>2020</v>
      </c>
      <c r="B2177">
        <v>7</v>
      </c>
      <c r="C2177" t="str">
        <f t="shared" si="66"/>
        <v>7/01/2020</v>
      </c>
      <c r="D2177" s="1" t="str">
        <f t="shared" si="67"/>
        <v>7/01/2020</v>
      </c>
      <c r="E2177" t="s">
        <v>37</v>
      </c>
      <c r="F2177" t="s">
        <v>50</v>
      </c>
      <c r="G2177" t="s">
        <v>45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 s="1">
        <v>44160</v>
      </c>
      <c r="X2177" t="s">
        <v>56</v>
      </c>
      <c r="Y2177" t="s">
        <v>40</v>
      </c>
    </row>
    <row r="2178" spans="1:39" x14ac:dyDescent="0.3">
      <c r="A2178">
        <v>2020</v>
      </c>
      <c r="B2178">
        <v>7</v>
      </c>
      <c r="C2178" t="str">
        <f t="shared" si="66"/>
        <v>7/01/2020</v>
      </c>
      <c r="D2178" s="1" t="str">
        <f t="shared" si="67"/>
        <v>7/01/2020</v>
      </c>
      <c r="E2178" t="s">
        <v>37</v>
      </c>
      <c r="F2178" t="s">
        <v>50</v>
      </c>
      <c r="G2178" t="s">
        <v>46</v>
      </c>
      <c r="H2178">
        <v>198</v>
      </c>
      <c r="I2178">
        <v>186</v>
      </c>
      <c r="K2178">
        <v>31</v>
      </c>
      <c r="M2178">
        <v>0</v>
      </c>
      <c r="O2178">
        <v>12</v>
      </c>
      <c r="S2178">
        <v>18</v>
      </c>
      <c r="U2178">
        <v>43</v>
      </c>
      <c r="V2178">
        <v>41</v>
      </c>
      <c r="W2178" s="1">
        <v>44160</v>
      </c>
      <c r="X2178" t="s">
        <v>56</v>
      </c>
      <c r="AA2178" t="s">
        <v>40</v>
      </c>
      <c r="AC2178" t="s">
        <v>40</v>
      </c>
      <c r="AE2178" t="s">
        <v>40</v>
      </c>
      <c r="AG2178" t="s">
        <v>40</v>
      </c>
      <c r="AH2178" t="s">
        <v>40</v>
      </c>
      <c r="AI2178" t="s">
        <v>40</v>
      </c>
      <c r="AK2178" t="s">
        <v>40</v>
      </c>
    </row>
    <row r="2179" spans="1:39" x14ac:dyDescent="0.3">
      <c r="A2179">
        <v>2020</v>
      </c>
      <c r="B2179">
        <v>7</v>
      </c>
      <c r="C2179" t="str">
        <f t="shared" ref="C2179:C2242" si="68">CONCATENATE(B2179,"/01/",A2179)</f>
        <v>7/01/2020</v>
      </c>
      <c r="D2179" s="1" t="str">
        <f t="shared" ref="D2179:D2242" si="69">C2179</f>
        <v>7/01/2020</v>
      </c>
      <c r="E2179" t="s">
        <v>37</v>
      </c>
      <c r="F2179" t="s">
        <v>50</v>
      </c>
      <c r="G2179" t="s">
        <v>47</v>
      </c>
      <c r="H2179">
        <v>195</v>
      </c>
      <c r="I2179">
        <v>189</v>
      </c>
      <c r="K2179">
        <v>31</v>
      </c>
      <c r="L2179">
        <v>25</v>
      </c>
      <c r="O2179">
        <v>10</v>
      </c>
      <c r="S2179">
        <v>20</v>
      </c>
      <c r="U2179">
        <v>53</v>
      </c>
      <c r="V2179">
        <v>50</v>
      </c>
      <c r="W2179" s="1">
        <v>44160</v>
      </c>
      <c r="X2179" t="s">
        <v>56</v>
      </c>
      <c r="AA2179" t="s">
        <v>40</v>
      </c>
      <c r="AD2179" t="s">
        <v>40</v>
      </c>
      <c r="AE2179" t="s">
        <v>40</v>
      </c>
      <c r="AG2179" t="s">
        <v>40</v>
      </c>
      <c r="AH2179" t="s">
        <v>40</v>
      </c>
      <c r="AI2179" t="s">
        <v>40</v>
      </c>
      <c r="AK2179" t="s">
        <v>40</v>
      </c>
    </row>
    <row r="2180" spans="1:39" x14ac:dyDescent="0.3">
      <c r="A2180">
        <v>2020</v>
      </c>
      <c r="B2180">
        <v>7</v>
      </c>
      <c r="C2180" t="str">
        <f t="shared" si="68"/>
        <v>7/01/2020</v>
      </c>
      <c r="D2180" s="1" t="str">
        <f t="shared" si="69"/>
        <v>7/01/2020</v>
      </c>
      <c r="E2180" t="s">
        <v>37</v>
      </c>
      <c r="F2180" t="s">
        <v>50</v>
      </c>
      <c r="G2180" t="s">
        <v>48</v>
      </c>
      <c r="H2180">
        <v>169</v>
      </c>
      <c r="I2180">
        <v>166</v>
      </c>
      <c r="K2180">
        <v>35</v>
      </c>
      <c r="R2180">
        <v>0</v>
      </c>
      <c r="S2180">
        <v>23</v>
      </c>
      <c r="T2180">
        <v>10</v>
      </c>
      <c r="U2180">
        <v>38</v>
      </c>
      <c r="V2180">
        <v>35</v>
      </c>
      <c r="W2180" s="1">
        <v>44160</v>
      </c>
      <c r="X2180" t="s">
        <v>56</v>
      </c>
      <c r="AA2180" t="s">
        <v>40</v>
      </c>
      <c r="AC2180" t="s">
        <v>40</v>
      </c>
      <c r="AD2180" t="s">
        <v>40</v>
      </c>
      <c r="AE2180" t="s">
        <v>40</v>
      </c>
      <c r="AF2180" t="s">
        <v>40</v>
      </c>
      <c r="AG2180" t="s">
        <v>40</v>
      </c>
      <c r="AH2180" t="s">
        <v>40</v>
      </c>
    </row>
    <row r="2181" spans="1:39" x14ac:dyDescent="0.3">
      <c r="A2181">
        <v>2020</v>
      </c>
      <c r="B2181">
        <v>7</v>
      </c>
      <c r="C2181" t="str">
        <f t="shared" si="68"/>
        <v>7/01/2020</v>
      </c>
      <c r="D2181" s="1" t="str">
        <f t="shared" si="69"/>
        <v>7/01/2020</v>
      </c>
      <c r="E2181" t="s">
        <v>37</v>
      </c>
      <c r="F2181" t="s">
        <v>50</v>
      </c>
      <c r="G2181" t="s">
        <v>49</v>
      </c>
      <c r="H2181">
        <v>134</v>
      </c>
      <c r="I2181">
        <v>133</v>
      </c>
      <c r="M2181">
        <v>12</v>
      </c>
      <c r="S2181">
        <v>29</v>
      </c>
      <c r="U2181">
        <v>29</v>
      </c>
      <c r="V2181">
        <v>26</v>
      </c>
      <c r="W2181" s="1">
        <v>44160</v>
      </c>
      <c r="X2181" t="s">
        <v>56</v>
      </c>
      <c r="AA2181" t="s">
        <v>40</v>
      </c>
      <c r="AB2181" t="s">
        <v>40</v>
      </c>
      <c r="AC2181" t="s">
        <v>40</v>
      </c>
      <c r="AE2181" t="s">
        <v>40</v>
      </c>
      <c r="AF2181" t="s">
        <v>40</v>
      </c>
      <c r="AG2181" t="s">
        <v>40</v>
      </c>
      <c r="AH2181" t="s">
        <v>40</v>
      </c>
      <c r="AI2181" t="s">
        <v>40</v>
      </c>
      <c r="AK2181" t="s">
        <v>40</v>
      </c>
    </row>
    <row r="2182" spans="1:39" x14ac:dyDescent="0.3">
      <c r="A2182">
        <v>2020</v>
      </c>
      <c r="B2182">
        <v>7</v>
      </c>
      <c r="C2182" t="str">
        <f t="shared" si="68"/>
        <v>7/01/2020</v>
      </c>
      <c r="D2182" s="1" t="str">
        <f t="shared" si="69"/>
        <v>7/01/2020</v>
      </c>
      <c r="E2182" t="s">
        <v>37</v>
      </c>
      <c r="F2182" t="s">
        <v>51</v>
      </c>
      <c r="G2182" t="s">
        <v>39</v>
      </c>
      <c r="H2182">
        <v>18</v>
      </c>
      <c r="I2182">
        <v>18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Q2182">
        <v>0</v>
      </c>
      <c r="S2182">
        <v>0</v>
      </c>
      <c r="T2182">
        <v>0</v>
      </c>
      <c r="U2182">
        <v>0</v>
      </c>
      <c r="V2182">
        <v>0</v>
      </c>
      <c r="W2182" s="1">
        <v>44160</v>
      </c>
      <c r="X2182" t="s">
        <v>56</v>
      </c>
      <c r="AG2182" t="s">
        <v>40</v>
      </c>
      <c r="AI2182" t="s">
        <v>40</v>
      </c>
    </row>
    <row r="2183" spans="1:39" x14ac:dyDescent="0.3">
      <c r="A2183">
        <v>2020</v>
      </c>
      <c r="B2183">
        <v>7</v>
      </c>
      <c r="C2183" t="str">
        <f t="shared" si="68"/>
        <v>7/01/2020</v>
      </c>
      <c r="D2183" s="1" t="str">
        <f t="shared" si="69"/>
        <v>7/01/2020</v>
      </c>
      <c r="E2183" t="s">
        <v>37</v>
      </c>
      <c r="F2183" t="s">
        <v>51</v>
      </c>
      <c r="G2183" t="s">
        <v>41</v>
      </c>
      <c r="H2183">
        <v>29</v>
      </c>
      <c r="I2183">
        <v>11</v>
      </c>
      <c r="J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W2183" s="1">
        <v>44160</v>
      </c>
      <c r="X2183" t="s">
        <v>56</v>
      </c>
      <c r="AB2183" t="s">
        <v>40</v>
      </c>
      <c r="AI2183" t="s">
        <v>40</v>
      </c>
      <c r="AJ2183" t="s">
        <v>40</v>
      </c>
      <c r="AK2183" t="s">
        <v>40</v>
      </c>
      <c r="AL2183" t="s">
        <v>40</v>
      </c>
      <c r="AM2183" t="s">
        <v>40</v>
      </c>
    </row>
    <row r="2184" spans="1:39" x14ac:dyDescent="0.3">
      <c r="A2184">
        <v>2020</v>
      </c>
      <c r="B2184">
        <v>7</v>
      </c>
      <c r="C2184" t="str">
        <f t="shared" si="68"/>
        <v>7/01/2020</v>
      </c>
      <c r="D2184" s="1" t="str">
        <f t="shared" si="69"/>
        <v>7/01/2020</v>
      </c>
      <c r="E2184" t="s">
        <v>37</v>
      </c>
      <c r="F2184" t="s">
        <v>51</v>
      </c>
      <c r="G2184" t="s">
        <v>42</v>
      </c>
      <c r="H2184">
        <v>47</v>
      </c>
      <c r="I2184">
        <v>27</v>
      </c>
      <c r="J2184">
        <v>0</v>
      </c>
      <c r="L2184">
        <v>0</v>
      </c>
      <c r="M2184">
        <v>0</v>
      </c>
      <c r="N2184">
        <v>0</v>
      </c>
      <c r="Q2184">
        <v>0</v>
      </c>
      <c r="W2184" s="1">
        <v>44160</v>
      </c>
      <c r="X2184" t="s">
        <v>56</v>
      </c>
      <c r="AB2184" t="s">
        <v>40</v>
      </c>
      <c r="AF2184" t="s">
        <v>40</v>
      </c>
      <c r="AG2184" t="s">
        <v>40</v>
      </c>
      <c r="AI2184" t="s">
        <v>40</v>
      </c>
      <c r="AJ2184" t="s">
        <v>40</v>
      </c>
      <c r="AK2184" t="s">
        <v>40</v>
      </c>
      <c r="AL2184" t="s">
        <v>40</v>
      </c>
      <c r="AM2184" t="s">
        <v>40</v>
      </c>
    </row>
    <row r="2185" spans="1:39" x14ac:dyDescent="0.3">
      <c r="A2185">
        <v>2020</v>
      </c>
      <c r="B2185">
        <v>7</v>
      </c>
      <c r="C2185" t="str">
        <f t="shared" si="68"/>
        <v>7/01/2020</v>
      </c>
      <c r="D2185" s="1" t="str">
        <f t="shared" si="69"/>
        <v>7/01/2020</v>
      </c>
      <c r="E2185" t="s">
        <v>37</v>
      </c>
      <c r="F2185" t="s">
        <v>51</v>
      </c>
      <c r="G2185" t="s">
        <v>43</v>
      </c>
      <c r="H2185">
        <v>65</v>
      </c>
      <c r="I2185">
        <v>54</v>
      </c>
      <c r="J2185">
        <v>0</v>
      </c>
      <c r="K2185">
        <v>23</v>
      </c>
      <c r="M2185">
        <v>0</v>
      </c>
      <c r="N2185">
        <v>0</v>
      </c>
      <c r="W2185" s="1">
        <v>44160</v>
      </c>
      <c r="X2185" t="s">
        <v>56</v>
      </c>
      <c r="AC2185" t="s">
        <v>40</v>
      </c>
      <c r="AF2185" t="s">
        <v>40</v>
      </c>
      <c r="AG2185" t="s">
        <v>40</v>
      </c>
      <c r="AH2185" t="s">
        <v>40</v>
      </c>
      <c r="AI2185" t="s">
        <v>40</v>
      </c>
      <c r="AJ2185" t="s">
        <v>40</v>
      </c>
      <c r="AK2185" t="s">
        <v>40</v>
      </c>
      <c r="AL2185" t="s">
        <v>40</v>
      </c>
      <c r="AM2185" t="s">
        <v>40</v>
      </c>
    </row>
    <row r="2186" spans="1:39" x14ac:dyDescent="0.3">
      <c r="A2186">
        <v>2020</v>
      </c>
      <c r="B2186">
        <v>7</v>
      </c>
      <c r="C2186" t="str">
        <f t="shared" si="68"/>
        <v>7/01/2020</v>
      </c>
      <c r="D2186" s="1" t="str">
        <f t="shared" si="69"/>
        <v>7/01/2020</v>
      </c>
      <c r="E2186" t="s">
        <v>37</v>
      </c>
      <c r="F2186" t="s">
        <v>51</v>
      </c>
      <c r="G2186" t="s">
        <v>44</v>
      </c>
      <c r="H2186">
        <v>144</v>
      </c>
      <c r="I2186">
        <v>130</v>
      </c>
      <c r="J2186">
        <v>0</v>
      </c>
      <c r="K2186">
        <v>69</v>
      </c>
      <c r="M2186">
        <v>0</v>
      </c>
      <c r="N2186">
        <v>0</v>
      </c>
      <c r="P2186">
        <v>0</v>
      </c>
      <c r="T2186">
        <v>11</v>
      </c>
      <c r="U2186">
        <v>13</v>
      </c>
      <c r="V2186">
        <v>13</v>
      </c>
      <c r="W2186" s="1">
        <v>44160</v>
      </c>
      <c r="X2186" t="s">
        <v>56</v>
      </c>
      <c r="AC2186" t="s">
        <v>40</v>
      </c>
      <c r="AF2186" t="s">
        <v>40</v>
      </c>
      <c r="AH2186" t="s">
        <v>40</v>
      </c>
      <c r="AI2186" t="s">
        <v>40</v>
      </c>
      <c r="AJ2186" t="s">
        <v>40</v>
      </c>
    </row>
    <row r="2187" spans="1:39" x14ac:dyDescent="0.3">
      <c r="A2187">
        <v>2020</v>
      </c>
      <c r="B2187">
        <v>7</v>
      </c>
      <c r="C2187" t="str">
        <f t="shared" si="68"/>
        <v>7/01/2020</v>
      </c>
      <c r="D2187" s="1" t="str">
        <f t="shared" si="69"/>
        <v>7/01/2020</v>
      </c>
      <c r="E2187" t="s">
        <v>37</v>
      </c>
      <c r="F2187" t="s">
        <v>51</v>
      </c>
      <c r="G2187" t="s">
        <v>45</v>
      </c>
      <c r="J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T2187">
        <v>0</v>
      </c>
      <c r="U2187">
        <v>0</v>
      </c>
      <c r="V2187">
        <v>0</v>
      </c>
      <c r="W2187" s="1">
        <v>44160</v>
      </c>
      <c r="X2187" t="s">
        <v>56</v>
      </c>
      <c r="Y2187" t="s">
        <v>40</v>
      </c>
      <c r="Z2187" t="s">
        <v>40</v>
      </c>
      <c r="AB2187" t="s">
        <v>40</v>
      </c>
      <c r="AJ2187" t="s">
        <v>40</v>
      </c>
    </row>
    <row r="2188" spans="1:39" x14ac:dyDescent="0.3">
      <c r="A2188">
        <v>2020</v>
      </c>
      <c r="B2188">
        <v>7</v>
      </c>
      <c r="C2188" t="str">
        <f t="shared" si="68"/>
        <v>7/01/2020</v>
      </c>
      <c r="D2188" s="1" t="str">
        <f t="shared" si="69"/>
        <v>7/01/2020</v>
      </c>
      <c r="E2188" t="s">
        <v>37</v>
      </c>
      <c r="F2188" t="s">
        <v>51</v>
      </c>
      <c r="G2188" t="s">
        <v>46</v>
      </c>
      <c r="H2188">
        <v>264</v>
      </c>
      <c r="I2188">
        <v>251</v>
      </c>
      <c r="K2188">
        <v>126</v>
      </c>
      <c r="L2188">
        <v>10</v>
      </c>
      <c r="S2188">
        <v>24</v>
      </c>
      <c r="T2188">
        <v>13</v>
      </c>
      <c r="U2188">
        <v>30</v>
      </c>
      <c r="V2188">
        <v>29</v>
      </c>
      <c r="W2188" s="1">
        <v>44160</v>
      </c>
      <c r="X2188" t="s">
        <v>56</v>
      </c>
      <c r="AA2188" t="s">
        <v>40</v>
      </c>
      <c r="AD2188" t="s">
        <v>40</v>
      </c>
      <c r="AE2188" t="s">
        <v>40</v>
      </c>
      <c r="AF2188" t="s">
        <v>40</v>
      </c>
      <c r="AG2188" t="s">
        <v>40</v>
      </c>
      <c r="AH2188" t="s">
        <v>40</v>
      </c>
      <c r="AI2188" t="s">
        <v>40</v>
      </c>
    </row>
    <row r="2189" spans="1:39" x14ac:dyDescent="0.3">
      <c r="A2189">
        <v>2020</v>
      </c>
      <c r="B2189">
        <v>7</v>
      </c>
      <c r="C2189" t="str">
        <f t="shared" si="68"/>
        <v>7/01/2020</v>
      </c>
      <c r="D2189" s="1" t="str">
        <f t="shared" si="69"/>
        <v>7/01/2020</v>
      </c>
      <c r="E2189" t="s">
        <v>37</v>
      </c>
      <c r="F2189" t="s">
        <v>51</v>
      </c>
      <c r="G2189" t="s">
        <v>47</v>
      </c>
      <c r="H2189">
        <v>545</v>
      </c>
      <c r="I2189">
        <v>529</v>
      </c>
      <c r="J2189">
        <v>13</v>
      </c>
      <c r="K2189">
        <v>201</v>
      </c>
      <c r="L2189">
        <v>25</v>
      </c>
      <c r="S2189">
        <v>73</v>
      </c>
      <c r="T2189">
        <v>36</v>
      </c>
      <c r="U2189">
        <v>79</v>
      </c>
      <c r="V2189">
        <v>73</v>
      </c>
      <c r="W2189" s="1">
        <v>44160</v>
      </c>
      <c r="X2189" t="s">
        <v>56</v>
      </c>
      <c r="AD2189" t="s">
        <v>40</v>
      </c>
      <c r="AE2189" t="s">
        <v>40</v>
      </c>
      <c r="AF2189" t="s">
        <v>40</v>
      </c>
      <c r="AG2189" t="s">
        <v>40</v>
      </c>
      <c r="AH2189" t="s">
        <v>40</v>
      </c>
      <c r="AI2189" t="s">
        <v>40</v>
      </c>
    </row>
    <row r="2190" spans="1:39" x14ac:dyDescent="0.3">
      <c r="A2190">
        <v>2020</v>
      </c>
      <c r="B2190">
        <v>7</v>
      </c>
      <c r="C2190" t="str">
        <f t="shared" si="68"/>
        <v>7/01/2020</v>
      </c>
      <c r="D2190" s="1" t="str">
        <f t="shared" si="69"/>
        <v>7/01/2020</v>
      </c>
      <c r="E2190" t="s">
        <v>37</v>
      </c>
      <c r="F2190" t="s">
        <v>51</v>
      </c>
      <c r="G2190" t="s">
        <v>48</v>
      </c>
      <c r="H2190">
        <v>789</v>
      </c>
      <c r="I2190">
        <v>762</v>
      </c>
      <c r="K2190">
        <v>185</v>
      </c>
      <c r="L2190">
        <v>30</v>
      </c>
      <c r="M2190">
        <v>28</v>
      </c>
      <c r="N2190">
        <v>17</v>
      </c>
      <c r="O2190">
        <v>20</v>
      </c>
      <c r="P2190">
        <v>11</v>
      </c>
      <c r="Q2190">
        <v>19</v>
      </c>
      <c r="S2190">
        <v>160</v>
      </c>
      <c r="T2190">
        <v>51</v>
      </c>
      <c r="U2190">
        <v>77</v>
      </c>
      <c r="V2190">
        <v>66</v>
      </c>
      <c r="W2190" s="1">
        <v>44160</v>
      </c>
      <c r="X2190" t="s">
        <v>56</v>
      </c>
      <c r="AA2190" t="s">
        <v>40</v>
      </c>
      <c r="AI2190" t="s">
        <v>40</v>
      </c>
    </row>
    <row r="2191" spans="1:39" x14ac:dyDescent="0.3">
      <c r="A2191">
        <v>2020</v>
      </c>
      <c r="B2191">
        <v>7</v>
      </c>
      <c r="C2191" t="str">
        <f t="shared" si="68"/>
        <v>7/01/2020</v>
      </c>
      <c r="D2191" s="1" t="str">
        <f t="shared" si="69"/>
        <v>7/01/2020</v>
      </c>
      <c r="E2191" t="s">
        <v>37</v>
      </c>
      <c r="F2191" t="s">
        <v>51</v>
      </c>
      <c r="G2191" t="s">
        <v>49</v>
      </c>
      <c r="H2191" s="2">
        <v>1382</v>
      </c>
      <c r="I2191" s="2">
        <v>1345</v>
      </c>
      <c r="J2191">
        <v>11</v>
      </c>
      <c r="K2191">
        <v>129</v>
      </c>
      <c r="L2191">
        <v>50</v>
      </c>
      <c r="M2191">
        <v>134</v>
      </c>
      <c r="N2191">
        <v>25</v>
      </c>
      <c r="O2191">
        <v>27</v>
      </c>
      <c r="Q2191">
        <v>25</v>
      </c>
      <c r="R2191">
        <v>18</v>
      </c>
      <c r="S2191">
        <v>304</v>
      </c>
      <c r="T2191">
        <v>152</v>
      </c>
      <c r="U2191">
        <v>157</v>
      </c>
      <c r="V2191">
        <v>143</v>
      </c>
      <c r="W2191" s="1">
        <v>44160</v>
      </c>
      <c r="X2191" t="s">
        <v>56</v>
      </c>
      <c r="AG2191" t="s">
        <v>40</v>
      </c>
    </row>
    <row r="2192" spans="1:39" x14ac:dyDescent="0.3">
      <c r="A2192">
        <v>2020</v>
      </c>
      <c r="B2192">
        <v>7</v>
      </c>
      <c r="C2192" t="str">
        <f t="shared" si="68"/>
        <v>7/01/2020</v>
      </c>
      <c r="D2192" s="1" t="str">
        <f t="shared" si="69"/>
        <v>7/01/2020</v>
      </c>
      <c r="E2192" t="s">
        <v>37</v>
      </c>
      <c r="F2192" t="s">
        <v>52</v>
      </c>
      <c r="G2192" t="s">
        <v>39</v>
      </c>
      <c r="H2192">
        <v>240</v>
      </c>
      <c r="I2192">
        <v>213</v>
      </c>
      <c r="L2192">
        <v>0</v>
      </c>
      <c r="M2192">
        <v>0</v>
      </c>
      <c r="N2192">
        <v>0</v>
      </c>
      <c r="O2192">
        <v>0</v>
      </c>
      <c r="Q2192">
        <v>0</v>
      </c>
      <c r="R2192">
        <v>39</v>
      </c>
      <c r="V2192">
        <v>0</v>
      </c>
      <c r="W2192" s="1">
        <v>44160</v>
      </c>
      <c r="X2192" t="s">
        <v>56</v>
      </c>
      <c r="AA2192" t="s">
        <v>40</v>
      </c>
      <c r="AB2192" t="s">
        <v>40</v>
      </c>
      <c r="AG2192" t="s">
        <v>40</v>
      </c>
      <c r="AJ2192" t="s">
        <v>40</v>
      </c>
      <c r="AK2192" t="s">
        <v>40</v>
      </c>
      <c r="AL2192" t="s">
        <v>40</v>
      </c>
    </row>
    <row r="2193" spans="1:39" x14ac:dyDescent="0.3">
      <c r="A2193">
        <v>2020</v>
      </c>
      <c r="B2193">
        <v>7</v>
      </c>
      <c r="C2193" t="str">
        <f t="shared" si="68"/>
        <v>7/01/2020</v>
      </c>
      <c r="D2193" s="1" t="str">
        <f t="shared" si="69"/>
        <v>7/01/2020</v>
      </c>
      <c r="E2193" t="s">
        <v>37</v>
      </c>
      <c r="F2193" t="s">
        <v>52</v>
      </c>
      <c r="G2193" t="s">
        <v>41</v>
      </c>
      <c r="H2193">
        <v>221</v>
      </c>
      <c r="I2193">
        <v>78</v>
      </c>
      <c r="M2193">
        <v>0</v>
      </c>
      <c r="P2193">
        <v>0</v>
      </c>
      <c r="R2193">
        <v>18</v>
      </c>
      <c r="U2193">
        <v>11</v>
      </c>
      <c r="W2193" s="1">
        <v>44160</v>
      </c>
      <c r="X2193" t="s">
        <v>56</v>
      </c>
      <c r="AA2193" t="s">
        <v>40</v>
      </c>
      <c r="AB2193" t="s">
        <v>40</v>
      </c>
      <c r="AC2193" t="s">
        <v>40</v>
      </c>
      <c r="AE2193" t="s">
        <v>40</v>
      </c>
      <c r="AF2193" t="s">
        <v>40</v>
      </c>
      <c r="AH2193" t="s">
        <v>40</v>
      </c>
      <c r="AJ2193" t="s">
        <v>40</v>
      </c>
      <c r="AK2193" t="s">
        <v>40</v>
      </c>
      <c r="AM2193" t="s">
        <v>40</v>
      </c>
    </row>
    <row r="2194" spans="1:39" x14ac:dyDescent="0.3">
      <c r="A2194">
        <v>2020</v>
      </c>
      <c r="B2194">
        <v>7</v>
      </c>
      <c r="C2194" t="str">
        <f t="shared" si="68"/>
        <v>7/01/2020</v>
      </c>
      <c r="D2194" s="1" t="str">
        <f t="shared" si="69"/>
        <v>7/01/2020</v>
      </c>
      <c r="E2194" t="s">
        <v>37</v>
      </c>
      <c r="F2194" t="s">
        <v>52</v>
      </c>
      <c r="G2194" t="s">
        <v>42</v>
      </c>
      <c r="H2194">
        <v>468</v>
      </c>
      <c r="I2194">
        <v>259</v>
      </c>
      <c r="K2194">
        <v>33</v>
      </c>
      <c r="L2194">
        <v>13</v>
      </c>
      <c r="M2194">
        <v>0</v>
      </c>
      <c r="R2194">
        <v>34</v>
      </c>
      <c r="S2194">
        <v>46</v>
      </c>
      <c r="U2194">
        <v>31</v>
      </c>
      <c r="V2194">
        <v>29</v>
      </c>
      <c r="W2194" s="1">
        <v>44160</v>
      </c>
      <c r="X2194" t="s">
        <v>56</v>
      </c>
      <c r="AA2194" t="s">
        <v>40</v>
      </c>
      <c r="AE2194" t="s">
        <v>40</v>
      </c>
      <c r="AF2194" t="s">
        <v>40</v>
      </c>
      <c r="AG2194" t="s">
        <v>40</v>
      </c>
      <c r="AH2194" t="s">
        <v>40</v>
      </c>
      <c r="AK2194" t="s">
        <v>40</v>
      </c>
    </row>
    <row r="2195" spans="1:39" x14ac:dyDescent="0.3">
      <c r="A2195">
        <v>2020</v>
      </c>
      <c r="B2195">
        <v>7</v>
      </c>
      <c r="C2195" t="str">
        <f t="shared" si="68"/>
        <v>7/01/2020</v>
      </c>
      <c r="D2195" s="1" t="str">
        <f t="shared" si="69"/>
        <v>7/01/2020</v>
      </c>
      <c r="E2195" t="s">
        <v>37</v>
      </c>
      <c r="F2195" t="s">
        <v>52</v>
      </c>
      <c r="G2195" t="s">
        <v>43</v>
      </c>
      <c r="H2195">
        <v>767</v>
      </c>
      <c r="I2195">
        <v>619</v>
      </c>
      <c r="J2195">
        <v>11</v>
      </c>
      <c r="K2195">
        <v>107</v>
      </c>
      <c r="L2195">
        <v>33</v>
      </c>
      <c r="M2195">
        <v>0</v>
      </c>
      <c r="O2195">
        <v>13</v>
      </c>
      <c r="P2195">
        <v>11</v>
      </c>
      <c r="Q2195">
        <v>21</v>
      </c>
      <c r="R2195">
        <v>36</v>
      </c>
      <c r="S2195">
        <v>112</v>
      </c>
      <c r="T2195">
        <v>23</v>
      </c>
      <c r="U2195">
        <v>101</v>
      </c>
      <c r="V2195">
        <v>86</v>
      </c>
      <c r="W2195" s="1">
        <v>44160</v>
      </c>
      <c r="X2195" t="s">
        <v>56</v>
      </c>
      <c r="AE2195" t="s">
        <v>40</v>
      </c>
    </row>
    <row r="2196" spans="1:39" x14ac:dyDescent="0.3">
      <c r="A2196">
        <v>2020</v>
      </c>
      <c r="B2196">
        <v>7</v>
      </c>
      <c r="C2196" t="str">
        <f t="shared" si="68"/>
        <v>7/01/2020</v>
      </c>
      <c r="D2196" s="1" t="str">
        <f t="shared" si="69"/>
        <v>7/01/2020</v>
      </c>
      <c r="E2196" t="s">
        <v>37</v>
      </c>
      <c r="F2196" t="s">
        <v>52</v>
      </c>
      <c r="G2196" t="s">
        <v>44</v>
      </c>
      <c r="H2196" s="2">
        <v>1385</v>
      </c>
      <c r="I2196" s="2">
        <v>1246</v>
      </c>
      <c r="J2196">
        <v>23</v>
      </c>
      <c r="K2196">
        <v>269</v>
      </c>
      <c r="L2196">
        <v>63</v>
      </c>
      <c r="N2196">
        <v>13</v>
      </c>
      <c r="O2196">
        <v>25</v>
      </c>
      <c r="P2196">
        <v>15</v>
      </c>
      <c r="Q2196">
        <v>28</v>
      </c>
      <c r="R2196">
        <v>48</v>
      </c>
      <c r="S2196">
        <v>271</v>
      </c>
      <c r="T2196">
        <v>60</v>
      </c>
      <c r="U2196">
        <v>204</v>
      </c>
      <c r="V2196">
        <v>197</v>
      </c>
      <c r="W2196" s="1">
        <v>44160</v>
      </c>
      <c r="X2196" t="s">
        <v>56</v>
      </c>
      <c r="AD2196" t="s">
        <v>40</v>
      </c>
    </row>
    <row r="2197" spans="1:39" x14ac:dyDescent="0.3">
      <c r="A2197">
        <v>2020</v>
      </c>
      <c r="B2197">
        <v>7</v>
      </c>
      <c r="C2197" t="str">
        <f t="shared" si="68"/>
        <v>7/01/2020</v>
      </c>
      <c r="D2197" s="1" t="str">
        <f t="shared" si="69"/>
        <v>7/01/2020</v>
      </c>
      <c r="E2197" t="s">
        <v>37</v>
      </c>
      <c r="F2197" t="s">
        <v>52</v>
      </c>
      <c r="G2197" t="s">
        <v>45</v>
      </c>
      <c r="H2197">
        <v>58</v>
      </c>
      <c r="I2197">
        <v>27</v>
      </c>
      <c r="J2197">
        <v>0</v>
      </c>
      <c r="M2197">
        <v>0</v>
      </c>
      <c r="N2197">
        <v>0</v>
      </c>
      <c r="P2197">
        <v>0</v>
      </c>
      <c r="Q2197">
        <v>0</v>
      </c>
      <c r="W2197" s="1">
        <v>44160</v>
      </c>
      <c r="X2197" t="s">
        <v>56</v>
      </c>
      <c r="AB2197" t="s">
        <v>40</v>
      </c>
      <c r="AC2197" t="s">
        <v>40</v>
      </c>
      <c r="AF2197" t="s">
        <v>40</v>
      </c>
      <c r="AI2197" t="s">
        <v>40</v>
      </c>
      <c r="AJ2197" t="s">
        <v>40</v>
      </c>
      <c r="AK2197" t="s">
        <v>40</v>
      </c>
      <c r="AL2197" t="s">
        <v>40</v>
      </c>
      <c r="AM2197" t="s">
        <v>40</v>
      </c>
    </row>
    <row r="2198" spans="1:39" x14ac:dyDescent="0.3">
      <c r="A2198">
        <v>2020</v>
      </c>
      <c r="B2198">
        <v>7</v>
      </c>
      <c r="C2198" t="str">
        <f t="shared" si="68"/>
        <v>7/01/2020</v>
      </c>
      <c r="D2198" s="1" t="str">
        <f t="shared" si="69"/>
        <v>7/01/2020</v>
      </c>
      <c r="E2198" t="s">
        <v>37</v>
      </c>
      <c r="F2198" t="s">
        <v>52</v>
      </c>
      <c r="G2198" t="s">
        <v>46</v>
      </c>
      <c r="H2198" s="2">
        <v>2901</v>
      </c>
      <c r="I2198" s="2">
        <v>2791</v>
      </c>
      <c r="J2198">
        <v>51</v>
      </c>
      <c r="K2198">
        <v>693</v>
      </c>
      <c r="L2198">
        <v>166</v>
      </c>
      <c r="N2198">
        <v>39</v>
      </c>
      <c r="O2198">
        <v>91</v>
      </c>
      <c r="P2198">
        <v>36</v>
      </c>
      <c r="Q2198">
        <v>87</v>
      </c>
      <c r="R2198">
        <v>48</v>
      </c>
      <c r="S2198">
        <v>549</v>
      </c>
      <c r="T2198">
        <v>133</v>
      </c>
      <c r="U2198">
        <v>443</v>
      </c>
      <c r="V2198">
        <v>407</v>
      </c>
      <c r="W2198" s="1">
        <v>44160</v>
      </c>
      <c r="X2198" t="s">
        <v>56</v>
      </c>
      <c r="AD2198" t="s">
        <v>40</v>
      </c>
    </row>
    <row r="2199" spans="1:39" x14ac:dyDescent="0.3">
      <c r="A2199">
        <v>2020</v>
      </c>
      <c r="B2199">
        <v>7</v>
      </c>
      <c r="C2199" t="str">
        <f t="shared" si="68"/>
        <v>7/01/2020</v>
      </c>
      <c r="D2199" s="1" t="str">
        <f t="shared" si="69"/>
        <v>7/01/2020</v>
      </c>
      <c r="E2199" t="s">
        <v>37</v>
      </c>
      <c r="F2199" t="s">
        <v>52</v>
      </c>
      <c r="G2199" t="s">
        <v>47</v>
      </c>
      <c r="H2199" s="2">
        <v>3825</v>
      </c>
      <c r="I2199" s="2">
        <v>3739</v>
      </c>
      <c r="J2199">
        <v>77</v>
      </c>
      <c r="K2199">
        <v>893</v>
      </c>
      <c r="L2199">
        <v>199</v>
      </c>
      <c r="M2199">
        <v>43</v>
      </c>
      <c r="N2199">
        <v>58</v>
      </c>
      <c r="O2199">
        <v>121</v>
      </c>
      <c r="P2199">
        <v>45</v>
      </c>
      <c r="Q2199">
        <v>102</v>
      </c>
      <c r="R2199">
        <v>40</v>
      </c>
      <c r="S2199">
        <v>762</v>
      </c>
      <c r="T2199">
        <v>206</v>
      </c>
      <c r="U2199">
        <v>660</v>
      </c>
      <c r="V2199">
        <v>604</v>
      </c>
      <c r="W2199" s="1">
        <v>44160</v>
      </c>
      <c r="X2199" t="s">
        <v>56</v>
      </c>
    </row>
    <row r="2200" spans="1:39" x14ac:dyDescent="0.3">
      <c r="A2200">
        <v>2020</v>
      </c>
      <c r="B2200">
        <v>7</v>
      </c>
      <c r="C2200" t="str">
        <f t="shared" si="68"/>
        <v>7/01/2020</v>
      </c>
      <c r="D2200" s="1" t="str">
        <f t="shared" si="69"/>
        <v>7/01/2020</v>
      </c>
      <c r="E2200" t="s">
        <v>37</v>
      </c>
      <c r="F2200" t="s">
        <v>52</v>
      </c>
      <c r="G2200" t="s">
        <v>48</v>
      </c>
      <c r="H2200" s="2">
        <v>3766</v>
      </c>
      <c r="I2200" s="2">
        <v>3726</v>
      </c>
      <c r="J2200">
        <v>65</v>
      </c>
      <c r="K2200">
        <v>610</v>
      </c>
      <c r="L2200">
        <v>169</v>
      </c>
      <c r="M2200">
        <v>173</v>
      </c>
      <c r="N2200">
        <v>51</v>
      </c>
      <c r="O2200">
        <v>133</v>
      </c>
      <c r="P2200">
        <v>40</v>
      </c>
      <c r="Q2200">
        <v>121</v>
      </c>
      <c r="R2200">
        <v>26</v>
      </c>
      <c r="S2200">
        <v>774</v>
      </c>
      <c r="T2200">
        <v>257</v>
      </c>
      <c r="U2200">
        <v>627</v>
      </c>
      <c r="V2200">
        <v>569</v>
      </c>
      <c r="W2200" s="1">
        <v>44160</v>
      </c>
      <c r="X2200" t="s">
        <v>56</v>
      </c>
    </row>
    <row r="2201" spans="1:39" x14ac:dyDescent="0.3">
      <c r="A2201">
        <v>2020</v>
      </c>
      <c r="B2201">
        <v>7</v>
      </c>
      <c r="C2201" t="str">
        <f t="shared" si="68"/>
        <v>7/01/2020</v>
      </c>
      <c r="D2201" s="1" t="str">
        <f t="shared" si="69"/>
        <v>7/01/2020</v>
      </c>
      <c r="E2201" t="s">
        <v>37</v>
      </c>
      <c r="F2201" t="s">
        <v>52</v>
      </c>
      <c r="G2201" t="s">
        <v>49</v>
      </c>
      <c r="H2201" s="2">
        <v>4196</v>
      </c>
      <c r="I2201" s="2">
        <v>4147</v>
      </c>
      <c r="J2201">
        <v>64</v>
      </c>
      <c r="K2201">
        <v>371</v>
      </c>
      <c r="L2201">
        <v>137</v>
      </c>
      <c r="M2201">
        <v>411</v>
      </c>
      <c r="N2201">
        <v>63</v>
      </c>
      <c r="O2201">
        <v>78</v>
      </c>
      <c r="P2201">
        <v>43</v>
      </c>
      <c r="Q2201">
        <v>91</v>
      </c>
      <c r="R2201">
        <v>53</v>
      </c>
      <c r="S2201">
        <v>973</v>
      </c>
      <c r="T2201">
        <v>333</v>
      </c>
      <c r="U2201">
        <v>578</v>
      </c>
      <c r="V2201">
        <v>504</v>
      </c>
      <c r="W2201" s="1">
        <v>44160</v>
      </c>
      <c r="X2201" t="s">
        <v>56</v>
      </c>
    </row>
    <row r="2202" spans="1:39" x14ac:dyDescent="0.3">
      <c r="A2202">
        <v>2020</v>
      </c>
      <c r="B2202">
        <v>7</v>
      </c>
      <c r="C2202" t="str">
        <f t="shared" si="68"/>
        <v>7/01/2020</v>
      </c>
      <c r="D2202" s="1" t="str">
        <f t="shared" si="69"/>
        <v>7/01/2020</v>
      </c>
      <c r="E2202" t="s">
        <v>37</v>
      </c>
      <c r="F2202" t="s">
        <v>53</v>
      </c>
      <c r="G2202" t="s">
        <v>39</v>
      </c>
      <c r="H2202">
        <v>338</v>
      </c>
      <c r="I2202">
        <v>270</v>
      </c>
      <c r="L2202">
        <v>0</v>
      </c>
      <c r="M2202">
        <v>0</v>
      </c>
      <c r="O2202">
        <v>0</v>
      </c>
      <c r="Q2202">
        <v>0</v>
      </c>
      <c r="R2202">
        <v>38</v>
      </c>
      <c r="U2202">
        <v>0</v>
      </c>
      <c r="V2202">
        <v>0</v>
      </c>
      <c r="W2202" s="1">
        <v>44160</v>
      </c>
      <c r="X2202" t="s">
        <v>56</v>
      </c>
      <c r="AA2202" t="s">
        <v>40</v>
      </c>
      <c r="AB2202" t="s">
        <v>40</v>
      </c>
      <c r="AE2202" t="s">
        <v>40</v>
      </c>
      <c r="AG2202" t="s">
        <v>40</v>
      </c>
      <c r="AJ2202" t="s">
        <v>40</v>
      </c>
      <c r="AK2202" t="s">
        <v>40</v>
      </c>
    </row>
    <row r="2203" spans="1:39" x14ac:dyDescent="0.3">
      <c r="A2203">
        <v>2020</v>
      </c>
      <c r="B2203">
        <v>7</v>
      </c>
      <c r="C2203" t="str">
        <f t="shared" si="68"/>
        <v>7/01/2020</v>
      </c>
      <c r="D2203" s="1" t="str">
        <f t="shared" si="69"/>
        <v>7/01/2020</v>
      </c>
      <c r="E2203" t="s">
        <v>37</v>
      </c>
      <c r="F2203" t="s">
        <v>53</v>
      </c>
      <c r="G2203" t="s">
        <v>41</v>
      </c>
      <c r="H2203">
        <v>393</v>
      </c>
      <c r="I2203">
        <v>126</v>
      </c>
      <c r="J2203">
        <v>0</v>
      </c>
      <c r="K2203">
        <v>15</v>
      </c>
      <c r="M2203">
        <v>0</v>
      </c>
      <c r="N2203">
        <v>0</v>
      </c>
      <c r="P2203">
        <v>0</v>
      </c>
      <c r="R2203">
        <v>27</v>
      </c>
      <c r="S2203">
        <v>21</v>
      </c>
      <c r="W2203" s="1">
        <v>44160</v>
      </c>
      <c r="X2203" t="s">
        <v>56</v>
      </c>
      <c r="AC2203" t="s">
        <v>40</v>
      </c>
      <c r="AF2203" t="s">
        <v>40</v>
      </c>
      <c r="AH2203" t="s">
        <v>40</v>
      </c>
      <c r="AK2203" t="s">
        <v>40</v>
      </c>
      <c r="AL2203" t="s">
        <v>40</v>
      </c>
      <c r="AM2203" t="s">
        <v>40</v>
      </c>
    </row>
    <row r="2204" spans="1:39" x14ac:dyDescent="0.3">
      <c r="A2204">
        <v>2020</v>
      </c>
      <c r="B2204">
        <v>7</v>
      </c>
      <c r="C2204" t="str">
        <f t="shared" si="68"/>
        <v>7/01/2020</v>
      </c>
      <c r="D2204" s="1" t="str">
        <f t="shared" si="69"/>
        <v>7/01/2020</v>
      </c>
      <c r="E2204" t="s">
        <v>37</v>
      </c>
      <c r="F2204" t="s">
        <v>53</v>
      </c>
      <c r="G2204" t="s">
        <v>42</v>
      </c>
      <c r="H2204" s="2">
        <v>1095</v>
      </c>
      <c r="I2204">
        <v>521</v>
      </c>
      <c r="J2204">
        <v>19</v>
      </c>
      <c r="K2204">
        <v>81</v>
      </c>
      <c r="L2204">
        <v>15</v>
      </c>
      <c r="M2204">
        <v>0</v>
      </c>
      <c r="R2204">
        <v>92</v>
      </c>
      <c r="S2204">
        <v>69</v>
      </c>
      <c r="T2204">
        <v>10</v>
      </c>
      <c r="U2204">
        <v>21</v>
      </c>
      <c r="V2204">
        <v>16</v>
      </c>
      <c r="W2204" s="1">
        <v>44160</v>
      </c>
      <c r="X2204" t="s">
        <v>56</v>
      </c>
      <c r="AE2204" t="s">
        <v>40</v>
      </c>
      <c r="AF2204" t="s">
        <v>40</v>
      </c>
      <c r="AG2204" t="s">
        <v>40</v>
      </c>
      <c r="AH2204" t="s">
        <v>40</v>
      </c>
    </row>
    <row r="2205" spans="1:39" x14ac:dyDescent="0.3">
      <c r="A2205">
        <v>2020</v>
      </c>
      <c r="B2205">
        <v>7</v>
      </c>
      <c r="C2205" t="str">
        <f t="shared" si="68"/>
        <v>7/01/2020</v>
      </c>
      <c r="D2205" s="1" t="str">
        <f t="shared" si="69"/>
        <v>7/01/2020</v>
      </c>
      <c r="E2205" t="s">
        <v>37</v>
      </c>
      <c r="F2205" t="s">
        <v>53</v>
      </c>
      <c r="G2205" t="s">
        <v>43</v>
      </c>
      <c r="H2205" s="2">
        <v>1788</v>
      </c>
      <c r="I2205" s="2">
        <v>1118</v>
      </c>
      <c r="J2205">
        <v>18</v>
      </c>
      <c r="K2205">
        <v>279</v>
      </c>
      <c r="L2205">
        <v>47</v>
      </c>
      <c r="M2205">
        <v>0</v>
      </c>
      <c r="N2205">
        <v>14</v>
      </c>
      <c r="O2205">
        <v>16</v>
      </c>
      <c r="P2205">
        <v>12</v>
      </c>
      <c r="Q2205">
        <v>14</v>
      </c>
      <c r="R2205">
        <v>108</v>
      </c>
      <c r="S2205">
        <v>191</v>
      </c>
      <c r="T2205">
        <v>28</v>
      </c>
      <c r="U2205">
        <v>41</v>
      </c>
      <c r="V2205">
        <v>33</v>
      </c>
      <c r="W2205" s="1">
        <v>44160</v>
      </c>
      <c r="X2205" t="s">
        <v>56</v>
      </c>
    </row>
    <row r="2206" spans="1:39" x14ac:dyDescent="0.3">
      <c r="A2206">
        <v>2020</v>
      </c>
      <c r="B2206">
        <v>7</v>
      </c>
      <c r="C2206" t="str">
        <f t="shared" si="68"/>
        <v>7/01/2020</v>
      </c>
      <c r="D2206" s="1" t="str">
        <f t="shared" si="69"/>
        <v>7/01/2020</v>
      </c>
      <c r="E2206" t="s">
        <v>37</v>
      </c>
      <c r="F2206" t="s">
        <v>53</v>
      </c>
      <c r="G2206" t="s">
        <v>44</v>
      </c>
      <c r="H2206" s="2">
        <v>3712</v>
      </c>
      <c r="I2206" s="2">
        <v>3085</v>
      </c>
      <c r="J2206">
        <v>60</v>
      </c>
      <c r="K2206">
        <v>961</v>
      </c>
      <c r="L2206">
        <v>105</v>
      </c>
      <c r="N2206">
        <v>49</v>
      </c>
      <c r="O2206">
        <v>148</v>
      </c>
      <c r="P2206">
        <v>32</v>
      </c>
      <c r="Q2206">
        <v>41</v>
      </c>
      <c r="R2206">
        <v>144</v>
      </c>
      <c r="S2206">
        <v>514</v>
      </c>
      <c r="T2206">
        <v>103</v>
      </c>
      <c r="U2206">
        <v>129</v>
      </c>
      <c r="V2206">
        <v>113</v>
      </c>
      <c r="W2206" s="1">
        <v>44160</v>
      </c>
      <c r="X2206" t="s">
        <v>56</v>
      </c>
      <c r="AD2206" t="s">
        <v>40</v>
      </c>
    </row>
    <row r="2207" spans="1:39" x14ac:dyDescent="0.3">
      <c r="A2207">
        <v>2020</v>
      </c>
      <c r="B2207">
        <v>7</v>
      </c>
      <c r="C2207" t="str">
        <f t="shared" si="68"/>
        <v>7/01/2020</v>
      </c>
      <c r="D2207" s="1" t="str">
        <f t="shared" si="69"/>
        <v>7/01/2020</v>
      </c>
      <c r="E2207" t="s">
        <v>37</v>
      </c>
      <c r="F2207" t="s">
        <v>53</v>
      </c>
      <c r="G2207" t="s">
        <v>45</v>
      </c>
      <c r="H2207">
        <v>98</v>
      </c>
      <c r="I2207">
        <v>51</v>
      </c>
      <c r="K2207">
        <v>17</v>
      </c>
      <c r="M2207">
        <v>0</v>
      </c>
      <c r="N2207">
        <v>0</v>
      </c>
      <c r="O2207">
        <v>0</v>
      </c>
      <c r="P2207">
        <v>0</v>
      </c>
      <c r="Q2207">
        <v>0</v>
      </c>
      <c r="V2207">
        <v>0</v>
      </c>
      <c r="W2207" s="1">
        <v>44160</v>
      </c>
      <c r="X2207" t="s">
        <v>56</v>
      </c>
      <c r="AA2207" t="s">
        <v>40</v>
      </c>
      <c r="AC2207" t="s">
        <v>40</v>
      </c>
      <c r="AI2207" t="s">
        <v>40</v>
      </c>
      <c r="AJ2207" t="s">
        <v>40</v>
      </c>
      <c r="AK2207" t="s">
        <v>40</v>
      </c>
      <c r="AL2207" t="s">
        <v>40</v>
      </c>
    </row>
    <row r="2208" spans="1:39" x14ac:dyDescent="0.3">
      <c r="A2208">
        <v>2020</v>
      </c>
      <c r="B2208">
        <v>7</v>
      </c>
      <c r="C2208" t="str">
        <f t="shared" si="68"/>
        <v>7/01/2020</v>
      </c>
      <c r="D2208" s="1" t="str">
        <f t="shared" si="69"/>
        <v>7/01/2020</v>
      </c>
      <c r="E2208" t="s">
        <v>37</v>
      </c>
      <c r="F2208" t="s">
        <v>53</v>
      </c>
      <c r="G2208" t="s">
        <v>46</v>
      </c>
      <c r="H2208" s="2">
        <v>9321</v>
      </c>
      <c r="I2208" s="2">
        <v>8625</v>
      </c>
      <c r="J2208">
        <v>162</v>
      </c>
      <c r="K2208" s="2">
        <v>3026</v>
      </c>
      <c r="L2208">
        <v>304</v>
      </c>
      <c r="M2208">
        <v>33</v>
      </c>
      <c r="N2208">
        <v>119</v>
      </c>
      <c r="O2208">
        <v>591</v>
      </c>
      <c r="P2208">
        <v>96</v>
      </c>
      <c r="Q2208">
        <v>118</v>
      </c>
      <c r="R2208">
        <v>199</v>
      </c>
      <c r="S2208" s="2">
        <v>1478</v>
      </c>
      <c r="T2208">
        <v>300</v>
      </c>
      <c r="U2208">
        <v>449</v>
      </c>
      <c r="V2208">
        <v>408</v>
      </c>
      <c r="W2208" s="1">
        <v>44160</v>
      </c>
      <c r="X2208" t="s">
        <v>56</v>
      </c>
    </row>
    <row r="2209" spans="1:39" x14ac:dyDescent="0.3">
      <c r="A2209">
        <v>2020</v>
      </c>
      <c r="B2209">
        <v>7</v>
      </c>
      <c r="C2209" t="str">
        <f t="shared" si="68"/>
        <v>7/01/2020</v>
      </c>
      <c r="D2209" s="1" t="str">
        <f t="shared" si="69"/>
        <v>7/01/2020</v>
      </c>
      <c r="E2209" t="s">
        <v>37</v>
      </c>
      <c r="F2209" t="s">
        <v>53</v>
      </c>
      <c r="G2209" t="s">
        <v>47</v>
      </c>
      <c r="H2209" s="2">
        <v>16204</v>
      </c>
      <c r="I2209" s="2">
        <v>15702</v>
      </c>
      <c r="J2209">
        <v>277</v>
      </c>
      <c r="K2209" s="2">
        <v>5012</v>
      </c>
      <c r="L2209">
        <v>572</v>
      </c>
      <c r="M2209">
        <v>350</v>
      </c>
      <c r="N2209">
        <v>183</v>
      </c>
      <c r="O2209" s="2">
        <v>1174</v>
      </c>
      <c r="P2209">
        <v>248</v>
      </c>
      <c r="Q2209">
        <v>238</v>
      </c>
      <c r="R2209">
        <v>163</v>
      </c>
      <c r="S2209" s="2">
        <v>2781</v>
      </c>
      <c r="T2209">
        <v>697</v>
      </c>
      <c r="U2209" s="2">
        <v>1070</v>
      </c>
      <c r="V2209">
        <v>964</v>
      </c>
      <c r="W2209" s="1">
        <v>44160</v>
      </c>
      <c r="X2209" t="s">
        <v>56</v>
      </c>
    </row>
    <row r="2210" spans="1:39" x14ac:dyDescent="0.3">
      <c r="A2210">
        <v>2020</v>
      </c>
      <c r="B2210">
        <v>7</v>
      </c>
      <c r="C2210" t="str">
        <f t="shared" si="68"/>
        <v>7/01/2020</v>
      </c>
      <c r="D2210" s="1" t="str">
        <f t="shared" si="69"/>
        <v>7/01/2020</v>
      </c>
      <c r="E2210" t="s">
        <v>37</v>
      </c>
      <c r="F2210" t="s">
        <v>53</v>
      </c>
      <c r="G2210" t="s">
        <v>48</v>
      </c>
      <c r="H2210" s="2">
        <v>23675</v>
      </c>
      <c r="I2210" s="2">
        <v>23029</v>
      </c>
      <c r="J2210">
        <v>287</v>
      </c>
      <c r="K2210" s="2">
        <v>5084</v>
      </c>
      <c r="L2210">
        <v>587</v>
      </c>
      <c r="M2210" s="2">
        <v>1603</v>
      </c>
      <c r="N2210">
        <v>304</v>
      </c>
      <c r="O2210" s="2">
        <v>1675</v>
      </c>
      <c r="P2210">
        <v>365</v>
      </c>
      <c r="Q2210">
        <v>388</v>
      </c>
      <c r="R2210">
        <v>233</v>
      </c>
      <c r="S2210" s="2">
        <v>4504</v>
      </c>
      <c r="T2210" s="2">
        <v>1402</v>
      </c>
      <c r="U2210" s="2">
        <v>1782</v>
      </c>
      <c r="V2210" s="2">
        <v>1566</v>
      </c>
      <c r="W2210" s="1">
        <v>44160</v>
      </c>
      <c r="X2210" t="s">
        <v>56</v>
      </c>
    </row>
    <row r="2211" spans="1:39" x14ac:dyDescent="0.3">
      <c r="A2211">
        <v>2020</v>
      </c>
      <c r="B2211">
        <v>7</v>
      </c>
      <c r="C2211" t="str">
        <f t="shared" si="68"/>
        <v>7/01/2020</v>
      </c>
      <c r="D2211" s="1" t="str">
        <f t="shared" si="69"/>
        <v>7/01/2020</v>
      </c>
      <c r="E2211" t="s">
        <v>37</v>
      </c>
      <c r="F2211" t="s">
        <v>53</v>
      </c>
      <c r="G2211" t="s">
        <v>49</v>
      </c>
      <c r="H2211" s="2">
        <v>38188</v>
      </c>
      <c r="I2211" s="2">
        <v>37046</v>
      </c>
      <c r="J2211">
        <v>318</v>
      </c>
      <c r="K2211" s="2">
        <v>3550</v>
      </c>
      <c r="L2211">
        <v>510</v>
      </c>
      <c r="M2211" s="2">
        <v>4094</v>
      </c>
      <c r="N2211">
        <v>421</v>
      </c>
      <c r="O2211" s="2">
        <v>1514</v>
      </c>
      <c r="P2211">
        <v>441</v>
      </c>
      <c r="Q2211">
        <v>526</v>
      </c>
      <c r="R2211">
        <v>614</v>
      </c>
      <c r="S2211" s="2">
        <v>9630</v>
      </c>
      <c r="T2211" s="2">
        <v>2909</v>
      </c>
      <c r="U2211" s="2">
        <v>2965</v>
      </c>
      <c r="V2211" s="2">
        <v>2489</v>
      </c>
      <c r="W2211" s="1">
        <v>44160</v>
      </c>
      <c r="X2211" t="s">
        <v>56</v>
      </c>
    </row>
    <row r="2212" spans="1:39" x14ac:dyDescent="0.3">
      <c r="A2212">
        <v>2020</v>
      </c>
      <c r="B2212">
        <v>7</v>
      </c>
      <c r="C2212" t="str">
        <f t="shared" si="68"/>
        <v>7/01/2020</v>
      </c>
      <c r="D2212" s="1" t="str">
        <f t="shared" si="69"/>
        <v>7/01/2020</v>
      </c>
      <c r="E2212" t="s">
        <v>37</v>
      </c>
      <c r="F2212" t="s">
        <v>54</v>
      </c>
      <c r="G2212" t="s">
        <v>39</v>
      </c>
      <c r="H2212">
        <v>44</v>
      </c>
      <c r="I2212">
        <v>40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U2212">
        <v>0</v>
      </c>
      <c r="V2212">
        <v>0</v>
      </c>
      <c r="W2212" s="1">
        <v>44160</v>
      </c>
      <c r="X2212" t="s">
        <v>56</v>
      </c>
      <c r="AH2212" t="s">
        <v>40</v>
      </c>
      <c r="AI2212" t="s">
        <v>40</v>
      </c>
      <c r="AJ2212" t="s">
        <v>40</v>
      </c>
      <c r="AK2212" t="s">
        <v>40</v>
      </c>
    </row>
    <row r="2213" spans="1:39" x14ac:dyDescent="0.3">
      <c r="A2213">
        <v>2020</v>
      </c>
      <c r="B2213">
        <v>7</v>
      </c>
      <c r="C2213" t="str">
        <f t="shared" si="68"/>
        <v>7/01/2020</v>
      </c>
      <c r="D2213" s="1" t="str">
        <f t="shared" si="69"/>
        <v>7/01/2020</v>
      </c>
      <c r="E2213" t="s">
        <v>37</v>
      </c>
      <c r="F2213" t="s">
        <v>54</v>
      </c>
      <c r="G2213" t="s">
        <v>41</v>
      </c>
      <c r="H2213">
        <v>21</v>
      </c>
      <c r="J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W2213" s="1">
        <v>44160</v>
      </c>
      <c r="X2213" t="s">
        <v>56</v>
      </c>
      <c r="Z2213" t="s">
        <v>40</v>
      </c>
      <c r="AB2213" t="s">
        <v>40</v>
      </c>
      <c r="AL2213" t="s">
        <v>40</v>
      </c>
      <c r="AM2213" t="s">
        <v>40</v>
      </c>
    </row>
    <row r="2214" spans="1:39" x14ac:dyDescent="0.3">
      <c r="A2214">
        <v>2020</v>
      </c>
      <c r="B2214">
        <v>7</v>
      </c>
      <c r="C2214" t="str">
        <f t="shared" si="68"/>
        <v>7/01/2020</v>
      </c>
      <c r="D2214" s="1" t="str">
        <f t="shared" si="69"/>
        <v>7/01/2020</v>
      </c>
      <c r="E2214" t="s">
        <v>37</v>
      </c>
      <c r="F2214" t="s">
        <v>54</v>
      </c>
      <c r="G2214" t="s">
        <v>42</v>
      </c>
      <c r="H2214">
        <v>47</v>
      </c>
      <c r="I2214">
        <v>28</v>
      </c>
      <c r="J2214">
        <v>0</v>
      </c>
      <c r="M2214">
        <v>0</v>
      </c>
      <c r="N2214">
        <v>0</v>
      </c>
      <c r="O2214">
        <v>0</v>
      </c>
      <c r="P2214">
        <v>0</v>
      </c>
      <c r="T2214">
        <v>0</v>
      </c>
      <c r="W2214" s="1">
        <v>44160</v>
      </c>
      <c r="X2214" t="s">
        <v>56</v>
      </c>
      <c r="AB2214" t="s">
        <v>40</v>
      </c>
      <c r="AC2214" t="s">
        <v>40</v>
      </c>
      <c r="AH2214" t="s">
        <v>40</v>
      </c>
      <c r="AI2214" t="s">
        <v>40</v>
      </c>
      <c r="AJ2214" t="s">
        <v>40</v>
      </c>
      <c r="AL2214" t="s">
        <v>40</v>
      </c>
      <c r="AM2214" t="s">
        <v>40</v>
      </c>
    </row>
    <row r="2215" spans="1:39" x14ac:dyDescent="0.3">
      <c r="A2215">
        <v>2020</v>
      </c>
      <c r="B2215">
        <v>7</v>
      </c>
      <c r="C2215" t="str">
        <f t="shared" si="68"/>
        <v>7/01/2020</v>
      </c>
      <c r="D2215" s="1" t="str">
        <f t="shared" si="69"/>
        <v>7/01/2020</v>
      </c>
      <c r="E2215" t="s">
        <v>37</v>
      </c>
      <c r="F2215" t="s">
        <v>54</v>
      </c>
      <c r="G2215" t="s">
        <v>43</v>
      </c>
      <c r="H2215">
        <v>55</v>
      </c>
      <c r="I2215">
        <v>44</v>
      </c>
      <c r="J2215">
        <v>0</v>
      </c>
      <c r="M2215">
        <v>0</v>
      </c>
      <c r="N2215">
        <v>0</v>
      </c>
      <c r="S2215">
        <v>10</v>
      </c>
      <c r="W2215" s="1">
        <v>44160</v>
      </c>
      <c r="X2215" t="s">
        <v>56</v>
      </c>
      <c r="AB2215" t="s">
        <v>40</v>
      </c>
      <c r="AC2215" t="s">
        <v>40</v>
      </c>
      <c r="AF2215" t="s">
        <v>40</v>
      </c>
      <c r="AG2215" t="s">
        <v>40</v>
      </c>
      <c r="AH2215" t="s">
        <v>40</v>
      </c>
      <c r="AI2215" t="s">
        <v>40</v>
      </c>
      <c r="AK2215" t="s">
        <v>40</v>
      </c>
      <c r="AL2215" t="s">
        <v>40</v>
      </c>
      <c r="AM2215" t="s">
        <v>40</v>
      </c>
    </row>
    <row r="2216" spans="1:39" x14ac:dyDescent="0.3">
      <c r="A2216">
        <v>2020</v>
      </c>
      <c r="B2216">
        <v>7</v>
      </c>
      <c r="C2216" t="str">
        <f t="shared" si="68"/>
        <v>7/01/2020</v>
      </c>
      <c r="D2216" s="1" t="str">
        <f t="shared" si="69"/>
        <v>7/01/2020</v>
      </c>
      <c r="E2216" t="s">
        <v>37</v>
      </c>
      <c r="F2216" t="s">
        <v>54</v>
      </c>
      <c r="G2216" t="s">
        <v>44</v>
      </c>
      <c r="H2216">
        <v>83</v>
      </c>
      <c r="I2216">
        <v>73</v>
      </c>
      <c r="J2216">
        <v>0</v>
      </c>
      <c r="K2216">
        <v>21</v>
      </c>
      <c r="M2216">
        <v>0</v>
      </c>
      <c r="P2216">
        <v>0</v>
      </c>
      <c r="Q2216">
        <v>0</v>
      </c>
      <c r="S2216">
        <v>12</v>
      </c>
      <c r="W2216" s="1">
        <v>44160</v>
      </c>
      <c r="X2216" t="s">
        <v>56</v>
      </c>
      <c r="AC2216" t="s">
        <v>40</v>
      </c>
      <c r="AE2216" t="s">
        <v>40</v>
      </c>
      <c r="AF2216" t="s">
        <v>40</v>
      </c>
      <c r="AI2216" t="s">
        <v>40</v>
      </c>
      <c r="AK2216" t="s">
        <v>40</v>
      </c>
      <c r="AL2216" t="s">
        <v>40</v>
      </c>
      <c r="AM2216" t="s">
        <v>40</v>
      </c>
    </row>
    <row r="2217" spans="1:39" x14ac:dyDescent="0.3">
      <c r="A2217">
        <v>2020</v>
      </c>
      <c r="B2217">
        <v>7</v>
      </c>
      <c r="C2217" t="str">
        <f t="shared" si="68"/>
        <v>7/01/2020</v>
      </c>
      <c r="D2217" s="1" t="str">
        <f t="shared" si="69"/>
        <v>7/01/2020</v>
      </c>
      <c r="E2217" t="s">
        <v>37</v>
      </c>
      <c r="F2217" t="s">
        <v>54</v>
      </c>
      <c r="G2217" t="s">
        <v>45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S2217">
        <v>0</v>
      </c>
      <c r="T2217">
        <v>0</v>
      </c>
      <c r="U2217">
        <v>0</v>
      </c>
      <c r="V2217">
        <v>0</v>
      </c>
      <c r="W2217" s="1">
        <v>44160</v>
      </c>
      <c r="X2217" t="s">
        <v>56</v>
      </c>
      <c r="Y2217" t="s">
        <v>40</v>
      </c>
      <c r="Z2217" t="s">
        <v>40</v>
      </c>
      <c r="AI2217" t="s">
        <v>40</v>
      </c>
    </row>
    <row r="2218" spans="1:39" x14ac:dyDescent="0.3">
      <c r="A2218">
        <v>2020</v>
      </c>
      <c r="B2218">
        <v>7</v>
      </c>
      <c r="C2218" t="str">
        <f t="shared" si="68"/>
        <v>7/01/2020</v>
      </c>
      <c r="D2218" s="1" t="str">
        <f t="shared" si="69"/>
        <v>7/01/2020</v>
      </c>
      <c r="E2218" t="s">
        <v>37</v>
      </c>
      <c r="F2218" t="s">
        <v>54</v>
      </c>
      <c r="G2218" t="s">
        <v>46</v>
      </c>
      <c r="H2218">
        <v>161</v>
      </c>
      <c r="I2218">
        <v>143</v>
      </c>
      <c r="K2218">
        <v>40</v>
      </c>
      <c r="M2218">
        <v>0</v>
      </c>
      <c r="S2218">
        <v>30</v>
      </c>
      <c r="U2218">
        <v>19</v>
      </c>
      <c r="V2218">
        <v>17</v>
      </c>
      <c r="W2218" s="1">
        <v>44160</v>
      </c>
      <c r="X2218" t="s">
        <v>56</v>
      </c>
      <c r="AA2218" t="s">
        <v>40</v>
      </c>
      <c r="AC2218" t="s">
        <v>40</v>
      </c>
      <c r="AE2218" t="s">
        <v>40</v>
      </c>
      <c r="AF2218" t="s">
        <v>40</v>
      </c>
      <c r="AG2218" t="s">
        <v>40</v>
      </c>
      <c r="AH2218" t="s">
        <v>40</v>
      </c>
      <c r="AI2218" t="s">
        <v>40</v>
      </c>
      <c r="AK2218" t="s">
        <v>40</v>
      </c>
    </row>
    <row r="2219" spans="1:39" x14ac:dyDescent="0.3">
      <c r="A2219">
        <v>2020</v>
      </c>
      <c r="B2219">
        <v>7</v>
      </c>
      <c r="C2219" t="str">
        <f t="shared" si="68"/>
        <v>7/01/2020</v>
      </c>
      <c r="D2219" s="1" t="str">
        <f t="shared" si="69"/>
        <v>7/01/2020</v>
      </c>
      <c r="E2219" t="s">
        <v>37</v>
      </c>
      <c r="F2219" t="s">
        <v>54</v>
      </c>
      <c r="G2219" t="s">
        <v>47</v>
      </c>
      <c r="H2219">
        <v>205</v>
      </c>
      <c r="I2219">
        <v>200</v>
      </c>
      <c r="K2219">
        <v>50</v>
      </c>
      <c r="L2219">
        <v>10</v>
      </c>
      <c r="M2219">
        <v>0</v>
      </c>
      <c r="S2219">
        <v>43</v>
      </c>
      <c r="T2219">
        <v>12</v>
      </c>
      <c r="U2219">
        <v>24</v>
      </c>
      <c r="V2219">
        <v>24</v>
      </c>
      <c r="W2219" s="1">
        <v>44160</v>
      </c>
      <c r="X2219" t="s">
        <v>56</v>
      </c>
      <c r="AA2219" t="s">
        <v>40</v>
      </c>
      <c r="AE2219" t="s">
        <v>40</v>
      </c>
      <c r="AF2219" t="s">
        <v>40</v>
      </c>
      <c r="AG2219" t="s">
        <v>40</v>
      </c>
      <c r="AH2219" t="s">
        <v>40</v>
      </c>
      <c r="AI2219" t="s">
        <v>40</v>
      </c>
    </row>
    <row r="2220" spans="1:39" x14ac:dyDescent="0.3">
      <c r="A2220">
        <v>2020</v>
      </c>
      <c r="B2220">
        <v>7</v>
      </c>
      <c r="C2220" t="str">
        <f t="shared" si="68"/>
        <v>7/01/2020</v>
      </c>
      <c r="D2220" s="1" t="str">
        <f t="shared" si="69"/>
        <v>7/01/2020</v>
      </c>
      <c r="E2220" t="s">
        <v>37</v>
      </c>
      <c r="F2220" t="s">
        <v>54</v>
      </c>
      <c r="G2220" t="s">
        <v>48</v>
      </c>
      <c r="H2220">
        <v>151</v>
      </c>
      <c r="I2220">
        <v>149</v>
      </c>
      <c r="K2220">
        <v>34</v>
      </c>
      <c r="S2220">
        <v>28</v>
      </c>
      <c r="T2220">
        <v>13</v>
      </c>
      <c r="U2220">
        <v>15</v>
      </c>
      <c r="V2220">
        <v>14</v>
      </c>
      <c r="W2220" s="1">
        <v>44160</v>
      </c>
      <c r="X2220" t="s">
        <v>56</v>
      </c>
      <c r="AA2220" t="s">
        <v>40</v>
      </c>
      <c r="AC2220" t="s">
        <v>40</v>
      </c>
      <c r="AD2220" t="s">
        <v>40</v>
      </c>
      <c r="AE2220" t="s">
        <v>40</v>
      </c>
      <c r="AF2220" t="s">
        <v>40</v>
      </c>
      <c r="AG2220" t="s">
        <v>40</v>
      </c>
      <c r="AH2220" t="s">
        <v>40</v>
      </c>
      <c r="AI2220" t="s">
        <v>40</v>
      </c>
    </row>
    <row r="2221" spans="1:39" x14ac:dyDescent="0.3">
      <c r="A2221">
        <v>2020</v>
      </c>
      <c r="B2221">
        <v>7</v>
      </c>
      <c r="C2221" t="str">
        <f t="shared" si="68"/>
        <v>7/01/2020</v>
      </c>
      <c r="D2221" s="1" t="str">
        <f t="shared" si="69"/>
        <v>7/01/2020</v>
      </c>
      <c r="E2221" t="s">
        <v>37</v>
      </c>
      <c r="F2221" t="s">
        <v>54</v>
      </c>
      <c r="G2221" t="s">
        <v>49</v>
      </c>
      <c r="H2221">
        <v>178</v>
      </c>
      <c r="I2221">
        <v>172</v>
      </c>
      <c r="J2221">
        <v>0</v>
      </c>
      <c r="K2221">
        <v>16</v>
      </c>
      <c r="M2221">
        <v>18</v>
      </c>
      <c r="N2221">
        <v>0</v>
      </c>
      <c r="O2221">
        <v>11</v>
      </c>
      <c r="S2221">
        <v>53</v>
      </c>
      <c r="T2221">
        <v>10</v>
      </c>
      <c r="U2221">
        <v>15</v>
      </c>
      <c r="V2221">
        <v>12</v>
      </c>
      <c r="W2221" s="1">
        <v>44160</v>
      </c>
      <c r="X2221" t="s">
        <v>56</v>
      </c>
      <c r="AC2221" t="s">
        <v>40</v>
      </c>
      <c r="AG2221" t="s">
        <v>40</v>
      </c>
      <c r="AH2221" t="s">
        <v>40</v>
      </c>
      <c r="AI2221" t="s">
        <v>40</v>
      </c>
    </row>
    <row r="2222" spans="1:39" x14ac:dyDescent="0.3">
      <c r="A2222">
        <v>2020</v>
      </c>
      <c r="B2222">
        <v>7</v>
      </c>
      <c r="C2222" t="str">
        <f t="shared" si="68"/>
        <v>7/01/2020</v>
      </c>
      <c r="D2222" s="1" t="str">
        <f t="shared" si="69"/>
        <v>7/01/2020</v>
      </c>
      <c r="E2222" t="s">
        <v>55</v>
      </c>
      <c r="F2222" t="s">
        <v>38</v>
      </c>
      <c r="G2222" t="s">
        <v>39</v>
      </c>
      <c r="H2222">
        <v>240</v>
      </c>
      <c r="I2222">
        <v>204</v>
      </c>
      <c r="J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45</v>
      </c>
      <c r="T2222">
        <v>0</v>
      </c>
      <c r="W2222" s="1">
        <v>44160</v>
      </c>
      <c r="X2222" t="s">
        <v>56</v>
      </c>
      <c r="AB2222" t="s">
        <v>40</v>
      </c>
      <c r="AJ2222" t="s">
        <v>40</v>
      </c>
      <c r="AL2222" t="s">
        <v>40</v>
      </c>
      <c r="AM2222" t="s">
        <v>40</v>
      </c>
    </row>
    <row r="2223" spans="1:39" x14ac:dyDescent="0.3">
      <c r="A2223">
        <v>2020</v>
      </c>
      <c r="B2223">
        <v>7</v>
      </c>
      <c r="C2223" t="str">
        <f t="shared" si="68"/>
        <v>7/01/2020</v>
      </c>
      <c r="D2223" s="1" t="str">
        <f t="shared" si="69"/>
        <v>7/01/2020</v>
      </c>
      <c r="E2223" t="s">
        <v>55</v>
      </c>
      <c r="F2223" t="s">
        <v>38</v>
      </c>
      <c r="G2223" t="s">
        <v>41</v>
      </c>
      <c r="H2223">
        <v>577</v>
      </c>
      <c r="I2223">
        <v>149</v>
      </c>
      <c r="K2223">
        <v>19</v>
      </c>
      <c r="M2223">
        <v>0</v>
      </c>
      <c r="N2223">
        <v>0</v>
      </c>
      <c r="R2223">
        <v>38</v>
      </c>
      <c r="U2223">
        <v>30</v>
      </c>
      <c r="V2223">
        <v>25</v>
      </c>
      <c r="W2223" s="1">
        <v>44160</v>
      </c>
      <c r="X2223" t="s">
        <v>56</v>
      </c>
      <c r="AA2223" t="s">
        <v>40</v>
      </c>
      <c r="AC2223" t="s">
        <v>40</v>
      </c>
      <c r="AF2223" t="s">
        <v>40</v>
      </c>
      <c r="AG2223" t="s">
        <v>40</v>
      </c>
      <c r="AH2223" t="s">
        <v>40</v>
      </c>
      <c r="AJ2223" t="s">
        <v>40</v>
      </c>
      <c r="AK2223" t="s">
        <v>40</v>
      </c>
    </row>
    <row r="2224" spans="1:39" x14ac:dyDescent="0.3">
      <c r="A2224">
        <v>2020</v>
      </c>
      <c r="B2224">
        <v>7</v>
      </c>
      <c r="C2224" t="str">
        <f t="shared" si="68"/>
        <v>7/01/2020</v>
      </c>
      <c r="D2224" s="1" t="str">
        <f t="shared" si="69"/>
        <v>7/01/2020</v>
      </c>
      <c r="E2224" t="s">
        <v>55</v>
      </c>
      <c r="F2224" t="s">
        <v>38</v>
      </c>
      <c r="G2224" t="s">
        <v>42</v>
      </c>
      <c r="H2224">
        <v>950</v>
      </c>
      <c r="I2224">
        <v>370</v>
      </c>
      <c r="K2224">
        <v>29</v>
      </c>
      <c r="M2224">
        <v>0</v>
      </c>
      <c r="R2224">
        <v>77</v>
      </c>
      <c r="S2224">
        <v>32</v>
      </c>
      <c r="U2224">
        <v>111</v>
      </c>
      <c r="V2224">
        <v>105</v>
      </c>
      <c r="W2224" s="1">
        <v>44160</v>
      </c>
      <c r="X2224" t="s">
        <v>56</v>
      </c>
      <c r="AA2224" t="s">
        <v>40</v>
      </c>
      <c r="AC2224" t="s">
        <v>40</v>
      </c>
      <c r="AE2224" t="s">
        <v>40</v>
      </c>
      <c r="AF2224" t="s">
        <v>40</v>
      </c>
      <c r="AG2224" t="s">
        <v>40</v>
      </c>
      <c r="AH2224" t="s">
        <v>40</v>
      </c>
      <c r="AK2224" t="s">
        <v>40</v>
      </c>
    </row>
    <row r="2225" spans="1:39" x14ac:dyDescent="0.3">
      <c r="A2225">
        <v>2020</v>
      </c>
      <c r="B2225">
        <v>7</v>
      </c>
      <c r="C2225" t="str">
        <f t="shared" si="68"/>
        <v>7/01/2020</v>
      </c>
      <c r="D2225" s="1" t="str">
        <f t="shared" si="69"/>
        <v>7/01/2020</v>
      </c>
      <c r="E2225" t="s">
        <v>55</v>
      </c>
      <c r="F2225" t="s">
        <v>38</v>
      </c>
      <c r="G2225" t="s">
        <v>43</v>
      </c>
      <c r="H2225" s="2">
        <v>1326</v>
      </c>
      <c r="I2225">
        <v>892</v>
      </c>
      <c r="K2225">
        <v>69</v>
      </c>
      <c r="L2225">
        <v>25</v>
      </c>
      <c r="M2225">
        <v>0</v>
      </c>
      <c r="Q2225">
        <v>10</v>
      </c>
      <c r="R2225">
        <v>82</v>
      </c>
      <c r="S2225">
        <v>102</v>
      </c>
      <c r="T2225">
        <v>20</v>
      </c>
      <c r="U2225">
        <v>359</v>
      </c>
      <c r="V2225">
        <v>336</v>
      </c>
      <c r="W2225" s="1">
        <v>44160</v>
      </c>
      <c r="X2225" t="s">
        <v>56</v>
      </c>
      <c r="AA2225" t="s">
        <v>40</v>
      </c>
      <c r="AE2225" t="s">
        <v>40</v>
      </c>
      <c r="AF2225" t="s">
        <v>40</v>
      </c>
      <c r="AG2225" t="s">
        <v>40</v>
      </c>
    </row>
    <row r="2226" spans="1:39" x14ac:dyDescent="0.3">
      <c r="A2226">
        <v>2020</v>
      </c>
      <c r="B2226">
        <v>7</v>
      </c>
      <c r="C2226" t="str">
        <f t="shared" si="68"/>
        <v>7/01/2020</v>
      </c>
      <c r="D2226" s="1" t="str">
        <f t="shared" si="69"/>
        <v>7/01/2020</v>
      </c>
      <c r="E2226" t="s">
        <v>55</v>
      </c>
      <c r="F2226" t="s">
        <v>38</v>
      </c>
      <c r="G2226" t="s">
        <v>44</v>
      </c>
      <c r="H2226" s="2">
        <v>2090</v>
      </c>
      <c r="I2226" s="2">
        <v>1758</v>
      </c>
      <c r="J2226">
        <v>12</v>
      </c>
      <c r="K2226">
        <v>180</v>
      </c>
      <c r="L2226">
        <v>90</v>
      </c>
      <c r="M2226">
        <v>0</v>
      </c>
      <c r="N2226">
        <v>12</v>
      </c>
      <c r="O2226">
        <v>10</v>
      </c>
      <c r="P2226">
        <v>11</v>
      </c>
      <c r="Q2226">
        <v>20</v>
      </c>
      <c r="R2226">
        <v>80</v>
      </c>
      <c r="S2226">
        <v>255</v>
      </c>
      <c r="T2226">
        <v>66</v>
      </c>
      <c r="U2226">
        <v>740</v>
      </c>
      <c r="V2226">
        <v>699</v>
      </c>
      <c r="W2226" s="1">
        <v>44160</v>
      </c>
      <c r="X2226" t="s">
        <v>56</v>
      </c>
    </row>
    <row r="2227" spans="1:39" x14ac:dyDescent="0.3">
      <c r="A2227">
        <v>2020</v>
      </c>
      <c r="B2227">
        <v>7</v>
      </c>
      <c r="C2227" t="str">
        <f t="shared" si="68"/>
        <v>7/01/2020</v>
      </c>
      <c r="D2227" s="1" t="str">
        <f t="shared" si="69"/>
        <v>7/01/2020</v>
      </c>
      <c r="E2227" t="s">
        <v>55</v>
      </c>
      <c r="F2227" t="s">
        <v>38</v>
      </c>
      <c r="G2227" t="s">
        <v>45</v>
      </c>
      <c r="H2227">
        <v>64</v>
      </c>
      <c r="I2227">
        <v>25</v>
      </c>
      <c r="M2227">
        <v>0</v>
      </c>
      <c r="N2227">
        <v>0</v>
      </c>
      <c r="O2227">
        <v>0</v>
      </c>
      <c r="P2227">
        <v>0</v>
      </c>
      <c r="Q2227">
        <v>0</v>
      </c>
      <c r="W2227" s="1">
        <v>44160</v>
      </c>
      <c r="X2227" t="s">
        <v>56</v>
      </c>
      <c r="AA2227" t="s">
        <v>40</v>
      </c>
      <c r="AB2227" t="s">
        <v>40</v>
      </c>
      <c r="AC2227" t="s">
        <v>40</v>
      </c>
      <c r="AI2227" t="s">
        <v>40</v>
      </c>
      <c r="AJ2227" t="s">
        <v>40</v>
      </c>
      <c r="AK2227" t="s">
        <v>40</v>
      </c>
      <c r="AL2227" t="s">
        <v>40</v>
      </c>
      <c r="AM2227" t="s">
        <v>40</v>
      </c>
    </row>
    <row r="2228" spans="1:39" x14ac:dyDescent="0.3">
      <c r="A2228">
        <v>2020</v>
      </c>
      <c r="B2228">
        <v>7</v>
      </c>
      <c r="C2228" t="str">
        <f t="shared" si="68"/>
        <v>7/01/2020</v>
      </c>
      <c r="D2228" s="1" t="str">
        <f t="shared" si="69"/>
        <v>7/01/2020</v>
      </c>
      <c r="E2228" t="s">
        <v>55</v>
      </c>
      <c r="F2228" t="s">
        <v>38</v>
      </c>
      <c r="G2228" t="s">
        <v>46</v>
      </c>
      <c r="H2228" s="2">
        <v>3195</v>
      </c>
      <c r="I2228" s="2">
        <v>2972</v>
      </c>
      <c r="J2228">
        <v>27</v>
      </c>
      <c r="K2228">
        <v>402</v>
      </c>
      <c r="L2228">
        <v>132</v>
      </c>
      <c r="N2228">
        <v>31</v>
      </c>
      <c r="O2228">
        <v>28</v>
      </c>
      <c r="P2228">
        <v>36</v>
      </c>
      <c r="Q2228">
        <v>40</v>
      </c>
      <c r="R2228">
        <v>64</v>
      </c>
      <c r="S2228">
        <v>464</v>
      </c>
      <c r="T2228">
        <v>89</v>
      </c>
      <c r="U2228" s="2">
        <v>1290</v>
      </c>
      <c r="V2228" s="2">
        <v>1223</v>
      </c>
      <c r="W2228" s="1">
        <v>44160</v>
      </c>
      <c r="X2228" t="s">
        <v>56</v>
      </c>
      <c r="AD2228" t="s">
        <v>40</v>
      </c>
    </row>
    <row r="2229" spans="1:39" x14ac:dyDescent="0.3">
      <c r="A2229">
        <v>2020</v>
      </c>
      <c r="B2229">
        <v>7</v>
      </c>
      <c r="C2229" t="str">
        <f t="shared" si="68"/>
        <v>7/01/2020</v>
      </c>
      <c r="D2229" s="1" t="str">
        <f t="shared" si="69"/>
        <v>7/01/2020</v>
      </c>
      <c r="E2229" t="s">
        <v>55</v>
      </c>
      <c r="F2229" t="s">
        <v>38</v>
      </c>
      <c r="G2229" t="s">
        <v>47</v>
      </c>
      <c r="H2229" s="2">
        <v>3693</v>
      </c>
      <c r="I2229" s="2">
        <v>3566</v>
      </c>
      <c r="J2229">
        <v>21</v>
      </c>
      <c r="K2229">
        <v>488</v>
      </c>
      <c r="L2229">
        <v>182</v>
      </c>
      <c r="M2229">
        <v>21</v>
      </c>
      <c r="N2229">
        <v>42</v>
      </c>
      <c r="O2229">
        <v>69</v>
      </c>
      <c r="P2229">
        <v>42</v>
      </c>
      <c r="Q2229">
        <v>53</v>
      </c>
      <c r="R2229">
        <v>32</v>
      </c>
      <c r="S2229">
        <v>578</v>
      </c>
      <c r="T2229">
        <v>107</v>
      </c>
      <c r="U2229" s="2">
        <v>1574</v>
      </c>
      <c r="V2229" s="2">
        <v>1506</v>
      </c>
      <c r="W2229" s="1">
        <v>44160</v>
      </c>
      <c r="X2229" t="s">
        <v>56</v>
      </c>
    </row>
    <row r="2230" spans="1:39" x14ac:dyDescent="0.3">
      <c r="A2230">
        <v>2020</v>
      </c>
      <c r="B2230">
        <v>7</v>
      </c>
      <c r="C2230" t="str">
        <f t="shared" si="68"/>
        <v>7/01/2020</v>
      </c>
      <c r="D2230" s="1" t="str">
        <f t="shared" si="69"/>
        <v>7/01/2020</v>
      </c>
      <c r="E2230" t="s">
        <v>55</v>
      </c>
      <c r="F2230" t="s">
        <v>38</v>
      </c>
      <c r="G2230" t="s">
        <v>48</v>
      </c>
      <c r="H2230" s="2">
        <v>3276</v>
      </c>
      <c r="I2230" s="2">
        <v>3217</v>
      </c>
      <c r="J2230">
        <v>39</v>
      </c>
      <c r="K2230">
        <v>447</v>
      </c>
      <c r="L2230">
        <v>135</v>
      </c>
      <c r="M2230">
        <v>101</v>
      </c>
      <c r="N2230">
        <v>51</v>
      </c>
      <c r="O2230">
        <v>83</v>
      </c>
      <c r="P2230">
        <v>45</v>
      </c>
      <c r="Q2230">
        <v>39</v>
      </c>
      <c r="R2230">
        <v>24</v>
      </c>
      <c r="S2230">
        <v>553</v>
      </c>
      <c r="T2230">
        <v>129</v>
      </c>
      <c r="U2230" s="2">
        <v>1272</v>
      </c>
      <c r="V2230" s="2">
        <v>1189</v>
      </c>
      <c r="W2230" s="1">
        <v>44160</v>
      </c>
      <c r="X2230" t="s">
        <v>56</v>
      </c>
    </row>
    <row r="2231" spans="1:39" x14ac:dyDescent="0.3">
      <c r="A2231">
        <v>2020</v>
      </c>
      <c r="B2231">
        <v>7</v>
      </c>
      <c r="C2231" t="str">
        <f t="shared" si="68"/>
        <v>7/01/2020</v>
      </c>
      <c r="D2231" s="1" t="str">
        <f t="shared" si="69"/>
        <v>7/01/2020</v>
      </c>
      <c r="E2231" t="s">
        <v>55</v>
      </c>
      <c r="F2231" t="s">
        <v>38</v>
      </c>
      <c r="G2231" t="s">
        <v>49</v>
      </c>
      <c r="H2231" s="2">
        <v>2571</v>
      </c>
      <c r="I2231" s="2">
        <v>2524</v>
      </c>
      <c r="J2231">
        <v>14</v>
      </c>
      <c r="K2231">
        <v>251</v>
      </c>
      <c r="L2231">
        <v>64</v>
      </c>
      <c r="M2231">
        <v>185</v>
      </c>
      <c r="N2231">
        <v>38</v>
      </c>
      <c r="O2231">
        <v>81</v>
      </c>
      <c r="P2231">
        <v>25</v>
      </c>
      <c r="Q2231">
        <v>33</v>
      </c>
      <c r="R2231">
        <v>17</v>
      </c>
      <c r="S2231">
        <v>529</v>
      </c>
      <c r="T2231">
        <v>141</v>
      </c>
      <c r="U2231">
        <v>805</v>
      </c>
      <c r="V2231">
        <v>740</v>
      </c>
      <c r="W2231" s="1">
        <v>44160</v>
      </c>
      <c r="X2231" t="s">
        <v>56</v>
      </c>
    </row>
    <row r="2232" spans="1:39" x14ac:dyDescent="0.3">
      <c r="A2232">
        <v>2020</v>
      </c>
      <c r="B2232">
        <v>7</v>
      </c>
      <c r="C2232" t="str">
        <f t="shared" si="68"/>
        <v>7/01/2020</v>
      </c>
      <c r="D2232" s="1" t="str">
        <f t="shared" si="69"/>
        <v>7/01/2020</v>
      </c>
      <c r="E2232" t="s">
        <v>55</v>
      </c>
      <c r="F2232" t="s">
        <v>50</v>
      </c>
      <c r="G2232" t="s">
        <v>39</v>
      </c>
      <c r="H2232">
        <v>14</v>
      </c>
      <c r="I2232">
        <v>12</v>
      </c>
      <c r="J2232">
        <v>0</v>
      </c>
      <c r="K2232">
        <v>0</v>
      </c>
      <c r="L2232">
        <v>0</v>
      </c>
      <c r="M2232">
        <v>0</v>
      </c>
      <c r="N2232">
        <v>0</v>
      </c>
      <c r="Q2232">
        <v>0</v>
      </c>
      <c r="S2232">
        <v>0</v>
      </c>
      <c r="T2232">
        <v>0</v>
      </c>
      <c r="U2232">
        <v>0</v>
      </c>
      <c r="V2232">
        <v>0</v>
      </c>
      <c r="W2232" s="1">
        <v>44160</v>
      </c>
      <c r="X2232" t="s">
        <v>56</v>
      </c>
      <c r="AF2232" t="s">
        <v>40</v>
      </c>
      <c r="AG2232" t="s">
        <v>40</v>
      </c>
      <c r="AI2232" t="s">
        <v>40</v>
      </c>
    </row>
    <row r="2233" spans="1:39" x14ac:dyDescent="0.3">
      <c r="A2233">
        <v>2020</v>
      </c>
      <c r="B2233">
        <v>7</v>
      </c>
      <c r="C2233" t="str">
        <f t="shared" si="68"/>
        <v>7/01/2020</v>
      </c>
      <c r="D2233" s="1" t="str">
        <f t="shared" si="69"/>
        <v>7/01/2020</v>
      </c>
      <c r="E2233" t="s">
        <v>55</v>
      </c>
      <c r="F2233" t="s">
        <v>50</v>
      </c>
      <c r="G2233" t="s">
        <v>41</v>
      </c>
      <c r="H2233">
        <v>38</v>
      </c>
      <c r="J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S2233">
        <v>0</v>
      </c>
      <c r="T2233">
        <v>0</v>
      </c>
      <c r="W2233" s="1">
        <v>44160</v>
      </c>
      <c r="X2233" t="s">
        <v>56</v>
      </c>
      <c r="Z2233" t="s">
        <v>40</v>
      </c>
      <c r="AB2233" t="s">
        <v>40</v>
      </c>
      <c r="AI2233" t="s">
        <v>40</v>
      </c>
      <c r="AL2233" t="s">
        <v>40</v>
      </c>
      <c r="AM2233" t="s">
        <v>40</v>
      </c>
    </row>
    <row r="2234" spans="1:39" x14ac:dyDescent="0.3">
      <c r="A2234">
        <v>2020</v>
      </c>
      <c r="B2234">
        <v>7</v>
      </c>
      <c r="C2234" t="str">
        <f t="shared" si="68"/>
        <v>7/01/2020</v>
      </c>
      <c r="D2234" s="1" t="str">
        <f t="shared" si="69"/>
        <v>7/01/2020</v>
      </c>
      <c r="E2234" t="s">
        <v>55</v>
      </c>
      <c r="F2234" t="s">
        <v>50</v>
      </c>
      <c r="G2234" t="s">
        <v>42</v>
      </c>
      <c r="H2234">
        <v>110</v>
      </c>
      <c r="I2234">
        <v>57</v>
      </c>
      <c r="K2234">
        <v>0</v>
      </c>
      <c r="M2234">
        <v>0</v>
      </c>
      <c r="N2234">
        <v>0</v>
      </c>
      <c r="O2234">
        <v>0</v>
      </c>
      <c r="P2234">
        <v>0</v>
      </c>
      <c r="T2234">
        <v>0</v>
      </c>
      <c r="U2234">
        <v>11</v>
      </c>
      <c r="V2234">
        <v>10</v>
      </c>
      <c r="W2234" s="1">
        <v>44160</v>
      </c>
      <c r="X2234" t="s">
        <v>56</v>
      </c>
      <c r="AA2234" t="s">
        <v>40</v>
      </c>
      <c r="AC2234" t="s">
        <v>40</v>
      </c>
      <c r="AH2234" t="s">
        <v>40</v>
      </c>
      <c r="AI2234" t="s">
        <v>40</v>
      </c>
      <c r="AJ2234" t="s">
        <v>40</v>
      </c>
    </row>
    <row r="2235" spans="1:39" x14ac:dyDescent="0.3">
      <c r="A2235">
        <v>2020</v>
      </c>
      <c r="B2235">
        <v>7</v>
      </c>
      <c r="C2235" t="str">
        <f t="shared" si="68"/>
        <v>7/01/2020</v>
      </c>
      <c r="D2235" s="1" t="str">
        <f t="shared" si="69"/>
        <v>7/01/2020</v>
      </c>
      <c r="E2235" t="s">
        <v>55</v>
      </c>
      <c r="F2235" t="s">
        <v>50</v>
      </c>
      <c r="G2235" t="s">
        <v>43</v>
      </c>
      <c r="H2235">
        <v>138</v>
      </c>
      <c r="I2235">
        <v>90</v>
      </c>
      <c r="J2235">
        <v>0</v>
      </c>
      <c r="M2235">
        <v>0</v>
      </c>
      <c r="R2235">
        <v>10</v>
      </c>
      <c r="U2235">
        <v>13</v>
      </c>
      <c r="W2235" s="1">
        <v>44160</v>
      </c>
      <c r="X2235" t="s">
        <v>56</v>
      </c>
      <c r="AB2235" t="s">
        <v>40</v>
      </c>
      <c r="AC2235" t="s">
        <v>40</v>
      </c>
      <c r="AE2235" t="s">
        <v>40</v>
      </c>
      <c r="AF2235" t="s">
        <v>40</v>
      </c>
      <c r="AG2235" t="s">
        <v>40</v>
      </c>
      <c r="AH2235" t="s">
        <v>40</v>
      </c>
      <c r="AJ2235" t="s">
        <v>40</v>
      </c>
      <c r="AK2235" t="s">
        <v>40</v>
      </c>
      <c r="AM2235" t="s">
        <v>40</v>
      </c>
    </row>
    <row r="2236" spans="1:39" x14ac:dyDescent="0.3">
      <c r="A2236">
        <v>2020</v>
      </c>
      <c r="B2236">
        <v>7</v>
      </c>
      <c r="C2236" t="str">
        <f t="shared" si="68"/>
        <v>7/01/2020</v>
      </c>
      <c r="D2236" s="1" t="str">
        <f t="shared" si="69"/>
        <v>7/01/2020</v>
      </c>
      <c r="E2236" t="s">
        <v>55</v>
      </c>
      <c r="F2236" t="s">
        <v>50</v>
      </c>
      <c r="G2236" t="s">
        <v>44</v>
      </c>
      <c r="H2236">
        <v>163</v>
      </c>
      <c r="I2236">
        <v>135</v>
      </c>
      <c r="K2236">
        <v>11</v>
      </c>
      <c r="M2236">
        <v>0</v>
      </c>
      <c r="R2236">
        <v>10</v>
      </c>
      <c r="S2236">
        <v>25</v>
      </c>
      <c r="U2236">
        <v>34</v>
      </c>
      <c r="V2236">
        <v>29</v>
      </c>
      <c r="W2236" s="1">
        <v>44160</v>
      </c>
      <c r="X2236" t="s">
        <v>56</v>
      </c>
      <c r="AA2236" t="s">
        <v>40</v>
      </c>
      <c r="AC2236" t="s">
        <v>40</v>
      </c>
      <c r="AE2236" t="s">
        <v>40</v>
      </c>
      <c r="AF2236" t="s">
        <v>40</v>
      </c>
      <c r="AG2236" t="s">
        <v>40</v>
      </c>
      <c r="AH2236" t="s">
        <v>40</v>
      </c>
      <c r="AK2236" t="s">
        <v>40</v>
      </c>
    </row>
    <row r="2237" spans="1:39" x14ac:dyDescent="0.3">
      <c r="A2237">
        <v>2020</v>
      </c>
      <c r="B2237">
        <v>7</v>
      </c>
      <c r="C2237" t="str">
        <f t="shared" si="68"/>
        <v>7/01/2020</v>
      </c>
      <c r="D2237" s="1" t="str">
        <f t="shared" si="69"/>
        <v>7/01/2020</v>
      </c>
      <c r="E2237" t="s">
        <v>55</v>
      </c>
      <c r="F2237" t="s">
        <v>50</v>
      </c>
      <c r="G2237" t="s">
        <v>45</v>
      </c>
      <c r="J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 s="1">
        <v>44160</v>
      </c>
      <c r="X2237" t="s">
        <v>56</v>
      </c>
      <c r="Y2237" t="s">
        <v>40</v>
      </c>
      <c r="Z2237" t="s">
        <v>40</v>
      </c>
      <c r="AB2237" t="s">
        <v>40</v>
      </c>
    </row>
    <row r="2238" spans="1:39" x14ac:dyDescent="0.3">
      <c r="A2238">
        <v>2020</v>
      </c>
      <c r="B2238">
        <v>7</v>
      </c>
      <c r="C2238" t="str">
        <f t="shared" si="68"/>
        <v>7/01/2020</v>
      </c>
      <c r="D2238" s="1" t="str">
        <f t="shared" si="69"/>
        <v>7/01/2020</v>
      </c>
      <c r="E2238" t="s">
        <v>55</v>
      </c>
      <c r="F2238" t="s">
        <v>50</v>
      </c>
      <c r="G2238" t="s">
        <v>46</v>
      </c>
      <c r="H2238">
        <v>250</v>
      </c>
      <c r="I2238">
        <v>223</v>
      </c>
      <c r="K2238">
        <v>42</v>
      </c>
      <c r="L2238">
        <v>22</v>
      </c>
      <c r="M2238">
        <v>0</v>
      </c>
      <c r="R2238">
        <v>10</v>
      </c>
      <c r="S2238">
        <v>36</v>
      </c>
      <c r="U2238">
        <v>42</v>
      </c>
      <c r="V2238">
        <v>37</v>
      </c>
      <c r="W2238" s="1">
        <v>44160</v>
      </c>
      <c r="X2238" t="s">
        <v>56</v>
      </c>
      <c r="AA2238" t="s">
        <v>40</v>
      </c>
      <c r="AE2238" t="s">
        <v>40</v>
      </c>
      <c r="AF2238" t="s">
        <v>40</v>
      </c>
      <c r="AG2238" t="s">
        <v>40</v>
      </c>
      <c r="AH2238" t="s">
        <v>40</v>
      </c>
      <c r="AK2238" t="s">
        <v>40</v>
      </c>
    </row>
    <row r="2239" spans="1:39" x14ac:dyDescent="0.3">
      <c r="A2239">
        <v>2020</v>
      </c>
      <c r="B2239">
        <v>7</v>
      </c>
      <c r="C2239" t="str">
        <f t="shared" si="68"/>
        <v>7/01/2020</v>
      </c>
      <c r="D2239" s="1" t="str">
        <f t="shared" si="69"/>
        <v>7/01/2020</v>
      </c>
      <c r="E2239" t="s">
        <v>55</v>
      </c>
      <c r="F2239" t="s">
        <v>50</v>
      </c>
      <c r="G2239" t="s">
        <v>47</v>
      </c>
      <c r="H2239">
        <v>229</v>
      </c>
      <c r="I2239">
        <v>215</v>
      </c>
      <c r="K2239">
        <v>38</v>
      </c>
      <c r="L2239">
        <v>14</v>
      </c>
      <c r="S2239">
        <v>44</v>
      </c>
      <c r="U2239">
        <v>56</v>
      </c>
      <c r="V2239">
        <v>52</v>
      </c>
      <c r="W2239" s="1">
        <v>44160</v>
      </c>
      <c r="X2239" t="s">
        <v>56</v>
      </c>
      <c r="AA2239" t="s">
        <v>40</v>
      </c>
      <c r="AD2239" t="s">
        <v>40</v>
      </c>
      <c r="AE2239" t="s">
        <v>40</v>
      </c>
      <c r="AF2239" t="s">
        <v>40</v>
      </c>
      <c r="AG2239" t="s">
        <v>40</v>
      </c>
      <c r="AH2239" t="s">
        <v>40</v>
      </c>
      <c r="AI2239" t="s">
        <v>40</v>
      </c>
      <c r="AK2239" t="s">
        <v>40</v>
      </c>
    </row>
    <row r="2240" spans="1:39" x14ac:dyDescent="0.3">
      <c r="A2240">
        <v>2020</v>
      </c>
      <c r="B2240">
        <v>7</v>
      </c>
      <c r="C2240" t="str">
        <f t="shared" si="68"/>
        <v>7/01/2020</v>
      </c>
      <c r="D2240" s="1" t="str">
        <f t="shared" si="69"/>
        <v>7/01/2020</v>
      </c>
      <c r="E2240" t="s">
        <v>55</v>
      </c>
      <c r="F2240" t="s">
        <v>50</v>
      </c>
      <c r="G2240" t="s">
        <v>48</v>
      </c>
      <c r="H2240">
        <v>164</v>
      </c>
      <c r="I2240">
        <v>161</v>
      </c>
      <c r="J2240">
        <v>0</v>
      </c>
      <c r="K2240">
        <v>26</v>
      </c>
      <c r="L2240">
        <v>15</v>
      </c>
      <c r="O2240">
        <v>11</v>
      </c>
      <c r="P2240">
        <v>0</v>
      </c>
      <c r="S2240">
        <v>29</v>
      </c>
      <c r="U2240">
        <v>41</v>
      </c>
      <c r="V2240">
        <v>39</v>
      </c>
      <c r="W2240" s="1">
        <v>44160</v>
      </c>
      <c r="X2240" t="s">
        <v>56</v>
      </c>
      <c r="AD2240" t="s">
        <v>40</v>
      </c>
      <c r="AE2240" t="s">
        <v>40</v>
      </c>
      <c r="AH2240" t="s">
        <v>40</v>
      </c>
      <c r="AI2240" t="s">
        <v>40</v>
      </c>
      <c r="AK2240" t="s">
        <v>40</v>
      </c>
    </row>
    <row r="2241" spans="1:39" x14ac:dyDescent="0.3">
      <c r="A2241">
        <v>2020</v>
      </c>
      <c r="B2241">
        <v>7</v>
      </c>
      <c r="C2241" t="str">
        <f t="shared" si="68"/>
        <v>7/01/2020</v>
      </c>
      <c r="D2241" s="1" t="str">
        <f t="shared" si="69"/>
        <v>7/01/2020</v>
      </c>
      <c r="E2241" t="s">
        <v>55</v>
      </c>
      <c r="F2241" t="s">
        <v>50</v>
      </c>
      <c r="G2241" t="s">
        <v>49</v>
      </c>
      <c r="H2241">
        <v>76</v>
      </c>
      <c r="I2241">
        <v>71</v>
      </c>
      <c r="J2241">
        <v>0</v>
      </c>
      <c r="R2241">
        <v>0</v>
      </c>
      <c r="U2241">
        <v>21</v>
      </c>
      <c r="V2241">
        <v>20</v>
      </c>
      <c r="W2241" s="1">
        <v>44160</v>
      </c>
      <c r="X2241" t="s">
        <v>56</v>
      </c>
      <c r="AB2241" t="s">
        <v>40</v>
      </c>
      <c r="AC2241" t="s">
        <v>40</v>
      </c>
      <c r="AD2241" t="s">
        <v>40</v>
      </c>
      <c r="AE2241" t="s">
        <v>40</v>
      </c>
      <c r="AF2241" t="s">
        <v>40</v>
      </c>
      <c r="AG2241" t="s">
        <v>40</v>
      </c>
      <c r="AH2241" t="s">
        <v>40</v>
      </c>
      <c r="AJ2241" t="s">
        <v>40</v>
      </c>
      <c r="AK2241" t="s">
        <v>40</v>
      </c>
    </row>
    <row r="2242" spans="1:39" x14ac:dyDescent="0.3">
      <c r="A2242">
        <v>2020</v>
      </c>
      <c r="B2242">
        <v>7</v>
      </c>
      <c r="C2242" t="str">
        <f t="shared" si="68"/>
        <v>7/01/2020</v>
      </c>
      <c r="D2242" s="1" t="str">
        <f t="shared" si="69"/>
        <v>7/01/2020</v>
      </c>
      <c r="E2242" t="s">
        <v>55</v>
      </c>
      <c r="F2242" t="s">
        <v>51</v>
      </c>
      <c r="G2242" t="s">
        <v>39</v>
      </c>
      <c r="H2242">
        <v>34</v>
      </c>
      <c r="I2242">
        <v>28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Q2242">
        <v>0</v>
      </c>
      <c r="S2242">
        <v>0</v>
      </c>
      <c r="T2242">
        <v>0</v>
      </c>
      <c r="V2242">
        <v>0</v>
      </c>
      <c r="W2242" s="1">
        <v>44160</v>
      </c>
      <c r="X2242" t="s">
        <v>56</v>
      </c>
      <c r="AG2242" t="s">
        <v>40</v>
      </c>
      <c r="AI2242" t="s">
        <v>40</v>
      </c>
      <c r="AL2242" t="s">
        <v>40</v>
      </c>
    </row>
    <row r="2243" spans="1:39" x14ac:dyDescent="0.3">
      <c r="A2243">
        <v>2020</v>
      </c>
      <c r="B2243">
        <v>7</v>
      </c>
      <c r="C2243" t="str">
        <f t="shared" ref="C2243:C2306" si="70">CONCATENATE(B2243,"/01/",A2243)</f>
        <v>7/01/2020</v>
      </c>
      <c r="D2243" s="1" t="str">
        <f t="shared" ref="D2243:D2306" si="71">C2243</f>
        <v>7/01/2020</v>
      </c>
      <c r="E2243" t="s">
        <v>55</v>
      </c>
      <c r="F2243" t="s">
        <v>51</v>
      </c>
      <c r="G2243" t="s">
        <v>41</v>
      </c>
      <c r="H2243">
        <v>44</v>
      </c>
      <c r="I2243">
        <v>14</v>
      </c>
      <c r="M2243">
        <v>0</v>
      </c>
      <c r="N2243">
        <v>0</v>
      </c>
      <c r="O2243">
        <v>0</v>
      </c>
      <c r="P2243">
        <v>0</v>
      </c>
      <c r="Q2243">
        <v>0</v>
      </c>
      <c r="S2243">
        <v>0</v>
      </c>
      <c r="T2243">
        <v>0</v>
      </c>
      <c r="W2243" s="1">
        <v>44160</v>
      </c>
      <c r="X2243" t="s">
        <v>56</v>
      </c>
      <c r="AA2243" t="s">
        <v>40</v>
      </c>
      <c r="AB2243" t="s">
        <v>40</v>
      </c>
      <c r="AC2243" t="s">
        <v>40</v>
      </c>
      <c r="AI2243" t="s">
        <v>40</v>
      </c>
      <c r="AL2243" t="s">
        <v>40</v>
      </c>
      <c r="AM2243" t="s">
        <v>40</v>
      </c>
    </row>
    <row r="2244" spans="1:39" x14ac:dyDescent="0.3">
      <c r="A2244">
        <v>2020</v>
      </c>
      <c r="B2244">
        <v>7</v>
      </c>
      <c r="C2244" t="str">
        <f t="shared" si="70"/>
        <v>7/01/2020</v>
      </c>
      <c r="D2244" s="1" t="str">
        <f t="shared" si="71"/>
        <v>7/01/2020</v>
      </c>
      <c r="E2244" t="s">
        <v>55</v>
      </c>
      <c r="F2244" t="s">
        <v>51</v>
      </c>
      <c r="G2244" t="s">
        <v>42</v>
      </c>
      <c r="H2244">
        <v>100</v>
      </c>
      <c r="I2244">
        <v>44</v>
      </c>
      <c r="J2244">
        <v>0</v>
      </c>
      <c r="L2244">
        <v>0</v>
      </c>
      <c r="M2244">
        <v>0</v>
      </c>
      <c r="O2244">
        <v>0</v>
      </c>
      <c r="P2244">
        <v>0</v>
      </c>
      <c r="R2244">
        <v>10</v>
      </c>
      <c r="T2244">
        <v>0</v>
      </c>
      <c r="W2244" s="1">
        <v>44160</v>
      </c>
      <c r="X2244" t="s">
        <v>56</v>
      </c>
      <c r="AB2244" t="s">
        <v>40</v>
      </c>
      <c r="AE2244" t="s">
        <v>40</v>
      </c>
      <c r="AH2244" t="s">
        <v>40</v>
      </c>
      <c r="AJ2244" t="s">
        <v>40</v>
      </c>
      <c r="AL2244" t="s">
        <v>40</v>
      </c>
      <c r="AM2244" t="s">
        <v>40</v>
      </c>
    </row>
    <row r="2245" spans="1:39" x14ac:dyDescent="0.3">
      <c r="A2245">
        <v>2020</v>
      </c>
      <c r="B2245">
        <v>7</v>
      </c>
      <c r="C2245" t="str">
        <f t="shared" si="70"/>
        <v>7/01/2020</v>
      </c>
      <c r="D2245" s="1" t="str">
        <f t="shared" si="71"/>
        <v>7/01/2020</v>
      </c>
      <c r="E2245" t="s">
        <v>55</v>
      </c>
      <c r="F2245" t="s">
        <v>51</v>
      </c>
      <c r="G2245" t="s">
        <v>43</v>
      </c>
      <c r="H2245">
        <v>129</v>
      </c>
      <c r="I2245">
        <v>93</v>
      </c>
      <c r="K2245">
        <v>19</v>
      </c>
      <c r="M2245">
        <v>0</v>
      </c>
      <c r="N2245">
        <v>0</v>
      </c>
      <c r="S2245">
        <v>16</v>
      </c>
      <c r="U2245">
        <v>12</v>
      </c>
      <c r="W2245" s="1">
        <v>44160</v>
      </c>
      <c r="X2245" t="s">
        <v>56</v>
      </c>
      <c r="AA2245" t="s">
        <v>40</v>
      </c>
      <c r="AC2245" t="s">
        <v>40</v>
      </c>
      <c r="AF2245" t="s">
        <v>40</v>
      </c>
      <c r="AG2245" t="s">
        <v>40</v>
      </c>
      <c r="AH2245" t="s">
        <v>40</v>
      </c>
      <c r="AI2245" t="s">
        <v>40</v>
      </c>
      <c r="AK2245" t="s">
        <v>40</v>
      </c>
      <c r="AM2245" t="s">
        <v>40</v>
      </c>
    </row>
    <row r="2246" spans="1:39" x14ac:dyDescent="0.3">
      <c r="A2246">
        <v>2020</v>
      </c>
      <c r="B2246">
        <v>7</v>
      </c>
      <c r="C2246" t="str">
        <f t="shared" si="70"/>
        <v>7/01/2020</v>
      </c>
      <c r="D2246" s="1" t="str">
        <f t="shared" si="71"/>
        <v>7/01/2020</v>
      </c>
      <c r="E2246" t="s">
        <v>55</v>
      </c>
      <c r="F2246" t="s">
        <v>51</v>
      </c>
      <c r="G2246" t="s">
        <v>44</v>
      </c>
      <c r="H2246">
        <v>239</v>
      </c>
      <c r="I2246">
        <v>203</v>
      </c>
      <c r="K2246">
        <v>46</v>
      </c>
      <c r="M2246">
        <v>0</v>
      </c>
      <c r="N2246">
        <v>0</v>
      </c>
      <c r="R2246">
        <v>14</v>
      </c>
      <c r="S2246">
        <v>56</v>
      </c>
      <c r="T2246">
        <v>11</v>
      </c>
      <c r="U2246">
        <v>22</v>
      </c>
      <c r="V2246">
        <v>20</v>
      </c>
      <c r="W2246" s="1">
        <v>44160</v>
      </c>
      <c r="X2246" t="s">
        <v>56</v>
      </c>
      <c r="AA2246" t="s">
        <v>40</v>
      </c>
      <c r="AC2246" t="s">
        <v>40</v>
      </c>
      <c r="AF2246" t="s">
        <v>40</v>
      </c>
      <c r="AG2246" t="s">
        <v>40</v>
      </c>
      <c r="AH2246" t="s">
        <v>40</v>
      </c>
    </row>
    <row r="2247" spans="1:39" x14ac:dyDescent="0.3">
      <c r="A2247">
        <v>2020</v>
      </c>
      <c r="B2247">
        <v>7</v>
      </c>
      <c r="C2247" t="str">
        <f t="shared" si="70"/>
        <v>7/01/2020</v>
      </c>
      <c r="D2247" s="1" t="str">
        <f t="shared" si="71"/>
        <v>7/01/2020</v>
      </c>
      <c r="E2247" t="s">
        <v>55</v>
      </c>
      <c r="F2247" t="s">
        <v>51</v>
      </c>
      <c r="G2247" t="s">
        <v>45</v>
      </c>
      <c r="J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V2247">
        <v>0</v>
      </c>
      <c r="W2247" s="1">
        <v>44160</v>
      </c>
      <c r="X2247" t="s">
        <v>56</v>
      </c>
      <c r="Y2247" t="s">
        <v>40</v>
      </c>
      <c r="Z2247" t="s">
        <v>40</v>
      </c>
      <c r="AB2247" t="s">
        <v>40</v>
      </c>
      <c r="AL2247" t="s">
        <v>40</v>
      </c>
    </row>
    <row r="2248" spans="1:39" x14ac:dyDescent="0.3">
      <c r="A2248">
        <v>2020</v>
      </c>
      <c r="B2248">
        <v>7</v>
      </c>
      <c r="C2248" t="str">
        <f t="shared" si="70"/>
        <v>7/01/2020</v>
      </c>
      <c r="D2248" s="1" t="str">
        <f t="shared" si="71"/>
        <v>7/01/2020</v>
      </c>
      <c r="E2248" t="s">
        <v>55</v>
      </c>
      <c r="F2248" t="s">
        <v>51</v>
      </c>
      <c r="G2248" t="s">
        <v>46</v>
      </c>
      <c r="H2248">
        <v>504</v>
      </c>
      <c r="I2248">
        <v>462</v>
      </c>
      <c r="K2248">
        <v>125</v>
      </c>
      <c r="L2248">
        <v>32</v>
      </c>
      <c r="S2248">
        <v>102</v>
      </c>
      <c r="T2248">
        <v>19</v>
      </c>
      <c r="U2248">
        <v>96</v>
      </c>
      <c r="V2248">
        <v>91</v>
      </c>
      <c r="W2248" s="1">
        <v>44160</v>
      </c>
      <c r="X2248" t="s">
        <v>56</v>
      </c>
      <c r="AA2248" t="s">
        <v>40</v>
      </c>
      <c r="AD2248" t="s">
        <v>40</v>
      </c>
      <c r="AE2248" t="s">
        <v>40</v>
      </c>
      <c r="AF2248" t="s">
        <v>40</v>
      </c>
      <c r="AG2248" t="s">
        <v>40</v>
      </c>
      <c r="AH2248" t="s">
        <v>40</v>
      </c>
      <c r="AI2248" t="s">
        <v>40</v>
      </c>
    </row>
    <row r="2249" spans="1:39" x14ac:dyDescent="0.3">
      <c r="A2249">
        <v>2020</v>
      </c>
      <c r="B2249">
        <v>7</v>
      </c>
      <c r="C2249" t="str">
        <f t="shared" si="70"/>
        <v>7/01/2020</v>
      </c>
      <c r="D2249" s="1" t="str">
        <f t="shared" si="71"/>
        <v>7/01/2020</v>
      </c>
      <c r="E2249" t="s">
        <v>55</v>
      </c>
      <c r="F2249" t="s">
        <v>51</v>
      </c>
      <c r="G2249" t="s">
        <v>47</v>
      </c>
      <c r="H2249">
        <v>735</v>
      </c>
      <c r="I2249">
        <v>710</v>
      </c>
      <c r="K2249">
        <v>192</v>
      </c>
      <c r="L2249">
        <v>40</v>
      </c>
      <c r="N2249">
        <v>18</v>
      </c>
      <c r="O2249">
        <v>15</v>
      </c>
      <c r="P2249">
        <v>12</v>
      </c>
      <c r="Q2249">
        <v>14</v>
      </c>
      <c r="S2249">
        <v>146</v>
      </c>
      <c r="T2249">
        <v>54</v>
      </c>
      <c r="U2249">
        <v>115</v>
      </c>
      <c r="V2249">
        <v>109</v>
      </c>
      <c r="W2249" s="1">
        <v>44160</v>
      </c>
      <c r="X2249" t="s">
        <v>56</v>
      </c>
      <c r="AA2249" t="s">
        <v>40</v>
      </c>
      <c r="AD2249" t="s">
        <v>40</v>
      </c>
      <c r="AI2249" t="s">
        <v>40</v>
      </c>
    </row>
    <row r="2250" spans="1:39" x14ac:dyDescent="0.3">
      <c r="A2250">
        <v>2020</v>
      </c>
      <c r="B2250">
        <v>7</v>
      </c>
      <c r="C2250" t="str">
        <f t="shared" si="70"/>
        <v>7/01/2020</v>
      </c>
      <c r="D2250" s="1" t="str">
        <f t="shared" si="71"/>
        <v>7/01/2020</v>
      </c>
      <c r="E2250" t="s">
        <v>55</v>
      </c>
      <c r="F2250" t="s">
        <v>51</v>
      </c>
      <c r="G2250" t="s">
        <v>48</v>
      </c>
      <c r="H2250">
        <v>893</v>
      </c>
      <c r="I2250">
        <v>866</v>
      </c>
      <c r="J2250">
        <v>14</v>
      </c>
      <c r="K2250">
        <v>213</v>
      </c>
      <c r="L2250">
        <v>42</v>
      </c>
      <c r="M2250">
        <v>20</v>
      </c>
      <c r="N2250">
        <v>14</v>
      </c>
      <c r="O2250">
        <v>32</v>
      </c>
      <c r="P2250">
        <v>14</v>
      </c>
      <c r="Q2250">
        <v>24</v>
      </c>
      <c r="S2250">
        <v>155</v>
      </c>
      <c r="T2250">
        <v>58</v>
      </c>
      <c r="U2250">
        <v>131</v>
      </c>
      <c r="V2250">
        <v>117</v>
      </c>
      <c r="W2250" s="1">
        <v>44160</v>
      </c>
      <c r="X2250" t="s">
        <v>56</v>
      </c>
      <c r="AI2250" t="s">
        <v>40</v>
      </c>
    </row>
    <row r="2251" spans="1:39" x14ac:dyDescent="0.3">
      <c r="A2251">
        <v>2020</v>
      </c>
      <c r="B2251">
        <v>7</v>
      </c>
      <c r="C2251" t="str">
        <f t="shared" si="70"/>
        <v>7/01/2020</v>
      </c>
      <c r="D2251" s="1" t="str">
        <f t="shared" si="71"/>
        <v>7/01/2020</v>
      </c>
      <c r="E2251" t="s">
        <v>55</v>
      </c>
      <c r="F2251" t="s">
        <v>51</v>
      </c>
      <c r="G2251" t="s">
        <v>49</v>
      </c>
      <c r="H2251">
        <v>886</v>
      </c>
      <c r="I2251">
        <v>860</v>
      </c>
      <c r="K2251">
        <v>114</v>
      </c>
      <c r="L2251">
        <v>38</v>
      </c>
      <c r="M2251">
        <v>46</v>
      </c>
      <c r="N2251">
        <v>36</v>
      </c>
      <c r="O2251">
        <v>29</v>
      </c>
      <c r="P2251">
        <v>13</v>
      </c>
      <c r="Q2251">
        <v>20</v>
      </c>
      <c r="S2251">
        <v>205</v>
      </c>
      <c r="T2251">
        <v>76</v>
      </c>
      <c r="U2251">
        <v>97</v>
      </c>
      <c r="V2251">
        <v>93</v>
      </c>
      <c r="W2251" s="1">
        <v>44160</v>
      </c>
      <c r="X2251" t="s">
        <v>56</v>
      </c>
      <c r="AA2251" t="s">
        <v>40</v>
      </c>
      <c r="AI2251" t="s">
        <v>40</v>
      </c>
    </row>
    <row r="2252" spans="1:39" x14ac:dyDescent="0.3">
      <c r="A2252">
        <v>2020</v>
      </c>
      <c r="B2252">
        <v>7</v>
      </c>
      <c r="C2252" t="str">
        <f t="shared" si="70"/>
        <v>7/01/2020</v>
      </c>
      <c r="D2252" s="1" t="str">
        <f t="shared" si="71"/>
        <v>7/01/2020</v>
      </c>
      <c r="E2252" t="s">
        <v>55</v>
      </c>
      <c r="F2252" t="s">
        <v>52</v>
      </c>
      <c r="G2252" t="s">
        <v>39</v>
      </c>
      <c r="H2252">
        <v>284</v>
      </c>
      <c r="I2252">
        <v>244</v>
      </c>
      <c r="L2252">
        <v>0</v>
      </c>
      <c r="M2252">
        <v>0</v>
      </c>
      <c r="O2252">
        <v>0</v>
      </c>
      <c r="P2252">
        <v>0</v>
      </c>
      <c r="Q2252">
        <v>0</v>
      </c>
      <c r="R2252">
        <v>50</v>
      </c>
      <c r="U2252">
        <v>0</v>
      </c>
      <c r="V2252">
        <v>0</v>
      </c>
      <c r="W2252" s="1">
        <v>44160</v>
      </c>
      <c r="X2252" t="s">
        <v>56</v>
      </c>
      <c r="AA2252" t="s">
        <v>40</v>
      </c>
      <c r="AB2252" t="s">
        <v>40</v>
      </c>
      <c r="AE2252" t="s">
        <v>40</v>
      </c>
      <c r="AJ2252" t="s">
        <v>40</v>
      </c>
      <c r="AK2252" t="s">
        <v>40</v>
      </c>
    </row>
    <row r="2253" spans="1:39" x14ac:dyDescent="0.3">
      <c r="A2253">
        <v>2020</v>
      </c>
      <c r="B2253">
        <v>7</v>
      </c>
      <c r="C2253" t="str">
        <f t="shared" si="70"/>
        <v>7/01/2020</v>
      </c>
      <c r="D2253" s="1" t="str">
        <f t="shared" si="71"/>
        <v>7/01/2020</v>
      </c>
      <c r="E2253" t="s">
        <v>55</v>
      </c>
      <c r="F2253" t="s">
        <v>52</v>
      </c>
      <c r="G2253" t="s">
        <v>41</v>
      </c>
      <c r="H2253">
        <v>792</v>
      </c>
      <c r="I2253">
        <v>102</v>
      </c>
      <c r="M2253">
        <v>0</v>
      </c>
      <c r="Q2253">
        <v>0</v>
      </c>
      <c r="R2253">
        <v>26</v>
      </c>
      <c r="S2253">
        <v>12</v>
      </c>
      <c r="U2253">
        <v>12</v>
      </c>
      <c r="V2253">
        <v>11</v>
      </c>
      <c r="W2253" s="1">
        <v>44160</v>
      </c>
      <c r="X2253" t="s">
        <v>56</v>
      </c>
      <c r="AA2253" t="s">
        <v>40</v>
      </c>
      <c r="AB2253" t="s">
        <v>40</v>
      </c>
      <c r="AC2253" t="s">
        <v>40</v>
      </c>
      <c r="AE2253" t="s">
        <v>40</v>
      </c>
      <c r="AF2253" t="s">
        <v>40</v>
      </c>
      <c r="AG2253" t="s">
        <v>40</v>
      </c>
      <c r="AK2253" t="s">
        <v>40</v>
      </c>
    </row>
    <row r="2254" spans="1:39" x14ac:dyDescent="0.3">
      <c r="A2254">
        <v>2020</v>
      </c>
      <c r="B2254">
        <v>7</v>
      </c>
      <c r="C2254" t="str">
        <f t="shared" si="70"/>
        <v>7/01/2020</v>
      </c>
      <c r="D2254" s="1" t="str">
        <f t="shared" si="71"/>
        <v>7/01/2020</v>
      </c>
      <c r="E2254" t="s">
        <v>55</v>
      </c>
      <c r="F2254" t="s">
        <v>52</v>
      </c>
      <c r="G2254" t="s">
        <v>42</v>
      </c>
      <c r="H2254" s="2">
        <v>1167</v>
      </c>
      <c r="I2254">
        <v>370</v>
      </c>
      <c r="K2254">
        <v>29</v>
      </c>
      <c r="L2254">
        <v>17</v>
      </c>
      <c r="M2254">
        <v>0</v>
      </c>
      <c r="R2254">
        <v>63</v>
      </c>
      <c r="S2254">
        <v>71</v>
      </c>
      <c r="T2254">
        <v>11</v>
      </c>
      <c r="U2254">
        <v>56</v>
      </c>
      <c r="V2254">
        <v>49</v>
      </c>
      <c r="W2254" s="1">
        <v>44160</v>
      </c>
      <c r="X2254" t="s">
        <v>56</v>
      </c>
      <c r="AA2254" t="s">
        <v>40</v>
      </c>
      <c r="AE2254" t="s">
        <v>40</v>
      </c>
      <c r="AF2254" t="s">
        <v>40</v>
      </c>
      <c r="AG2254" t="s">
        <v>40</v>
      </c>
      <c r="AH2254" t="s">
        <v>40</v>
      </c>
    </row>
    <row r="2255" spans="1:39" x14ac:dyDescent="0.3">
      <c r="A2255">
        <v>2020</v>
      </c>
      <c r="B2255">
        <v>7</v>
      </c>
      <c r="C2255" t="str">
        <f t="shared" si="70"/>
        <v>7/01/2020</v>
      </c>
      <c r="D2255" s="1" t="str">
        <f t="shared" si="71"/>
        <v>7/01/2020</v>
      </c>
      <c r="E2255" t="s">
        <v>55</v>
      </c>
      <c r="F2255" t="s">
        <v>52</v>
      </c>
      <c r="G2255" t="s">
        <v>43</v>
      </c>
      <c r="H2255" s="2">
        <v>1276</v>
      </c>
      <c r="I2255">
        <v>724</v>
      </c>
      <c r="K2255">
        <v>72</v>
      </c>
      <c r="L2255">
        <v>48</v>
      </c>
      <c r="M2255">
        <v>0</v>
      </c>
      <c r="O2255">
        <v>11</v>
      </c>
      <c r="Q2255">
        <v>11</v>
      </c>
      <c r="R2255">
        <v>74</v>
      </c>
      <c r="S2255">
        <v>185</v>
      </c>
      <c r="T2255">
        <v>29</v>
      </c>
      <c r="U2255">
        <v>107</v>
      </c>
      <c r="V2255">
        <v>98</v>
      </c>
      <c r="W2255" s="1">
        <v>44160</v>
      </c>
      <c r="X2255" t="s">
        <v>56</v>
      </c>
      <c r="AA2255" t="s">
        <v>40</v>
      </c>
      <c r="AE2255" t="s">
        <v>40</v>
      </c>
      <c r="AG2255" t="s">
        <v>40</v>
      </c>
    </row>
    <row r="2256" spans="1:39" x14ac:dyDescent="0.3">
      <c r="A2256">
        <v>2020</v>
      </c>
      <c r="B2256">
        <v>7</v>
      </c>
      <c r="C2256" t="str">
        <f t="shared" si="70"/>
        <v>7/01/2020</v>
      </c>
      <c r="D2256" s="1" t="str">
        <f t="shared" si="71"/>
        <v>7/01/2020</v>
      </c>
      <c r="E2256" t="s">
        <v>55</v>
      </c>
      <c r="F2256" t="s">
        <v>52</v>
      </c>
      <c r="G2256" t="s">
        <v>44</v>
      </c>
      <c r="H2256" s="2">
        <v>2044</v>
      </c>
      <c r="I2256" s="2">
        <v>1593</v>
      </c>
      <c r="J2256">
        <v>15</v>
      </c>
      <c r="K2256">
        <v>196</v>
      </c>
      <c r="L2256">
        <v>105</v>
      </c>
      <c r="M2256">
        <v>0</v>
      </c>
      <c r="N2256">
        <v>22</v>
      </c>
      <c r="O2256">
        <v>27</v>
      </c>
      <c r="P2256">
        <v>16</v>
      </c>
      <c r="Q2256">
        <v>41</v>
      </c>
      <c r="R2256">
        <v>92</v>
      </c>
      <c r="S2256">
        <v>437</v>
      </c>
      <c r="T2256">
        <v>70</v>
      </c>
      <c r="U2256">
        <v>268</v>
      </c>
      <c r="V2256">
        <v>235</v>
      </c>
      <c r="W2256" s="1">
        <v>44160</v>
      </c>
      <c r="X2256" t="s">
        <v>56</v>
      </c>
    </row>
    <row r="2257" spans="1:39" x14ac:dyDescent="0.3">
      <c r="A2257">
        <v>2020</v>
      </c>
      <c r="B2257">
        <v>7</v>
      </c>
      <c r="C2257" t="str">
        <f t="shared" si="70"/>
        <v>7/01/2020</v>
      </c>
      <c r="D2257" s="1" t="str">
        <f t="shared" si="71"/>
        <v>7/01/2020</v>
      </c>
      <c r="E2257" t="s">
        <v>55</v>
      </c>
      <c r="F2257" t="s">
        <v>52</v>
      </c>
      <c r="G2257" t="s">
        <v>45</v>
      </c>
      <c r="H2257">
        <v>93</v>
      </c>
      <c r="I2257">
        <v>33</v>
      </c>
      <c r="J2257">
        <v>0</v>
      </c>
      <c r="L2257">
        <v>0</v>
      </c>
      <c r="M2257">
        <v>0</v>
      </c>
      <c r="N2257">
        <v>0</v>
      </c>
      <c r="Q2257">
        <v>0</v>
      </c>
      <c r="R2257">
        <v>10</v>
      </c>
      <c r="W2257" s="1">
        <v>44160</v>
      </c>
      <c r="X2257" t="s">
        <v>56</v>
      </c>
      <c r="AB2257" t="s">
        <v>40</v>
      </c>
      <c r="AF2257" t="s">
        <v>40</v>
      </c>
      <c r="AG2257" t="s">
        <v>40</v>
      </c>
      <c r="AJ2257" t="s">
        <v>40</v>
      </c>
      <c r="AK2257" t="s">
        <v>40</v>
      </c>
      <c r="AL2257" t="s">
        <v>40</v>
      </c>
      <c r="AM2257" t="s">
        <v>40</v>
      </c>
    </row>
    <row r="2258" spans="1:39" x14ac:dyDescent="0.3">
      <c r="A2258">
        <v>2020</v>
      </c>
      <c r="B2258">
        <v>7</v>
      </c>
      <c r="C2258" t="str">
        <f t="shared" si="70"/>
        <v>7/01/2020</v>
      </c>
      <c r="D2258" s="1" t="str">
        <f t="shared" si="71"/>
        <v>7/01/2020</v>
      </c>
      <c r="E2258" t="s">
        <v>55</v>
      </c>
      <c r="F2258" t="s">
        <v>52</v>
      </c>
      <c r="G2258" t="s">
        <v>46</v>
      </c>
      <c r="H2258" s="2">
        <v>4287</v>
      </c>
      <c r="I2258" s="2">
        <v>3886</v>
      </c>
      <c r="J2258">
        <v>54</v>
      </c>
      <c r="K2258">
        <v>777</v>
      </c>
      <c r="L2258">
        <v>218</v>
      </c>
      <c r="N2258">
        <v>51</v>
      </c>
      <c r="O2258">
        <v>116</v>
      </c>
      <c r="P2258">
        <v>39</v>
      </c>
      <c r="Q2258">
        <v>92</v>
      </c>
      <c r="R2258">
        <v>127</v>
      </c>
      <c r="S2258" s="2">
        <v>1022</v>
      </c>
      <c r="T2258">
        <v>185</v>
      </c>
      <c r="U2258">
        <v>606</v>
      </c>
      <c r="V2258">
        <v>544</v>
      </c>
      <c r="W2258" s="1">
        <v>44160</v>
      </c>
      <c r="X2258" t="s">
        <v>56</v>
      </c>
      <c r="AD2258" t="s">
        <v>40</v>
      </c>
    </row>
    <row r="2259" spans="1:39" x14ac:dyDescent="0.3">
      <c r="A2259">
        <v>2020</v>
      </c>
      <c r="B2259">
        <v>7</v>
      </c>
      <c r="C2259" t="str">
        <f t="shared" si="70"/>
        <v>7/01/2020</v>
      </c>
      <c r="D2259" s="1" t="str">
        <f t="shared" si="71"/>
        <v>7/01/2020</v>
      </c>
      <c r="E2259" t="s">
        <v>55</v>
      </c>
      <c r="F2259" t="s">
        <v>52</v>
      </c>
      <c r="G2259" t="s">
        <v>47</v>
      </c>
      <c r="H2259" s="2">
        <v>4879</v>
      </c>
      <c r="I2259" s="2">
        <v>4683</v>
      </c>
      <c r="J2259">
        <v>77</v>
      </c>
      <c r="K2259" s="2">
        <v>1073</v>
      </c>
      <c r="L2259">
        <v>234</v>
      </c>
      <c r="M2259">
        <v>32</v>
      </c>
      <c r="N2259">
        <v>60</v>
      </c>
      <c r="O2259">
        <v>150</v>
      </c>
      <c r="P2259">
        <v>59</v>
      </c>
      <c r="Q2259">
        <v>129</v>
      </c>
      <c r="R2259">
        <v>68</v>
      </c>
      <c r="S2259" s="2">
        <v>1097</v>
      </c>
      <c r="T2259">
        <v>215</v>
      </c>
      <c r="U2259">
        <v>827</v>
      </c>
      <c r="V2259">
        <v>769</v>
      </c>
      <c r="W2259" s="1">
        <v>44160</v>
      </c>
      <c r="X2259" t="s">
        <v>56</v>
      </c>
    </row>
    <row r="2260" spans="1:39" x14ac:dyDescent="0.3">
      <c r="A2260">
        <v>2020</v>
      </c>
      <c r="B2260">
        <v>7</v>
      </c>
      <c r="C2260" t="str">
        <f t="shared" si="70"/>
        <v>7/01/2020</v>
      </c>
      <c r="D2260" s="1" t="str">
        <f t="shared" si="71"/>
        <v>7/01/2020</v>
      </c>
      <c r="E2260" t="s">
        <v>55</v>
      </c>
      <c r="F2260" t="s">
        <v>52</v>
      </c>
      <c r="G2260" t="s">
        <v>48</v>
      </c>
      <c r="H2260" s="2">
        <v>3433</v>
      </c>
      <c r="I2260" s="2">
        <v>3367</v>
      </c>
      <c r="J2260">
        <v>50</v>
      </c>
      <c r="K2260">
        <v>608</v>
      </c>
      <c r="L2260">
        <v>166</v>
      </c>
      <c r="M2260">
        <v>98</v>
      </c>
      <c r="N2260">
        <v>54</v>
      </c>
      <c r="O2260">
        <v>131</v>
      </c>
      <c r="P2260">
        <v>36</v>
      </c>
      <c r="Q2260">
        <v>98</v>
      </c>
      <c r="R2260">
        <v>40</v>
      </c>
      <c r="S2260">
        <v>750</v>
      </c>
      <c r="T2260">
        <v>211</v>
      </c>
      <c r="U2260">
        <v>604</v>
      </c>
      <c r="V2260">
        <v>554</v>
      </c>
      <c r="W2260" s="1">
        <v>44160</v>
      </c>
      <c r="X2260" t="s">
        <v>56</v>
      </c>
    </row>
    <row r="2261" spans="1:39" x14ac:dyDescent="0.3">
      <c r="A2261">
        <v>2020</v>
      </c>
      <c r="B2261">
        <v>7</v>
      </c>
      <c r="C2261" t="str">
        <f t="shared" si="70"/>
        <v>7/01/2020</v>
      </c>
      <c r="D2261" s="1" t="str">
        <f t="shared" si="71"/>
        <v>7/01/2020</v>
      </c>
      <c r="E2261" t="s">
        <v>55</v>
      </c>
      <c r="F2261" t="s">
        <v>52</v>
      </c>
      <c r="G2261" t="s">
        <v>49</v>
      </c>
      <c r="H2261" s="2">
        <v>2150</v>
      </c>
      <c r="I2261" s="2">
        <v>2116</v>
      </c>
      <c r="J2261">
        <v>31</v>
      </c>
      <c r="K2261">
        <v>307</v>
      </c>
      <c r="L2261">
        <v>82</v>
      </c>
      <c r="M2261">
        <v>134</v>
      </c>
      <c r="N2261">
        <v>37</v>
      </c>
      <c r="O2261">
        <v>58</v>
      </c>
      <c r="P2261">
        <v>15</v>
      </c>
      <c r="Q2261">
        <v>55</v>
      </c>
      <c r="R2261">
        <v>30</v>
      </c>
      <c r="S2261">
        <v>498</v>
      </c>
      <c r="T2261">
        <v>119</v>
      </c>
      <c r="U2261">
        <v>357</v>
      </c>
      <c r="V2261">
        <v>331</v>
      </c>
      <c r="W2261" s="1">
        <v>44160</v>
      </c>
      <c r="X2261" t="s">
        <v>56</v>
      </c>
    </row>
    <row r="2262" spans="1:39" x14ac:dyDescent="0.3">
      <c r="A2262">
        <v>2020</v>
      </c>
      <c r="B2262">
        <v>7</v>
      </c>
      <c r="C2262" t="str">
        <f t="shared" si="70"/>
        <v>7/01/2020</v>
      </c>
      <c r="D2262" s="1" t="str">
        <f t="shared" si="71"/>
        <v>7/01/2020</v>
      </c>
      <c r="E2262" t="s">
        <v>55</v>
      </c>
      <c r="F2262" t="s">
        <v>53</v>
      </c>
      <c r="G2262" t="s">
        <v>39</v>
      </c>
      <c r="H2262">
        <v>450</v>
      </c>
      <c r="I2262">
        <v>374</v>
      </c>
      <c r="L2262">
        <v>0</v>
      </c>
      <c r="M2262">
        <v>0</v>
      </c>
      <c r="O2262">
        <v>0</v>
      </c>
      <c r="Q2262">
        <v>0</v>
      </c>
      <c r="R2262">
        <v>64</v>
      </c>
      <c r="U2262">
        <v>0</v>
      </c>
      <c r="V2262">
        <v>0</v>
      </c>
      <c r="W2262" s="1">
        <v>44160</v>
      </c>
      <c r="X2262" t="s">
        <v>56</v>
      </c>
      <c r="AA2262" t="s">
        <v>40</v>
      </c>
      <c r="AB2262" t="s">
        <v>40</v>
      </c>
      <c r="AE2262" t="s">
        <v>40</v>
      </c>
      <c r="AG2262" t="s">
        <v>40</v>
      </c>
      <c r="AJ2262" t="s">
        <v>40</v>
      </c>
      <c r="AK2262" t="s">
        <v>40</v>
      </c>
    </row>
    <row r="2263" spans="1:39" x14ac:dyDescent="0.3">
      <c r="A2263">
        <v>2020</v>
      </c>
      <c r="B2263">
        <v>7</v>
      </c>
      <c r="C2263" t="str">
        <f t="shared" si="70"/>
        <v>7/01/2020</v>
      </c>
      <c r="D2263" s="1" t="str">
        <f t="shared" si="71"/>
        <v>7/01/2020</v>
      </c>
      <c r="E2263" t="s">
        <v>55</v>
      </c>
      <c r="F2263" t="s">
        <v>53</v>
      </c>
      <c r="G2263" t="s">
        <v>41</v>
      </c>
      <c r="H2263" s="2">
        <v>1104</v>
      </c>
      <c r="I2263">
        <v>226</v>
      </c>
      <c r="J2263">
        <v>0</v>
      </c>
      <c r="K2263">
        <v>32</v>
      </c>
      <c r="M2263">
        <v>0</v>
      </c>
      <c r="R2263">
        <v>74</v>
      </c>
      <c r="S2263">
        <v>20</v>
      </c>
      <c r="U2263">
        <v>11</v>
      </c>
      <c r="V2263">
        <v>10</v>
      </c>
      <c r="W2263" s="1">
        <v>44160</v>
      </c>
      <c r="X2263" t="s">
        <v>56</v>
      </c>
      <c r="AC2263" t="s">
        <v>40</v>
      </c>
      <c r="AE2263" t="s">
        <v>40</v>
      </c>
      <c r="AF2263" t="s">
        <v>40</v>
      </c>
      <c r="AG2263" t="s">
        <v>40</v>
      </c>
      <c r="AH2263" t="s">
        <v>40</v>
      </c>
      <c r="AK2263" t="s">
        <v>40</v>
      </c>
    </row>
    <row r="2264" spans="1:39" x14ac:dyDescent="0.3">
      <c r="A2264">
        <v>2020</v>
      </c>
      <c r="B2264">
        <v>7</v>
      </c>
      <c r="C2264" t="str">
        <f t="shared" si="70"/>
        <v>7/01/2020</v>
      </c>
      <c r="D2264" s="1" t="str">
        <f t="shared" si="71"/>
        <v>7/01/2020</v>
      </c>
      <c r="E2264" t="s">
        <v>55</v>
      </c>
      <c r="F2264" t="s">
        <v>53</v>
      </c>
      <c r="G2264" t="s">
        <v>42</v>
      </c>
      <c r="H2264" s="2">
        <v>2419</v>
      </c>
      <c r="I2264">
        <v>732</v>
      </c>
      <c r="K2264">
        <v>80</v>
      </c>
      <c r="L2264">
        <v>28</v>
      </c>
      <c r="M2264">
        <v>0</v>
      </c>
      <c r="N2264">
        <v>10</v>
      </c>
      <c r="R2264">
        <v>205</v>
      </c>
      <c r="S2264">
        <v>114</v>
      </c>
      <c r="T2264">
        <v>10</v>
      </c>
      <c r="U2264">
        <v>30</v>
      </c>
      <c r="V2264">
        <v>26</v>
      </c>
      <c r="W2264" s="1">
        <v>44160</v>
      </c>
      <c r="X2264" t="s">
        <v>56</v>
      </c>
      <c r="AA2264" t="s">
        <v>40</v>
      </c>
      <c r="AF2264" t="s">
        <v>40</v>
      </c>
      <c r="AG2264" t="s">
        <v>40</v>
      </c>
      <c r="AH2264" t="s">
        <v>40</v>
      </c>
    </row>
    <row r="2265" spans="1:39" x14ac:dyDescent="0.3">
      <c r="A2265">
        <v>2020</v>
      </c>
      <c r="B2265">
        <v>7</v>
      </c>
      <c r="C2265" t="str">
        <f t="shared" si="70"/>
        <v>7/01/2020</v>
      </c>
      <c r="D2265" s="1" t="str">
        <f t="shared" si="71"/>
        <v>7/01/2020</v>
      </c>
      <c r="E2265" t="s">
        <v>55</v>
      </c>
      <c r="F2265" t="s">
        <v>53</v>
      </c>
      <c r="G2265" t="s">
        <v>43</v>
      </c>
      <c r="H2265" s="2">
        <v>3617</v>
      </c>
      <c r="I2265" s="2">
        <v>1793</v>
      </c>
      <c r="J2265">
        <v>34</v>
      </c>
      <c r="K2265">
        <v>241</v>
      </c>
      <c r="L2265">
        <v>67</v>
      </c>
      <c r="M2265">
        <v>0</v>
      </c>
      <c r="O2265">
        <v>22</v>
      </c>
      <c r="P2265">
        <v>18</v>
      </c>
      <c r="Q2265">
        <v>23</v>
      </c>
      <c r="R2265">
        <v>248</v>
      </c>
      <c r="S2265">
        <v>403</v>
      </c>
      <c r="T2265">
        <v>42</v>
      </c>
      <c r="U2265">
        <v>82</v>
      </c>
      <c r="V2265">
        <v>72</v>
      </c>
      <c r="W2265" s="1">
        <v>44160</v>
      </c>
      <c r="X2265" t="s">
        <v>56</v>
      </c>
      <c r="AE2265" t="s">
        <v>40</v>
      </c>
    </row>
    <row r="2266" spans="1:39" x14ac:dyDescent="0.3">
      <c r="A2266">
        <v>2020</v>
      </c>
      <c r="B2266">
        <v>7</v>
      </c>
      <c r="C2266" t="str">
        <f t="shared" si="70"/>
        <v>7/01/2020</v>
      </c>
      <c r="D2266" s="1" t="str">
        <f t="shared" si="71"/>
        <v>7/01/2020</v>
      </c>
      <c r="E2266" t="s">
        <v>55</v>
      </c>
      <c r="F2266" t="s">
        <v>53</v>
      </c>
      <c r="G2266" t="s">
        <v>44</v>
      </c>
      <c r="H2266" s="2">
        <v>6071</v>
      </c>
      <c r="I2266" s="2">
        <v>4459</v>
      </c>
      <c r="J2266">
        <v>64</v>
      </c>
      <c r="K2266">
        <v>927</v>
      </c>
      <c r="L2266">
        <v>205</v>
      </c>
      <c r="N2266">
        <v>55</v>
      </c>
      <c r="O2266">
        <v>91</v>
      </c>
      <c r="P2266">
        <v>29</v>
      </c>
      <c r="Q2266">
        <v>48</v>
      </c>
      <c r="R2266">
        <v>233</v>
      </c>
      <c r="S2266" s="2">
        <v>1252</v>
      </c>
      <c r="T2266">
        <v>119</v>
      </c>
      <c r="U2266">
        <v>204</v>
      </c>
      <c r="V2266">
        <v>184</v>
      </c>
      <c r="W2266" s="1">
        <v>44160</v>
      </c>
      <c r="X2266" t="s">
        <v>56</v>
      </c>
      <c r="AD2266" t="s">
        <v>40</v>
      </c>
    </row>
    <row r="2267" spans="1:39" x14ac:dyDescent="0.3">
      <c r="A2267">
        <v>2020</v>
      </c>
      <c r="B2267">
        <v>7</v>
      </c>
      <c r="C2267" t="str">
        <f t="shared" si="70"/>
        <v>7/01/2020</v>
      </c>
      <c r="D2267" s="1" t="str">
        <f t="shared" si="71"/>
        <v>7/01/2020</v>
      </c>
      <c r="E2267" t="s">
        <v>55</v>
      </c>
      <c r="F2267" t="s">
        <v>53</v>
      </c>
      <c r="G2267" t="s">
        <v>45</v>
      </c>
      <c r="H2267">
        <v>131</v>
      </c>
      <c r="I2267">
        <v>54</v>
      </c>
      <c r="J2267">
        <v>0</v>
      </c>
      <c r="K2267">
        <v>15</v>
      </c>
      <c r="M2267">
        <v>0</v>
      </c>
      <c r="N2267">
        <v>0</v>
      </c>
      <c r="P2267">
        <v>0</v>
      </c>
      <c r="Q2267">
        <v>0</v>
      </c>
      <c r="U2267">
        <v>0</v>
      </c>
      <c r="V2267">
        <v>0</v>
      </c>
      <c r="W2267" s="1">
        <v>44160</v>
      </c>
      <c r="X2267" t="s">
        <v>56</v>
      </c>
      <c r="AC2267" t="s">
        <v>40</v>
      </c>
      <c r="AF2267" t="s">
        <v>40</v>
      </c>
      <c r="AI2267" t="s">
        <v>40</v>
      </c>
      <c r="AJ2267" t="s">
        <v>40</v>
      </c>
      <c r="AK2267" t="s">
        <v>40</v>
      </c>
    </row>
    <row r="2268" spans="1:39" x14ac:dyDescent="0.3">
      <c r="A2268">
        <v>2020</v>
      </c>
      <c r="B2268">
        <v>7</v>
      </c>
      <c r="C2268" t="str">
        <f t="shared" si="70"/>
        <v>7/01/2020</v>
      </c>
      <c r="D2268" s="1" t="str">
        <f t="shared" si="71"/>
        <v>7/01/2020</v>
      </c>
      <c r="E2268" t="s">
        <v>55</v>
      </c>
      <c r="F2268" t="s">
        <v>53</v>
      </c>
      <c r="G2268" t="s">
        <v>46</v>
      </c>
      <c r="H2268" s="2">
        <v>15082</v>
      </c>
      <c r="I2268" s="2">
        <v>13287</v>
      </c>
      <c r="J2268">
        <v>161</v>
      </c>
      <c r="K2268" s="2">
        <v>3665</v>
      </c>
      <c r="L2268">
        <v>545</v>
      </c>
      <c r="M2268">
        <v>37</v>
      </c>
      <c r="N2268">
        <v>138</v>
      </c>
      <c r="O2268">
        <v>600</v>
      </c>
      <c r="P2268">
        <v>137</v>
      </c>
      <c r="Q2268">
        <v>145</v>
      </c>
      <c r="R2268">
        <v>327</v>
      </c>
      <c r="S2268" s="2">
        <v>3593</v>
      </c>
      <c r="T2268">
        <v>419</v>
      </c>
      <c r="U2268">
        <v>759</v>
      </c>
      <c r="V2268">
        <v>668</v>
      </c>
      <c r="W2268" s="1">
        <v>44160</v>
      </c>
      <c r="X2268" t="s">
        <v>56</v>
      </c>
    </row>
    <row r="2269" spans="1:39" x14ac:dyDescent="0.3">
      <c r="A2269">
        <v>2020</v>
      </c>
      <c r="B2269">
        <v>7</v>
      </c>
      <c r="C2269" t="str">
        <f t="shared" si="70"/>
        <v>7/01/2020</v>
      </c>
      <c r="D2269" s="1" t="str">
        <f t="shared" si="71"/>
        <v>7/01/2020</v>
      </c>
      <c r="E2269" t="s">
        <v>55</v>
      </c>
      <c r="F2269" t="s">
        <v>53</v>
      </c>
      <c r="G2269" t="s">
        <v>47</v>
      </c>
      <c r="H2269" s="2">
        <v>22841</v>
      </c>
      <c r="I2269" s="2">
        <v>21592</v>
      </c>
      <c r="J2269">
        <v>286</v>
      </c>
      <c r="K2269" s="2">
        <v>6285</v>
      </c>
      <c r="L2269">
        <v>932</v>
      </c>
      <c r="M2269">
        <v>218</v>
      </c>
      <c r="N2269">
        <v>281</v>
      </c>
      <c r="O2269" s="2">
        <v>1323</v>
      </c>
      <c r="P2269">
        <v>347</v>
      </c>
      <c r="Q2269">
        <v>317</v>
      </c>
      <c r="R2269">
        <v>271</v>
      </c>
      <c r="S2269" s="2">
        <v>5201</v>
      </c>
      <c r="T2269">
        <v>741</v>
      </c>
      <c r="U2269" s="2">
        <v>1629</v>
      </c>
      <c r="V2269" s="2">
        <v>1494</v>
      </c>
      <c r="W2269" s="1">
        <v>44160</v>
      </c>
      <c r="X2269" t="s">
        <v>56</v>
      </c>
    </row>
    <row r="2270" spans="1:39" x14ac:dyDescent="0.3">
      <c r="A2270">
        <v>2020</v>
      </c>
      <c r="B2270">
        <v>7</v>
      </c>
      <c r="C2270" t="str">
        <f t="shared" si="70"/>
        <v>7/01/2020</v>
      </c>
      <c r="D2270" s="1" t="str">
        <f t="shared" si="71"/>
        <v>7/01/2020</v>
      </c>
      <c r="E2270" t="s">
        <v>55</v>
      </c>
      <c r="F2270" t="s">
        <v>53</v>
      </c>
      <c r="G2270" t="s">
        <v>48</v>
      </c>
      <c r="H2270" s="2">
        <v>26494</v>
      </c>
      <c r="I2270" s="2">
        <v>25510</v>
      </c>
      <c r="J2270">
        <v>306</v>
      </c>
      <c r="K2270" s="2">
        <v>5950</v>
      </c>
      <c r="L2270">
        <v>789</v>
      </c>
      <c r="M2270">
        <v>945</v>
      </c>
      <c r="N2270">
        <v>342</v>
      </c>
      <c r="O2270" s="2">
        <v>1625</v>
      </c>
      <c r="P2270">
        <v>439</v>
      </c>
      <c r="Q2270">
        <v>480</v>
      </c>
      <c r="R2270">
        <v>202</v>
      </c>
      <c r="S2270" s="2">
        <v>6040</v>
      </c>
      <c r="T2270" s="2">
        <v>1167</v>
      </c>
      <c r="U2270" s="2">
        <v>2473</v>
      </c>
      <c r="V2270" s="2">
        <v>2241</v>
      </c>
      <c r="W2270" s="1">
        <v>44160</v>
      </c>
      <c r="X2270" t="s">
        <v>56</v>
      </c>
    </row>
    <row r="2271" spans="1:39" x14ac:dyDescent="0.3">
      <c r="A2271">
        <v>2020</v>
      </c>
      <c r="B2271">
        <v>7</v>
      </c>
      <c r="C2271" t="str">
        <f t="shared" si="70"/>
        <v>7/01/2020</v>
      </c>
      <c r="D2271" s="1" t="str">
        <f t="shared" si="71"/>
        <v>7/01/2020</v>
      </c>
      <c r="E2271" t="s">
        <v>55</v>
      </c>
      <c r="F2271" t="s">
        <v>53</v>
      </c>
      <c r="G2271" t="s">
        <v>49</v>
      </c>
      <c r="H2271" s="2">
        <v>24679</v>
      </c>
      <c r="I2271" s="2">
        <v>23778</v>
      </c>
      <c r="J2271">
        <v>235</v>
      </c>
      <c r="K2271" s="2">
        <v>3452</v>
      </c>
      <c r="L2271">
        <v>476</v>
      </c>
      <c r="M2271" s="2">
        <v>1546</v>
      </c>
      <c r="N2271">
        <v>391</v>
      </c>
      <c r="O2271" s="2">
        <v>1079</v>
      </c>
      <c r="P2271">
        <v>316</v>
      </c>
      <c r="Q2271">
        <v>462</v>
      </c>
      <c r="R2271">
        <v>297</v>
      </c>
      <c r="S2271" s="2">
        <v>6902</v>
      </c>
      <c r="T2271" s="2">
        <v>1362</v>
      </c>
      <c r="U2271" s="2">
        <v>2169</v>
      </c>
      <c r="V2271" s="2">
        <v>1914</v>
      </c>
      <c r="W2271" s="1">
        <v>44160</v>
      </c>
      <c r="X2271" t="s">
        <v>56</v>
      </c>
    </row>
    <row r="2272" spans="1:39" x14ac:dyDescent="0.3">
      <c r="A2272">
        <v>2020</v>
      </c>
      <c r="B2272">
        <v>7</v>
      </c>
      <c r="C2272" t="str">
        <f t="shared" si="70"/>
        <v>7/01/2020</v>
      </c>
      <c r="D2272" s="1" t="str">
        <f t="shared" si="71"/>
        <v>7/01/2020</v>
      </c>
      <c r="E2272" t="s">
        <v>55</v>
      </c>
      <c r="F2272" t="s">
        <v>54</v>
      </c>
      <c r="G2272" t="s">
        <v>39</v>
      </c>
      <c r="H2272">
        <v>58</v>
      </c>
      <c r="I2272">
        <v>43</v>
      </c>
      <c r="J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S2272">
        <v>0</v>
      </c>
      <c r="T2272">
        <v>0</v>
      </c>
      <c r="U2272">
        <v>0</v>
      </c>
      <c r="V2272">
        <v>0</v>
      </c>
      <c r="W2272" s="1">
        <v>44160</v>
      </c>
      <c r="X2272" t="s">
        <v>56</v>
      </c>
      <c r="AB2272" t="s">
        <v>40</v>
      </c>
      <c r="AI2272" t="s">
        <v>40</v>
      </c>
    </row>
    <row r="2273" spans="1:39" x14ac:dyDescent="0.3">
      <c r="A2273">
        <v>2020</v>
      </c>
      <c r="B2273">
        <v>7</v>
      </c>
      <c r="C2273" t="str">
        <f t="shared" si="70"/>
        <v>7/01/2020</v>
      </c>
      <c r="D2273" s="1" t="str">
        <f t="shared" si="71"/>
        <v>7/01/2020</v>
      </c>
      <c r="E2273" t="s">
        <v>55</v>
      </c>
      <c r="F2273" t="s">
        <v>54</v>
      </c>
      <c r="G2273" t="s">
        <v>41</v>
      </c>
      <c r="H2273">
        <v>59</v>
      </c>
      <c r="I2273">
        <v>11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T2273">
        <v>0</v>
      </c>
      <c r="W2273" s="1">
        <v>44160</v>
      </c>
      <c r="X2273" t="s">
        <v>56</v>
      </c>
      <c r="AA2273" t="s">
        <v>40</v>
      </c>
      <c r="AB2273" t="s">
        <v>40</v>
      </c>
      <c r="AI2273" t="s">
        <v>40</v>
      </c>
      <c r="AJ2273" t="s">
        <v>40</v>
      </c>
      <c r="AL2273" t="s">
        <v>40</v>
      </c>
      <c r="AM2273" t="s">
        <v>40</v>
      </c>
    </row>
    <row r="2274" spans="1:39" x14ac:dyDescent="0.3">
      <c r="A2274">
        <v>2020</v>
      </c>
      <c r="B2274">
        <v>7</v>
      </c>
      <c r="C2274" t="str">
        <f t="shared" si="70"/>
        <v>7/01/2020</v>
      </c>
      <c r="D2274" s="1" t="str">
        <f t="shared" si="71"/>
        <v>7/01/2020</v>
      </c>
      <c r="E2274" t="s">
        <v>55</v>
      </c>
      <c r="F2274" t="s">
        <v>54</v>
      </c>
      <c r="G2274" t="s">
        <v>42</v>
      </c>
      <c r="H2274">
        <v>100</v>
      </c>
      <c r="I2274">
        <v>37</v>
      </c>
      <c r="J2274">
        <v>0</v>
      </c>
      <c r="L2274">
        <v>0</v>
      </c>
      <c r="M2274">
        <v>0</v>
      </c>
      <c r="P2274">
        <v>0</v>
      </c>
      <c r="Q2274">
        <v>0</v>
      </c>
      <c r="W2274" s="1">
        <v>44160</v>
      </c>
      <c r="X2274" t="s">
        <v>56</v>
      </c>
      <c r="AB2274" t="s">
        <v>40</v>
      </c>
      <c r="AE2274" t="s">
        <v>40</v>
      </c>
      <c r="AF2274" t="s">
        <v>40</v>
      </c>
      <c r="AI2274" t="s">
        <v>40</v>
      </c>
      <c r="AJ2274" t="s">
        <v>40</v>
      </c>
      <c r="AK2274" t="s">
        <v>40</v>
      </c>
      <c r="AL2274" t="s">
        <v>40</v>
      </c>
      <c r="AM2274" t="s">
        <v>40</v>
      </c>
    </row>
    <row r="2275" spans="1:39" x14ac:dyDescent="0.3">
      <c r="A2275">
        <v>2020</v>
      </c>
      <c r="B2275">
        <v>7</v>
      </c>
      <c r="C2275" t="str">
        <f t="shared" si="70"/>
        <v>7/01/2020</v>
      </c>
      <c r="D2275" s="1" t="str">
        <f t="shared" si="71"/>
        <v>7/01/2020</v>
      </c>
      <c r="E2275" t="s">
        <v>55</v>
      </c>
      <c r="F2275" t="s">
        <v>54</v>
      </c>
      <c r="G2275" t="s">
        <v>43</v>
      </c>
      <c r="H2275">
        <v>112</v>
      </c>
      <c r="I2275">
        <v>66</v>
      </c>
      <c r="M2275">
        <v>0</v>
      </c>
      <c r="O2275">
        <v>0</v>
      </c>
      <c r="P2275">
        <v>0</v>
      </c>
      <c r="Q2275">
        <v>0</v>
      </c>
      <c r="S2275">
        <v>16</v>
      </c>
      <c r="U2275">
        <v>12</v>
      </c>
      <c r="V2275">
        <v>10</v>
      </c>
      <c r="W2275" s="1">
        <v>44160</v>
      </c>
      <c r="X2275" t="s">
        <v>56</v>
      </c>
      <c r="AA2275" t="s">
        <v>40</v>
      </c>
      <c r="AB2275" t="s">
        <v>40</v>
      </c>
      <c r="AC2275" t="s">
        <v>40</v>
      </c>
      <c r="AE2275" t="s">
        <v>40</v>
      </c>
      <c r="AI2275" t="s">
        <v>40</v>
      </c>
      <c r="AK2275" t="s">
        <v>40</v>
      </c>
    </row>
    <row r="2276" spans="1:39" x14ac:dyDescent="0.3">
      <c r="A2276">
        <v>2020</v>
      </c>
      <c r="B2276">
        <v>7</v>
      </c>
      <c r="C2276" t="str">
        <f t="shared" si="70"/>
        <v>7/01/2020</v>
      </c>
      <c r="D2276" s="1" t="str">
        <f t="shared" si="71"/>
        <v>7/01/2020</v>
      </c>
      <c r="E2276" t="s">
        <v>55</v>
      </c>
      <c r="F2276" t="s">
        <v>54</v>
      </c>
      <c r="G2276" t="s">
        <v>44</v>
      </c>
      <c r="H2276">
        <v>169</v>
      </c>
      <c r="I2276">
        <v>122</v>
      </c>
      <c r="K2276">
        <v>15</v>
      </c>
      <c r="M2276">
        <v>0</v>
      </c>
      <c r="O2276">
        <v>0</v>
      </c>
      <c r="S2276">
        <v>32</v>
      </c>
      <c r="U2276">
        <v>24</v>
      </c>
      <c r="V2276">
        <v>23</v>
      </c>
      <c r="W2276" s="1">
        <v>44160</v>
      </c>
      <c r="X2276" t="s">
        <v>56</v>
      </c>
      <c r="AA2276" t="s">
        <v>40</v>
      </c>
      <c r="AC2276" t="s">
        <v>40</v>
      </c>
      <c r="AE2276" t="s">
        <v>40</v>
      </c>
      <c r="AG2276" t="s">
        <v>40</v>
      </c>
      <c r="AH2276" t="s">
        <v>40</v>
      </c>
      <c r="AI2276" t="s">
        <v>40</v>
      </c>
      <c r="AK2276" t="s">
        <v>40</v>
      </c>
    </row>
    <row r="2277" spans="1:39" x14ac:dyDescent="0.3">
      <c r="A2277">
        <v>2020</v>
      </c>
      <c r="B2277">
        <v>7</v>
      </c>
      <c r="C2277" t="str">
        <f t="shared" si="70"/>
        <v>7/01/2020</v>
      </c>
      <c r="D2277" s="1" t="str">
        <f t="shared" si="71"/>
        <v>7/01/2020</v>
      </c>
      <c r="E2277" t="s">
        <v>55</v>
      </c>
      <c r="F2277" t="s">
        <v>54</v>
      </c>
      <c r="G2277" t="s">
        <v>45</v>
      </c>
      <c r="H2277">
        <v>14</v>
      </c>
      <c r="J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S2277">
        <v>0</v>
      </c>
      <c r="T2277">
        <v>0</v>
      </c>
      <c r="U2277">
        <v>0</v>
      </c>
      <c r="V2277">
        <v>0</v>
      </c>
      <c r="W2277" s="1">
        <v>44160</v>
      </c>
      <c r="X2277" t="s">
        <v>56</v>
      </c>
      <c r="Z2277" t="s">
        <v>40</v>
      </c>
      <c r="AB2277" t="s">
        <v>40</v>
      </c>
      <c r="AI2277" t="s">
        <v>40</v>
      </c>
    </row>
    <row r="2278" spans="1:39" x14ac:dyDescent="0.3">
      <c r="A2278">
        <v>2020</v>
      </c>
      <c r="B2278">
        <v>7</v>
      </c>
      <c r="C2278" t="str">
        <f t="shared" si="70"/>
        <v>7/01/2020</v>
      </c>
      <c r="D2278" s="1" t="str">
        <f t="shared" si="71"/>
        <v>7/01/2020</v>
      </c>
      <c r="E2278" t="s">
        <v>55</v>
      </c>
      <c r="F2278" t="s">
        <v>54</v>
      </c>
      <c r="G2278" t="s">
        <v>46</v>
      </c>
      <c r="H2278">
        <v>290</v>
      </c>
      <c r="I2278">
        <v>238</v>
      </c>
      <c r="K2278">
        <v>42</v>
      </c>
      <c r="L2278">
        <v>20</v>
      </c>
      <c r="M2278">
        <v>0</v>
      </c>
      <c r="O2278">
        <v>10</v>
      </c>
      <c r="R2278">
        <v>11</v>
      </c>
      <c r="S2278">
        <v>57</v>
      </c>
      <c r="U2278">
        <v>47</v>
      </c>
      <c r="V2278">
        <v>44</v>
      </c>
      <c r="W2278" s="1">
        <v>44160</v>
      </c>
      <c r="X2278" t="s">
        <v>56</v>
      </c>
      <c r="AA2278" t="s">
        <v>40</v>
      </c>
      <c r="AE2278" t="s">
        <v>40</v>
      </c>
      <c r="AG2278" t="s">
        <v>40</v>
      </c>
      <c r="AH2278" t="s">
        <v>40</v>
      </c>
      <c r="AK2278" t="s">
        <v>40</v>
      </c>
    </row>
    <row r="2279" spans="1:39" x14ac:dyDescent="0.3">
      <c r="A2279">
        <v>2020</v>
      </c>
      <c r="B2279">
        <v>7</v>
      </c>
      <c r="C2279" t="str">
        <f t="shared" si="70"/>
        <v>7/01/2020</v>
      </c>
      <c r="D2279" s="1" t="str">
        <f t="shared" si="71"/>
        <v>7/01/2020</v>
      </c>
      <c r="E2279" t="s">
        <v>55</v>
      </c>
      <c r="F2279" t="s">
        <v>54</v>
      </c>
      <c r="G2279" t="s">
        <v>47</v>
      </c>
      <c r="H2279">
        <v>313</v>
      </c>
      <c r="I2279">
        <v>295</v>
      </c>
      <c r="K2279">
        <v>64</v>
      </c>
      <c r="L2279">
        <v>23</v>
      </c>
      <c r="S2279">
        <v>82</v>
      </c>
      <c r="U2279">
        <v>33</v>
      </c>
      <c r="V2279">
        <v>32</v>
      </c>
      <c r="W2279" s="1">
        <v>44160</v>
      </c>
      <c r="X2279" t="s">
        <v>56</v>
      </c>
      <c r="AA2279" t="s">
        <v>40</v>
      </c>
      <c r="AD2279" t="s">
        <v>40</v>
      </c>
      <c r="AE2279" t="s">
        <v>40</v>
      </c>
      <c r="AF2279" t="s">
        <v>40</v>
      </c>
      <c r="AG2279" t="s">
        <v>40</v>
      </c>
      <c r="AH2279" t="s">
        <v>40</v>
      </c>
      <c r="AI2279" t="s">
        <v>40</v>
      </c>
      <c r="AK2279" t="s">
        <v>40</v>
      </c>
    </row>
    <row r="2280" spans="1:39" x14ac:dyDescent="0.3">
      <c r="A2280">
        <v>2020</v>
      </c>
      <c r="B2280">
        <v>7</v>
      </c>
      <c r="C2280" t="str">
        <f t="shared" si="70"/>
        <v>7/01/2020</v>
      </c>
      <c r="D2280" s="1" t="str">
        <f t="shared" si="71"/>
        <v>7/01/2020</v>
      </c>
      <c r="E2280" t="s">
        <v>55</v>
      </c>
      <c r="F2280" t="s">
        <v>54</v>
      </c>
      <c r="G2280" t="s">
        <v>48</v>
      </c>
      <c r="H2280">
        <v>225</v>
      </c>
      <c r="I2280">
        <v>215</v>
      </c>
      <c r="K2280">
        <v>41</v>
      </c>
      <c r="O2280">
        <v>16</v>
      </c>
      <c r="P2280">
        <v>0</v>
      </c>
      <c r="S2280">
        <v>65</v>
      </c>
      <c r="U2280">
        <v>31</v>
      </c>
      <c r="V2280">
        <v>30</v>
      </c>
      <c r="W2280" s="1">
        <v>44160</v>
      </c>
      <c r="X2280" t="s">
        <v>56</v>
      </c>
      <c r="AA2280" t="s">
        <v>40</v>
      </c>
      <c r="AC2280" t="s">
        <v>40</v>
      </c>
      <c r="AD2280" t="s">
        <v>40</v>
      </c>
      <c r="AE2280" t="s">
        <v>40</v>
      </c>
      <c r="AH2280" t="s">
        <v>40</v>
      </c>
      <c r="AI2280" t="s">
        <v>40</v>
      </c>
      <c r="AK2280" t="s">
        <v>40</v>
      </c>
    </row>
    <row r="2281" spans="1:39" x14ac:dyDescent="0.3">
      <c r="A2281">
        <v>2020</v>
      </c>
      <c r="B2281">
        <v>7</v>
      </c>
      <c r="C2281" t="str">
        <f t="shared" si="70"/>
        <v>7/01/2020</v>
      </c>
      <c r="D2281" s="1" t="str">
        <f t="shared" si="71"/>
        <v>7/01/2020</v>
      </c>
      <c r="E2281" t="s">
        <v>55</v>
      </c>
      <c r="F2281" t="s">
        <v>54</v>
      </c>
      <c r="G2281" t="s">
        <v>49</v>
      </c>
      <c r="H2281">
        <v>128</v>
      </c>
      <c r="I2281">
        <v>127</v>
      </c>
      <c r="K2281">
        <v>14</v>
      </c>
      <c r="Q2281">
        <v>0</v>
      </c>
      <c r="R2281">
        <v>0</v>
      </c>
      <c r="S2281">
        <v>38</v>
      </c>
      <c r="U2281">
        <v>17</v>
      </c>
      <c r="V2281">
        <v>16</v>
      </c>
      <c r="W2281" s="1">
        <v>44160</v>
      </c>
      <c r="X2281" t="s">
        <v>56</v>
      </c>
      <c r="AA2281" t="s">
        <v>40</v>
      </c>
      <c r="AC2281" t="s">
        <v>40</v>
      </c>
      <c r="AD2281" t="s">
        <v>40</v>
      </c>
      <c r="AE2281" t="s">
        <v>40</v>
      </c>
      <c r="AF2281" t="s">
        <v>40</v>
      </c>
      <c r="AG2281" t="s">
        <v>40</v>
      </c>
      <c r="AK2281" t="s">
        <v>40</v>
      </c>
    </row>
    <row r="2282" spans="1:39" x14ac:dyDescent="0.3">
      <c r="A2282">
        <v>2020</v>
      </c>
      <c r="B2282">
        <v>8</v>
      </c>
      <c r="C2282" t="str">
        <f t="shared" si="70"/>
        <v>8/01/2020</v>
      </c>
      <c r="D2282" s="1" t="str">
        <f t="shared" si="71"/>
        <v>8/01/2020</v>
      </c>
      <c r="E2282" t="s">
        <v>37</v>
      </c>
      <c r="F2282" t="s">
        <v>38</v>
      </c>
      <c r="G2282" t="s">
        <v>39</v>
      </c>
      <c r="H2282">
        <v>200</v>
      </c>
      <c r="I2282">
        <v>183</v>
      </c>
      <c r="L2282">
        <v>0</v>
      </c>
      <c r="M2282">
        <v>0</v>
      </c>
      <c r="O2282">
        <v>0</v>
      </c>
      <c r="Q2282">
        <v>0</v>
      </c>
      <c r="R2282">
        <v>41</v>
      </c>
      <c r="W2282" s="1">
        <v>44160</v>
      </c>
      <c r="X2282" t="s">
        <v>56</v>
      </c>
      <c r="AA2282" t="s">
        <v>40</v>
      </c>
      <c r="AB2282" t="s">
        <v>40</v>
      </c>
      <c r="AE2282" t="s">
        <v>40</v>
      </c>
      <c r="AG2282" t="s">
        <v>40</v>
      </c>
      <c r="AJ2282" t="s">
        <v>40</v>
      </c>
      <c r="AK2282" t="s">
        <v>40</v>
      </c>
      <c r="AL2282" t="s">
        <v>40</v>
      </c>
      <c r="AM2282" t="s">
        <v>40</v>
      </c>
    </row>
    <row r="2283" spans="1:39" x14ac:dyDescent="0.3">
      <c r="A2283">
        <v>2020</v>
      </c>
      <c r="B2283">
        <v>8</v>
      </c>
      <c r="C2283" t="str">
        <f t="shared" si="70"/>
        <v>8/01/2020</v>
      </c>
      <c r="D2283" s="1" t="str">
        <f t="shared" si="71"/>
        <v>8/01/2020</v>
      </c>
      <c r="E2283" t="s">
        <v>37</v>
      </c>
      <c r="F2283" t="s">
        <v>38</v>
      </c>
      <c r="G2283" t="s">
        <v>41</v>
      </c>
      <c r="H2283">
        <v>203</v>
      </c>
      <c r="I2283">
        <v>75</v>
      </c>
      <c r="J2283">
        <v>0</v>
      </c>
      <c r="K2283">
        <v>14</v>
      </c>
      <c r="M2283">
        <v>0</v>
      </c>
      <c r="P2283">
        <v>0</v>
      </c>
      <c r="Q2283">
        <v>0</v>
      </c>
      <c r="R2283">
        <v>20</v>
      </c>
      <c r="W2283" s="1">
        <v>44160</v>
      </c>
      <c r="X2283" t="s">
        <v>56</v>
      </c>
      <c r="AC2283" t="s">
        <v>40</v>
      </c>
      <c r="AE2283" t="s">
        <v>40</v>
      </c>
      <c r="AF2283" t="s">
        <v>40</v>
      </c>
      <c r="AJ2283" t="s">
        <v>40</v>
      </c>
      <c r="AK2283" t="s">
        <v>40</v>
      </c>
      <c r="AL2283" t="s">
        <v>40</v>
      </c>
      <c r="AM2283" t="s">
        <v>40</v>
      </c>
    </row>
    <row r="2284" spans="1:39" x14ac:dyDescent="0.3">
      <c r="A2284">
        <v>2020</v>
      </c>
      <c r="B2284">
        <v>8</v>
      </c>
      <c r="C2284" t="str">
        <f t="shared" si="70"/>
        <v>8/01/2020</v>
      </c>
      <c r="D2284" s="1" t="str">
        <f t="shared" si="71"/>
        <v>8/01/2020</v>
      </c>
      <c r="E2284" t="s">
        <v>37</v>
      </c>
      <c r="F2284" t="s">
        <v>38</v>
      </c>
      <c r="G2284" t="s">
        <v>42</v>
      </c>
      <c r="H2284">
        <v>297</v>
      </c>
      <c r="I2284">
        <v>172</v>
      </c>
      <c r="K2284">
        <v>37</v>
      </c>
      <c r="M2284">
        <v>0</v>
      </c>
      <c r="R2284">
        <v>19</v>
      </c>
      <c r="S2284">
        <v>17</v>
      </c>
      <c r="U2284">
        <v>28</v>
      </c>
      <c r="V2284">
        <v>26</v>
      </c>
      <c r="W2284" s="1">
        <v>44160</v>
      </c>
      <c r="X2284" t="s">
        <v>56</v>
      </c>
      <c r="AA2284" t="s">
        <v>40</v>
      </c>
      <c r="AC2284" t="s">
        <v>40</v>
      </c>
      <c r="AE2284" t="s">
        <v>40</v>
      </c>
      <c r="AF2284" t="s">
        <v>40</v>
      </c>
      <c r="AG2284" t="s">
        <v>40</v>
      </c>
      <c r="AH2284" t="s">
        <v>40</v>
      </c>
      <c r="AK2284" t="s">
        <v>40</v>
      </c>
    </row>
    <row r="2285" spans="1:39" x14ac:dyDescent="0.3">
      <c r="A2285">
        <v>2020</v>
      </c>
      <c r="B2285">
        <v>8</v>
      </c>
      <c r="C2285" t="str">
        <f t="shared" si="70"/>
        <v>8/01/2020</v>
      </c>
      <c r="D2285" s="1" t="str">
        <f t="shared" si="71"/>
        <v>8/01/2020</v>
      </c>
      <c r="E2285" t="s">
        <v>37</v>
      </c>
      <c r="F2285" t="s">
        <v>38</v>
      </c>
      <c r="G2285" t="s">
        <v>43</v>
      </c>
      <c r="H2285">
        <v>449</v>
      </c>
      <c r="I2285">
        <v>372</v>
      </c>
      <c r="K2285">
        <v>92</v>
      </c>
      <c r="L2285">
        <v>15</v>
      </c>
      <c r="M2285">
        <v>0</v>
      </c>
      <c r="R2285">
        <v>31</v>
      </c>
      <c r="S2285">
        <v>32</v>
      </c>
      <c r="U2285">
        <v>95</v>
      </c>
      <c r="V2285">
        <v>89</v>
      </c>
      <c r="W2285" s="1">
        <v>44160</v>
      </c>
      <c r="X2285" t="s">
        <v>56</v>
      </c>
      <c r="AA2285" t="s">
        <v>40</v>
      </c>
      <c r="AE2285" t="s">
        <v>40</v>
      </c>
      <c r="AF2285" t="s">
        <v>40</v>
      </c>
      <c r="AG2285" t="s">
        <v>40</v>
      </c>
      <c r="AH2285" t="s">
        <v>40</v>
      </c>
      <c r="AK2285" t="s">
        <v>40</v>
      </c>
    </row>
    <row r="2286" spans="1:39" x14ac:dyDescent="0.3">
      <c r="A2286">
        <v>2020</v>
      </c>
      <c r="B2286">
        <v>8</v>
      </c>
      <c r="C2286" t="str">
        <f t="shared" si="70"/>
        <v>8/01/2020</v>
      </c>
      <c r="D2286" s="1" t="str">
        <f t="shared" si="71"/>
        <v>8/01/2020</v>
      </c>
      <c r="E2286" t="s">
        <v>37</v>
      </c>
      <c r="F2286" t="s">
        <v>38</v>
      </c>
      <c r="G2286" t="s">
        <v>44</v>
      </c>
      <c r="H2286">
        <v>874</v>
      </c>
      <c r="I2286">
        <v>787</v>
      </c>
      <c r="J2286">
        <v>10</v>
      </c>
      <c r="K2286">
        <v>204</v>
      </c>
      <c r="L2286">
        <v>34</v>
      </c>
      <c r="Q2286">
        <v>12</v>
      </c>
      <c r="R2286">
        <v>29</v>
      </c>
      <c r="S2286">
        <v>78</v>
      </c>
      <c r="T2286">
        <v>22</v>
      </c>
      <c r="U2286">
        <v>259</v>
      </c>
      <c r="V2286">
        <v>248</v>
      </c>
      <c r="W2286" s="1">
        <v>44160</v>
      </c>
      <c r="X2286" t="s">
        <v>56</v>
      </c>
      <c r="AD2286" t="s">
        <v>40</v>
      </c>
      <c r="AE2286" t="s">
        <v>40</v>
      </c>
      <c r="AF2286" t="s">
        <v>40</v>
      </c>
      <c r="AG2286" t="s">
        <v>40</v>
      </c>
    </row>
    <row r="2287" spans="1:39" x14ac:dyDescent="0.3">
      <c r="A2287">
        <v>2020</v>
      </c>
      <c r="B2287">
        <v>8</v>
      </c>
      <c r="C2287" t="str">
        <f t="shared" si="70"/>
        <v>8/01/2020</v>
      </c>
      <c r="D2287" s="1" t="str">
        <f t="shared" si="71"/>
        <v>8/01/2020</v>
      </c>
      <c r="E2287" t="s">
        <v>37</v>
      </c>
      <c r="F2287" t="s">
        <v>38</v>
      </c>
      <c r="G2287" t="s">
        <v>45</v>
      </c>
      <c r="H2287">
        <v>48</v>
      </c>
      <c r="I2287">
        <v>26</v>
      </c>
      <c r="J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T2287">
        <v>0</v>
      </c>
      <c r="W2287" s="1">
        <v>44160</v>
      </c>
      <c r="X2287" t="s">
        <v>56</v>
      </c>
      <c r="AB2287" t="s">
        <v>40</v>
      </c>
      <c r="AI2287" t="s">
        <v>40</v>
      </c>
      <c r="AJ2287" t="s">
        <v>40</v>
      </c>
      <c r="AL2287" t="s">
        <v>40</v>
      </c>
      <c r="AM2287" t="s">
        <v>40</v>
      </c>
    </row>
    <row r="2288" spans="1:39" x14ac:dyDescent="0.3">
      <c r="A2288">
        <v>2020</v>
      </c>
      <c r="B2288">
        <v>8</v>
      </c>
      <c r="C2288" t="str">
        <f t="shared" si="70"/>
        <v>8/01/2020</v>
      </c>
      <c r="D2288" s="1" t="str">
        <f t="shared" si="71"/>
        <v>8/01/2020</v>
      </c>
      <c r="E2288" t="s">
        <v>37</v>
      </c>
      <c r="F2288" t="s">
        <v>38</v>
      </c>
      <c r="G2288" t="s">
        <v>46</v>
      </c>
      <c r="H2288" s="2">
        <v>1561</v>
      </c>
      <c r="I2288" s="2">
        <v>1500</v>
      </c>
      <c r="J2288">
        <v>20</v>
      </c>
      <c r="K2288">
        <v>385</v>
      </c>
      <c r="L2288">
        <v>61</v>
      </c>
      <c r="N2288">
        <v>18</v>
      </c>
      <c r="O2288">
        <v>15</v>
      </c>
      <c r="P2288">
        <v>16</v>
      </c>
      <c r="Q2288">
        <v>25</v>
      </c>
      <c r="R2288">
        <v>30</v>
      </c>
      <c r="S2288">
        <v>145</v>
      </c>
      <c r="T2288">
        <v>59</v>
      </c>
      <c r="U2288">
        <v>504</v>
      </c>
      <c r="V2288">
        <v>482</v>
      </c>
      <c r="W2288" s="1">
        <v>44160</v>
      </c>
      <c r="X2288" t="s">
        <v>56</v>
      </c>
      <c r="AD2288" t="s">
        <v>40</v>
      </c>
    </row>
    <row r="2289" spans="1:39" x14ac:dyDescent="0.3">
      <c r="A2289">
        <v>2020</v>
      </c>
      <c r="B2289">
        <v>8</v>
      </c>
      <c r="C2289" t="str">
        <f t="shared" si="70"/>
        <v>8/01/2020</v>
      </c>
      <c r="D2289" s="1" t="str">
        <f t="shared" si="71"/>
        <v>8/01/2020</v>
      </c>
      <c r="E2289" t="s">
        <v>37</v>
      </c>
      <c r="F2289" t="s">
        <v>38</v>
      </c>
      <c r="G2289" t="s">
        <v>47</v>
      </c>
      <c r="H2289" s="2">
        <v>2161</v>
      </c>
      <c r="I2289" s="2">
        <v>2121</v>
      </c>
      <c r="J2289">
        <v>26</v>
      </c>
      <c r="K2289">
        <v>404</v>
      </c>
      <c r="L2289">
        <v>112</v>
      </c>
      <c r="M2289">
        <v>40</v>
      </c>
      <c r="N2289">
        <v>38</v>
      </c>
      <c r="O2289">
        <v>36</v>
      </c>
      <c r="P2289">
        <v>32</v>
      </c>
      <c r="Q2289">
        <v>39</v>
      </c>
      <c r="R2289">
        <v>22</v>
      </c>
      <c r="S2289">
        <v>268</v>
      </c>
      <c r="T2289">
        <v>75</v>
      </c>
      <c r="U2289">
        <v>759</v>
      </c>
      <c r="V2289">
        <v>730</v>
      </c>
      <c r="W2289" s="1">
        <v>44160</v>
      </c>
      <c r="X2289" t="s">
        <v>56</v>
      </c>
    </row>
    <row r="2290" spans="1:39" x14ac:dyDescent="0.3">
      <c r="A2290">
        <v>2020</v>
      </c>
      <c r="B2290">
        <v>8</v>
      </c>
      <c r="C2290" t="str">
        <f t="shared" si="70"/>
        <v>8/01/2020</v>
      </c>
      <c r="D2290" s="1" t="str">
        <f t="shared" si="71"/>
        <v>8/01/2020</v>
      </c>
      <c r="E2290" t="s">
        <v>37</v>
      </c>
      <c r="F2290" t="s">
        <v>38</v>
      </c>
      <c r="G2290" t="s">
        <v>48</v>
      </c>
      <c r="H2290" s="2">
        <v>2667</v>
      </c>
      <c r="I2290" s="2">
        <v>2618</v>
      </c>
      <c r="J2290">
        <v>26</v>
      </c>
      <c r="K2290">
        <v>387</v>
      </c>
      <c r="L2290">
        <v>124</v>
      </c>
      <c r="M2290">
        <v>146</v>
      </c>
      <c r="N2290">
        <v>33</v>
      </c>
      <c r="O2290">
        <v>67</v>
      </c>
      <c r="P2290">
        <v>39</v>
      </c>
      <c r="Q2290">
        <v>50</v>
      </c>
      <c r="R2290">
        <v>16</v>
      </c>
      <c r="S2290">
        <v>414</v>
      </c>
      <c r="T2290">
        <v>153</v>
      </c>
      <c r="U2290">
        <v>748</v>
      </c>
      <c r="V2290">
        <v>704</v>
      </c>
      <c r="W2290" s="1">
        <v>44160</v>
      </c>
      <c r="X2290" t="s">
        <v>56</v>
      </c>
    </row>
    <row r="2291" spans="1:39" x14ac:dyDescent="0.3">
      <c r="A2291">
        <v>2020</v>
      </c>
      <c r="B2291">
        <v>8</v>
      </c>
      <c r="C2291" t="str">
        <f t="shared" si="70"/>
        <v>8/01/2020</v>
      </c>
      <c r="D2291" s="1" t="str">
        <f t="shared" si="71"/>
        <v>8/01/2020</v>
      </c>
      <c r="E2291" t="s">
        <v>37</v>
      </c>
      <c r="F2291" t="s">
        <v>38</v>
      </c>
      <c r="G2291" t="s">
        <v>49</v>
      </c>
      <c r="H2291" s="2">
        <v>3220</v>
      </c>
      <c r="I2291" s="2">
        <v>3175</v>
      </c>
      <c r="J2291">
        <v>27</v>
      </c>
      <c r="K2291">
        <v>246</v>
      </c>
      <c r="L2291">
        <v>92</v>
      </c>
      <c r="M2291">
        <v>412</v>
      </c>
      <c r="N2291">
        <v>41</v>
      </c>
      <c r="O2291">
        <v>80</v>
      </c>
      <c r="P2291">
        <v>35</v>
      </c>
      <c r="Q2291">
        <v>55</v>
      </c>
      <c r="R2291">
        <v>32</v>
      </c>
      <c r="S2291">
        <v>653</v>
      </c>
      <c r="T2291">
        <v>256</v>
      </c>
      <c r="U2291">
        <v>628</v>
      </c>
      <c r="V2291">
        <v>566</v>
      </c>
      <c r="W2291" s="1">
        <v>44160</v>
      </c>
      <c r="X2291" t="s">
        <v>56</v>
      </c>
    </row>
    <row r="2292" spans="1:39" x14ac:dyDescent="0.3">
      <c r="A2292">
        <v>2020</v>
      </c>
      <c r="B2292">
        <v>8</v>
      </c>
      <c r="C2292" t="str">
        <f t="shared" si="70"/>
        <v>8/01/2020</v>
      </c>
      <c r="D2292" s="1" t="str">
        <f t="shared" si="71"/>
        <v>8/01/2020</v>
      </c>
      <c r="E2292" t="s">
        <v>37</v>
      </c>
      <c r="F2292" t="s">
        <v>50</v>
      </c>
      <c r="G2292" t="s">
        <v>39</v>
      </c>
      <c r="J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S2292">
        <v>0</v>
      </c>
      <c r="T2292">
        <v>0</v>
      </c>
      <c r="U2292">
        <v>0</v>
      </c>
      <c r="V2292">
        <v>0</v>
      </c>
      <c r="W2292" s="1">
        <v>44160</v>
      </c>
      <c r="X2292" t="s">
        <v>56</v>
      </c>
      <c r="Y2292" t="s">
        <v>40</v>
      </c>
      <c r="Z2292" t="s">
        <v>40</v>
      </c>
      <c r="AB2292" t="s">
        <v>40</v>
      </c>
      <c r="AI2292" t="s">
        <v>40</v>
      </c>
    </row>
    <row r="2293" spans="1:39" x14ac:dyDescent="0.3">
      <c r="A2293">
        <v>2020</v>
      </c>
      <c r="B2293">
        <v>8</v>
      </c>
      <c r="C2293" t="str">
        <f t="shared" si="70"/>
        <v>8/01/2020</v>
      </c>
      <c r="D2293" s="1" t="str">
        <f t="shared" si="71"/>
        <v>8/01/2020</v>
      </c>
      <c r="E2293" t="s">
        <v>37</v>
      </c>
      <c r="F2293" t="s">
        <v>50</v>
      </c>
      <c r="G2293" t="s">
        <v>41</v>
      </c>
      <c r="H2293">
        <v>18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S2293">
        <v>0</v>
      </c>
      <c r="T2293">
        <v>0</v>
      </c>
      <c r="U2293">
        <v>0</v>
      </c>
      <c r="V2293">
        <v>0</v>
      </c>
      <c r="W2293" s="1">
        <v>44160</v>
      </c>
      <c r="X2293" t="s">
        <v>56</v>
      </c>
      <c r="Z2293" t="s">
        <v>40</v>
      </c>
      <c r="AI2293" t="s">
        <v>40</v>
      </c>
    </row>
    <row r="2294" spans="1:39" x14ac:dyDescent="0.3">
      <c r="A2294">
        <v>2020</v>
      </c>
      <c r="B2294">
        <v>8</v>
      </c>
      <c r="C2294" t="str">
        <f t="shared" si="70"/>
        <v>8/01/2020</v>
      </c>
      <c r="D2294" s="1" t="str">
        <f t="shared" si="71"/>
        <v>8/01/2020</v>
      </c>
      <c r="E2294" t="s">
        <v>37</v>
      </c>
      <c r="F2294" t="s">
        <v>50</v>
      </c>
      <c r="G2294" t="s">
        <v>42</v>
      </c>
      <c r="H2294">
        <v>52</v>
      </c>
      <c r="I2294">
        <v>26</v>
      </c>
      <c r="J2294">
        <v>0</v>
      </c>
      <c r="K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S2294">
        <v>0</v>
      </c>
      <c r="T2294">
        <v>0</v>
      </c>
      <c r="W2294" s="1">
        <v>44160</v>
      </c>
      <c r="X2294" t="s">
        <v>56</v>
      </c>
      <c r="AC2294" t="s">
        <v>40</v>
      </c>
      <c r="AI2294" t="s">
        <v>40</v>
      </c>
      <c r="AL2294" t="s">
        <v>40</v>
      </c>
      <c r="AM2294" t="s">
        <v>40</v>
      </c>
    </row>
    <row r="2295" spans="1:39" x14ac:dyDescent="0.3">
      <c r="A2295">
        <v>2020</v>
      </c>
      <c r="B2295">
        <v>8</v>
      </c>
      <c r="C2295" t="str">
        <f t="shared" si="70"/>
        <v>8/01/2020</v>
      </c>
      <c r="D2295" s="1" t="str">
        <f t="shared" si="71"/>
        <v>8/01/2020</v>
      </c>
      <c r="E2295" t="s">
        <v>37</v>
      </c>
      <c r="F2295" t="s">
        <v>50</v>
      </c>
      <c r="G2295" t="s">
        <v>43</v>
      </c>
      <c r="H2295">
        <v>74</v>
      </c>
      <c r="I2295">
        <v>58</v>
      </c>
      <c r="M2295">
        <v>0</v>
      </c>
      <c r="N2295">
        <v>0</v>
      </c>
      <c r="O2295">
        <v>0</v>
      </c>
      <c r="Q2295">
        <v>0</v>
      </c>
      <c r="U2295">
        <v>10</v>
      </c>
      <c r="W2295" s="1">
        <v>44160</v>
      </c>
      <c r="X2295" t="s">
        <v>56</v>
      </c>
      <c r="AA2295" t="s">
        <v>40</v>
      </c>
      <c r="AB2295" t="s">
        <v>40</v>
      </c>
      <c r="AC2295" t="s">
        <v>40</v>
      </c>
      <c r="AG2295" t="s">
        <v>40</v>
      </c>
      <c r="AI2295" t="s">
        <v>40</v>
      </c>
      <c r="AJ2295" t="s">
        <v>40</v>
      </c>
      <c r="AK2295" t="s">
        <v>40</v>
      </c>
      <c r="AM2295" t="s">
        <v>40</v>
      </c>
    </row>
    <row r="2296" spans="1:39" x14ac:dyDescent="0.3">
      <c r="A2296">
        <v>2020</v>
      </c>
      <c r="B2296">
        <v>8</v>
      </c>
      <c r="C2296" t="str">
        <f t="shared" si="70"/>
        <v>8/01/2020</v>
      </c>
      <c r="D2296" s="1" t="str">
        <f t="shared" si="71"/>
        <v>8/01/2020</v>
      </c>
      <c r="E2296" t="s">
        <v>37</v>
      </c>
      <c r="F2296" t="s">
        <v>50</v>
      </c>
      <c r="G2296" t="s">
        <v>44</v>
      </c>
      <c r="H2296">
        <v>109</v>
      </c>
      <c r="I2296">
        <v>95</v>
      </c>
      <c r="K2296">
        <v>11</v>
      </c>
      <c r="U2296">
        <v>18</v>
      </c>
      <c r="V2296">
        <v>17</v>
      </c>
      <c r="W2296" s="1">
        <v>44160</v>
      </c>
      <c r="X2296" t="s">
        <v>56</v>
      </c>
      <c r="AA2296" t="s">
        <v>40</v>
      </c>
      <c r="AC2296" t="s">
        <v>40</v>
      </c>
      <c r="AD2296" t="s">
        <v>40</v>
      </c>
      <c r="AE2296" t="s">
        <v>40</v>
      </c>
      <c r="AF2296" t="s">
        <v>40</v>
      </c>
      <c r="AG2296" t="s">
        <v>40</v>
      </c>
      <c r="AH2296" t="s">
        <v>40</v>
      </c>
      <c r="AI2296" t="s">
        <v>40</v>
      </c>
      <c r="AJ2296" t="s">
        <v>40</v>
      </c>
      <c r="AK2296" t="s">
        <v>40</v>
      </c>
    </row>
    <row r="2297" spans="1:39" x14ac:dyDescent="0.3">
      <c r="A2297">
        <v>2020</v>
      </c>
      <c r="B2297">
        <v>8</v>
      </c>
      <c r="C2297" t="str">
        <f t="shared" si="70"/>
        <v>8/01/2020</v>
      </c>
      <c r="D2297" s="1" t="str">
        <f t="shared" si="71"/>
        <v>8/01/2020</v>
      </c>
      <c r="E2297" t="s">
        <v>37</v>
      </c>
      <c r="F2297" t="s">
        <v>50</v>
      </c>
      <c r="G2297" t="s">
        <v>45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S2297">
        <v>0</v>
      </c>
      <c r="T2297">
        <v>0</v>
      </c>
      <c r="U2297">
        <v>0</v>
      </c>
      <c r="V2297">
        <v>0</v>
      </c>
      <c r="W2297" s="1">
        <v>44160</v>
      </c>
      <c r="X2297" t="s">
        <v>56</v>
      </c>
      <c r="Y2297" t="s">
        <v>40</v>
      </c>
      <c r="Z2297" t="s">
        <v>40</v>
      </c>
      <c r="AI2297" t="s">
        <v>40</v>
      </c>
    </row>
    <row r="2298" spans="1:39" x14ac:dyDescent="0.3">
      <c r="A2298">
        <v>2020</v>
      </c>
      <c r="B2298">
        <v>8</v>
      </c>
      <c r="C2298" t="str">
        <f t="shared" si="70"/>
        <v>8/01/2020</v>
      </c>
      <c r="D2298" s="1" t="str">
        <f t="shared" si="71"/>
        <v>8/01/2020</v>
      </c>
      <c r="E2298" t="s">
        <v>37</v>
      </c>
      <c r="F2298" t="s">
        <v>50</v>
      </c>
      <c r="G2298" t="s">
        <v>46</v>
      </c>
      <c r="H2298">
        <v>149</v>
      </c>
      <c r="I2298">
        <v>139</v>
      </c>
      <c r="K2298">
        <v>33</v>
      </c>
      <c r="M2298">
        <v>0</v>
      </c>
      <c r="O2298">
        <v>10</v>
      </c>
      <c r="S2298">
        <v>19</v>
      </c>
      <c r="U2298">
        <v>25</v>
      </c>
      <c r="V2298">
        <v>22</v>
      </c>
      <c r="W2298" s="1">
        <v>44160</v>
      </c>
      <c r="X2298" t="s">
        <v>56</v>
      </c>
      <c r="AA2298" t="s">
        <v>40</v>
      </c>
      <c r="AC2298" t="s">
        <v>40</v>
      </c>
      <c r="AE2298" t="s">
        <v>40</v>
      </c>
      <c r="AG2298" t="s">
        <v>40</v>
      </c>
      <c r="AH2298" t="s">
        <v>40</v>
      </c>
      <c r="AI2298" t="s">
        <v>40</v>
      </c>
      <c r="AK2298" t="s">
        <v>40</v>
      </c>
    </row>
    <row r="2299" spans="1:39" x14ac:dyDescent="0.3">
      <c r="A2299">
        <v>2020</v>
      </c>
      <c r="B2299">
        <v>8</v>
      </c>
      <c r="C2299" t="str">
        <f t="shared" si="70"/>
        <v>8/01/2020</v>
      </c>
      <c r="D2299" s="1" t="str">
        <f t="shared" si="71"/>
        <v>8/01/2020</v>
      </c>
      <c r="E2299" t="s">
        <v>37</v>
      </c>
      <c r="F2299" t="s">
        <v>50</v>
      </c>
      <c r="G2299" t="s">
        <v>47</v>
      </c>
      <c r="H2299">
        <v>184</v>
      </c>
      <c r="I2299">
        <v>181</v>
      </c>
      <c r="K2299">
        <v>34</v>
      </c>
      <c r="L2299">
        <v>10</v>
      </c>
      <c r="M2299">
        <v>0</v>
      </c>
      <c r="S2299">
        <v>27</v>
      </c>
      <c r="T2299">
        <v>13</v>
      </c>
      <c r="U2299">
        <v>45</v>
      </c>
      <c r="V2299">
        <v>43</v>
      </c>
      <c r="W2299" s="1">
        <v>44160</v>
      </c>
      <c r="X2299" t="s">
        <v>56</v>
      </c>
      <c r="AA2299" t="s">
        <v>40</v>
      </c>
      <c r="AE2299" t="s">
        <v>40</v>
      </c>
      <c r="AF2299" t="s">
        <v>40</v>
      </c>
      <c r="AG2299" t="s">
        <v>40</v>
      </c>
      <c r="AH2299" t="s">
        <v>40</v>
      </c>
      <c r="AI2299" t="s">
        <v>40</v>
      </c>
    </row>
    <row r="2300" spans="1:39" x14ac:dyDescent="0.3">
      <c r="A2300">
        <v>2020</v>
      </c>
      <c r="B2300">
        <v>8</v>
      </c>
      <c r="C2300" t="str">
        <f t="shared" si="70"/>
        <v>8/01/2020</v>
      </c>
      <c r="D2300" s="1" t="str">
        <f t="shared" si="71"/>
        <v>8/01/2020</v>
      </c>
      <c r="E2300" t="s">
        <v>37</v>
      </c>
      <c r="F2300" t="s">
        <v>50</v>
      </c>
      <c r="G2300" t="s">
        <v>48</v>
      </c>
      <c r="H2300">
        <v>177</v>
      </c>
      <c r="I2300">
        <v>173</v>
      </c>
      <c r="K2300">
        <v>33</v>
      </c>
      <c r="L2300">
        <v>15</v>
      </c>
      <c r="M2300">
        <v>12</v>
      </c>
      <c r="S2300">
        <v>24</v>
      </c>
      <c r="U2300">
        <v>26</v>
      </c>
      <c r="V2300">
        <v>25</v>
      </c>
      <c r="W2300" s="1">
        <v>44160</v>
      </c>
      <c r="X2300" t="s">
        <v>56</v>
      </c>
      <c r="AA2300" t="s">
        <v>40</v>
      </c>
      <c r="AE2300" t="s">
        <v>40</v>
      </c>
      <c r="AF2300" t="s">
        <v>40</v>
      </c>
      <c r="AG2300" t="s">
        <v>40</v>
      </c>
      <c r="AH2300" t="s">
        <v>40</v>
      </c>
      <c r="AI2300" t="s">
        <v>40</v>
      </c>
      <c r="AK2300" t="s">
        <v>40</v>
      </c>
    </row>
    <row r="2301" spans="1:39" x14ac:dyDescent="0.3">
      <c r="A2301">
        <v>2020</v>
      </c>
      <c r="B2301">
        <v>8</v>
      </c>
      <c r="C2301" t="str">
        <f t="shared" si="70"/>
        <v>8/01/2020</v>
      </c>
      <c r="D2301" s="1" t="str">
        <f t="shared" si="71"/>
        <v>8/01/2020</v>
      </c>
      <c r="E2301" t="s">
        <v>37</v>
      </c>
      <c r="F2301" t="s">
        <v>50</v>
      </c>
      <c r="G2301" t="s">
        <v>49</v>
      </c>
      <c r="H2301">
        <v>142</v>
      </c>
      <c r="I2301">
        <v>137</v>
      </c>
      <c r="K2301">
        <v>11</v>
      </c>
      <c r="M2301">
        <v>11</v>
      </c>
      <c r="R2301">
        <v>0</v>
      </c>
      <c r="S2301">
        <v>23</v>
      </c>
      <c r="U2301">
        <v>21</v>
      </c>
      <c r="V2301">
        <v>17</v>
      </c>
      <c r="W2301" s="1">
        <v>44160</v>
      </c>
      <c r="X2301" t="s">
        <v>56</v>
      </c>
      <c r="AA2301" t="s">
        <v>40</v>
      </c>
      <c r="AC2301" t="s">
        <v>40</v>
      </c>
      <c r="AE2301" t="s">
        <v>40</v>
      </c>
      <c r="AF2301" t="s">
        <v>40</v>
      </c>
      <c r="AG2301" t="s">
        <v>40</v>
      </c>
      <c r="AH2301" t="s">
        <v>40</v>
      </c>
      <c r="AK2301" t="s">
        <v>40</v>
      </c>
    </row>
    <row r="2302" spans="1:39" x14ac:dyDescent="0.3">
      <c r="A2302">
        <v>2020</v>
      </c>
      <c r="B2302">
        <v>8</v>
      </c>
      <c r="C2302" t="str">
        <f t="shared" si="70"/>
        <v>8/01/2020</v>
      </c>
      <c r="D2302" s="1" t="str">
        <f t="shared" si="71"/>
        <v>8/01/2020</v>
      </c>
      <c r="E2302" t="s">
        <v>37</v>
      </c>
      <c r="F2302" t="s">
        <v>51</v>
      </c>
      <c r="G2302" t="s">
        <v>39</v>
      </c>
      <c r="H2302">
        <v>17</v>
      </c>
      <c r="I2302">
        <v>15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S2302">
        <v>0</v>
      </c>
      <c r="T2302">
        <v>0</v>
      </c>
      <c r="U2302">
        <v>0</v>
      </c>
      <c r="V2302">
        <v>0</v>
      </c>
      <c r="W2302" s="1">
        <v>44160</v>
      </c>
      <c r="X2302" t="s">
        <v>56</v>
      </c>
      <c r="AI2302" t="s">
        <v>40</v>
      </c>
    </row>
    <row r="2303" spans="1:39" x14ac:dyDescent="0.3">
      <c r="A2303">
        <v>2020</v>
      </c>
      <c r="B2303">
        <v>8</v>
      </c>
      <c r="C2303" t="str">
        <f t="shared" si="70"/>
        <v>8/01/2020</v>
      </c>
      <c r="D2303" s="1" t="str">
        <f t="shared" si="71"/>
        <v>8/01/2020</v>
      </c>
      <c r="E2303" t="s">
        <v>37</v>
      </c>
      <c r="F2303" t="s">
        <v>51</v>
      </c>
      <c r="G2303" t="s">
        <v>41</v>
      </c>
      <c r="H2303">
        <v>21</v>
      </c>
      <c r="J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S2303">
        <v>0</v>
      </c>
      <c r="T2303">
        <v>0</v>
      </c>
      <c r="V2303">
        <v>0</v>
      </c>
      <c r="W2303" s="1">
        <v>44160</v>
      </c>
      <c r="X2303" t="s">
        <v>56</v>
      </c>
      <c r="Z2303" t="s">
        <v>40</v>
      </c>
      <c r="AB2303" t="s">
        <v>40</v>
      </c>
      <c r="AI2303" t="s">
        <v>40</v>
      </c>
      <c r="AL2303" t="s">
        <v>40</v>
      </c>
    </row>
    <row r="2304" spans="1:39" x14ac:dyDescent="0.3">
      <c r="A2304">
        <v>2020</v>
      </c>
      <c r="B2304">
        <v>8</v>
      </c>
      <c r="C2304" t="str">
        <f t="shared" si="70"/>
        <v>8/01/2020</v>
      </c>
      <c r="D2304" s="1" t="str">
        <f t="shared" si="71"/>
        <v>8/01/2020</v>
      </c>
      <c r="E2304" t="s">
        <v>37</v>
      </c>
      <c r="F2304" t="s">
        <v>51</v>
      </c>
      <c r="G2304" t="s">
        <v>42</v>
      </c>
      <c r="H2304">
        <v>37</v>
      </c>
      <c r="I2304">
        <v>26</v>
      </c>
      <c r="J2304">
        <v>0</v>
      </c>
      <c r="K2304">
        <v>10</v>
      </c>
      <c r="L2304">
        <v>0</v>
      </c>
      <c r="M2304">
        <v>0</v>
      </c>
      <c r="N2304">
        <v>0</v>
      </c>
      <c r="O2304">
        <v>0</v>
      </c>
      <c r="Q2304">
        <v>0</v>
      </c>
      <c r="U2304">
        <v>0</v>
      </c>
      <c r="V2304">
        <v>0</v>
      </c>
      <c r="W2304" s="1">
        <v>44160</v>
      </c>
      <c r="X2304" t="s">
        <v>56</v>
      </c>
      <c r="AG2304" t="s">
        <v>40</v>
      </c>
      <c r="AI2304" t="s">
        <v>40</v>
      </c>
      <c r="AJ2304" t="s">
        <v>40</v>
      </c>
      <c r="AK2304" t="s">
        <v>40</v>
      </c>
    </row>
    <row r="2305" spans="1:39" x14ac:dyDescent="0.3">
      <c r="A2305">
        <v>2020</v>
      </c>
      <c r="B2305">
        <v>8</v>
      </c>
      <c r="C2305" t="str">
        <f t="shared" si="70"/>
        <v>8/01/2020</v>
      </c>
      <c r="D2305" s="1" t="str">
        <f t="shared" si="71"/>
        <v>8/01/2020</v>
      </c>
      <c r="E2305" t="s">
        <v>37</v>
      </c>
      <c r="F2305" t="s">
        <v>51</v>
      </c>
      <c r="G2305" t="s">
        <v>43</v>
      </c>
      <c r="H2305">
        <v>56</v>
      </c>
      <c r="I2305">
        <v>42</v>
      </c>
      <c r="J2305">
        <v>0</v>
      </c>
      <c r="K2305">
        <v>13</v>
      </c>
      <c r="M2305">
        <v>0</v>
      </c>
      <c r="Q2305">
        <v>0</v>
      </c>
      <c r="W2305" s="1">
        <v>44160</v>
      </c>
      <c r="X2305" t="s">
        <v>56</v>
      </c>
      <c r="AC2305" t="s">
        <v>40</v>
      </c>
      <c r="AE2305" t="s">
        <v>40</v>
      </c>
      <c r="AF2305" t="s">
        <v>40</v>
      </c>
      <c r="AG2305" t="s">
        <v>40</v>
      </c>
      <c r="AI2305" t="s">
        <v>40</v>
      </c>
      <c r="AJ2305" t="s">
        <v>40</v>
      </c>
      <c r="AK2305" t="s">
        <v>40</v>
      </c>
      <c r="AL2305" t="s">
        <v>40</v>
      </c>
      <c r="AM2305" t="s">
        <v>40</v>
      </c>
    </row>
    <row r="2306" spans="1:39" x14ac:dyDescent="0.3">
      <c r="A2306">
        <v>2020</v>
      </c>
      <c r="B2306">
        <v>8</v>
      </c>
      <c r="C2306" t="str">
        <f t="shared" si="70"/>
        <v>8/01/2020</v>
      </c>
      <c r="D2306" s="1" t="str">
        <f t="shared" si="71"/>
        <v>8/01/2020</v>
      </c>
      <c r="E2306" t="s">
        <v>37</v>
      </c>
      <c r="F2306" t="s">
        <v>51</v>
      </c>
      <c r="G2306" t="s">
        <v>44</v>
      </c>
      <c r="H2306">
        <v>133</v>
      </c>
      <c r="I2306">
        <v>123</v>
      </c>
      <c r="K2306">
        <v>66</v>
      </c>
      <c r="M2306">
        <v>0</v>
      </c>
      <c r="N2306">
        <v>0</v>
      </c>
      <c r="S2306">
        <v>18</v>
      </c>
      <c r="W2306" s="1">
        <v>44160</v>
      </c>
      <c r="X2306" t="s">
        <v>56</v>
      </c>
      <c r="AA2306" t="s">
        <v>40</v>
      </c>
      <c r="AC2306" t="s">
        <v>40</v>
      </c>
      <c r="AF2306" t="s">
        <v>40</v>
      </c>
      <c r="AG2306" t="s">
        <v>40</v>
      </c>
      <c r="AH2306" t="s">
        <v>40</v>
      </c>
      <c r="AI2306" t="s">
        <v>40</v>
      </c>
      <c r="AK2306" t="s">
        <v>40</v>
      </c>
      <c r="AL2306" t="s">
        <v>40</v>
      </c>
      <c r="AM2306" t="s">
        <v>40</v>
      </c>
    </row>
    <row r="2307" spans="1:39" x14ac:dyDescent="0.3">
      <c r="A2307">
        <v>2020</v>
      </c>
      <c r="B2307">
        <v>8</v>
      </c>
      <c r="C2307" t="str">
        <f t="shared" ref="C2307:C2370" si="72">CONCATENATE(B2307,"/01/",A2307)</f>
        <v>8/01/2020</v>
      </c>
      <c r="D2307" s="1" t="str">
        <f t="shared" ref="D2307:D2370" si="73">C2307</f>
        <v>8/01/2020</v>
      </c>
      <c r="E2307" t="s">
        <v>37</v>
      </c>
      <c r="F2307" t="s">
        <v>51</v>
      </c>
      <c r="G2307" t="s">
        <v>45</v>
      </c>
      <c r="J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 s="1">
        <v>44160</v>
      </c>
      <c r="X2307" t="s">
        <v>56</v>
      </c>
      <c r="Y2307" t="s">
        <v>40</v>
      </c>
      <c r="Z2307" t="s">
        <v>40</v>
      </c>
      <c r="AB2307" t="s">
        <v>40</v>
      </c>
    </row>
    <row r="2308" spans="1:39" x14ac:dyDescent="0.3">
      <c r="A2308">
        <v>2020</v>
      </c>
      <c r="B2308">
        <v>8</v>
      </c>
      <c r="C2308" t="str">
        <f t="shared" si="72"/>
        <v>8/01/2020</v>
      </c>
      <c r="D2308" s="1" t="str">
        <f t="shared" si="73"/>
        <v>8/01/2020</v>
      </c>
      <c r="E2308" t="s">
        <v>37</v>
      </c>
      <c r="F2308" t="s">
        <v>51</v>
      </c>
      <c r="G2308" t="s">
        <v>46</v>
      </c>
      <c r="H2308">
        <v>295</v>
      </c>
      <c r="I2308">
        <v>282</v>
      </c>
      <c r="K2308">
        <v>137</v>
      </c>
      <c r="S2308">
        <v>35</v>
      </c>
      <c r="T2308">
        <v>16</v>
      </c>
      <c r="U2308">
        <v>18</v>
      </c>
      <c r="V2308">
        <v>18</v>
      </c>
      <c r="W2308" s="1">
        <v>44160</v>
      </c>
      <c r="X2308" t="s">
        <v>56</v>
      </c>
      <c r="AA2308" t="s">
        <v>40</v>
      </c>
      <c r="AC2308" t="s">
        <v>40</v>
      </c>
      <c r="AD2308" t="s">
        <v>40</v>
      </c>
      <c r="AE2308" t="s">
        <v>40</v>
      </c>
      <c r="AF2308" t="s">
        <v>40</v>
      </c>
      <c r="AG2308" t="s">
        <v>40</v>
      </c>
      <c r="AH2308" t="s">
        <v>40</v>
      </c>
      <c r="AI2308" t="s">
        <v>40</v>
      </c>
    </row>
    <row r="2309" spans="1:39" x14ac:dyDescent="0.3">
      <c r="A2309">
        <v>2020</v>
      </c>
      <c r="B2309">
        <v>8</v>
      </c>
      <c r="C2309" t="str">
        <f t="shared" si="72"/>
        <v>8/01/2020</v>
      </c>
      <c r="D2309" s="1" t="str">
        <f t="shared" si="73"/>
        <v>8/01/2020</v>
      </c>
      <c r="E2309" t="s">
        <v>37</v>
      </c>
      <c r="F2309" t="s">
        <v>51</v>
      </c>
      <c r="G2309" t="s">
        <v>47</v>
      </c>
      <c r="H2309">
        <v>565</v>
      </c>
      <c r="I2309">
        <v>547</v>
      </c>
      <c r="K2309">
        <v>214</v>
      </c>
      <c r="L2309">
        <v>17</v>
      </c>
      <c r="Q2309">
        <v>10</v>
      </c>
      <c r="S2309">
        <v>74</v>
      </c>
      <c r="T2309">
        <v>44</v>
      </c>
      <c r="U2309">
        <v>76</v>
      </c>
      <c r="V2309">
        <v>73</v>
      </c>
      <c r="W2309" s="1">
        <v>44160</v>
      </c>
      <c r="X2309" t="s">
        <v>56</v>
      </c>
      <c r="AA2309" t="s">
        <v>40</v>
      </c>
      <c r="AD2309" t="s">
        <v>40</v>
      </c>
      <c r="AE2309" t="s">
        <v>40</v>
      </c>
      <c r="AF2309" t="s">
        <v>40</v>
      </c>
      <c r="AG2309" t="s">
        <v>40</v>
      </c>
      <c r="AI2309" t="s">
        <v>40</v>
      </c>
    </row>
    <row r="2310" spans="1:39" x14ac:dyDescent="0.3">
      <c r="A2310">
        <v>2020</v>
      </c>
      <c r="B2310">
        <v>8</v>
      </c>
      <c r="C2310" t="str">
        <f t="shared" si="72"/>
        <v>8/01/2020</v>
      </c>
      <c r="D2310" s="1" t="str">
        <f t="shared" si="73"/>
        <v>8/01/2020</v>
      </c>
      <c r="E2310" t="s">
        <v>37</v>
      </c>
      <c r="F2310" t="s">
        <v>51</v>
      </c>
      <c r="G2310" t="s">
        <v>48</v>
      </c>
      <c r="H2310">
        <v>829</v>
      </c>
      <c r="I2310">
        <v>817</v>
      </c>
      <c r="J2310">
        <v>10</v>
      </c>
      <c r="K2310">
        <v>211</v>
      </c>
      <c r="L2310">
        <v>31</v>
      </c>
      <c r="M2310">
        <v>43</v>
      </c>
      <c r="N2310">
        <v>19</v>
      </c>
      <c r="O2310">
        <v>15</v>
      </c>
      <c r="P2310">
        <v>11</v>
      </c>
      <c r="Q2310">
        <v>17</v>
      </c>
      <c r="S2310">
        <v>147</v>
      </c>
      <c r="T2310">
        <v>77</v>
      </c>
      <c r="U2310">
        <v>74</v>
      </c>
      <c r="V2310">
        <v>66</v>
      </c>
      <c r="W2310" s="1">
        <v>44160</v>
      </c>
      <c r="X2310" t="s">
        <v>56</v>
      </c>
      <c r="AI2310" t="s">
        <v>40</v>
      </c>
    </row>
    <row r="2311" spans="1:39" x14ac:dyDescent="0.3">
      <c r="A2311">
        <v>2020</v>
      </c>
      <c r="B2311">
        <v>8</v>
      </c>
      <c r="C2311" t="str">
        <f t="shared" si="72"/>
        <v>8/01/2020</v>
      </c>
      <c r="D2311" s="1" t="str">
        <f t="shared" si="73"/>
        <v>8/01/2020</v>
      </c>
      <c r="E2311" t="s">
        <v>37</v>
      </c>
      <c r="F2311" t="s">
        <v>51</v>
      </c>
      <c r="G2311" t="s">
        <v>49</v>
      </c>
      <c r="H2311" s="2">
        <v>1422</v>
      </c>
      <c r="I2311" s="2">
        <v>1385</v>
      </c>
      <c r="J2311">
        <v>20</v>
      </c>
      <c r="K2311">
        <v>124</v>
      </c>
      <c r="L2311">
        <v>56</v>
      </c>
      <c r="M2311">
        <v>152</v>
      </c>
      <c r="N2311">
        <v>29</v>
      </c>
      <c r="O2311">
        <v>34</v>
      </c>
      <c r="P2311">
        <v>18</v>
      </c>
      <c r="Q2311">
        <v>22</v>
      </c>
      <c r="R2311">
        <v>17</v>
      </c>
      <c r="S2311">
        <v>316</v>
      </c>
      <c r="T2311">
        <v>134</v>
      </c>
      <c r="U2311">
        <v>152</v>
      </c>
      <c r="V2311">
        <v>138</v>
      </c>
      <c r="W2311" s="1">
        <v>44160</v>
      </c>
      <c r="X2311" t="s">
        <v>56</v>
      </c>
    </row>
    <row r="2312" spans="1:39" x14ac:dyDescent="0.3">
      <c r="A2312">
        <v>2020</v>
      </c>
      <c r="B2312">
        <v>8</v>
      </c>
      <c r="C2312" t="str">
        <f t="shared" si="72"/>
        <v>8/01/2020</v>
      </c>
      <c r="D2312" s="1" t="str">
        <f t="shared" si="73"/>
        <v>8/01/2020</v>
      </c>
      <c r="E2312" t="s">
        <v>37</v>
      </c>
      <c r="F2312" t="s">
        <v>52</v>
      </c>
      <c r="G2312" t="s">
        <v>39</v>
      </c>
      <c r="H2312">
        <v>223</v>
      </c>
      <c r="I2312">
        <v>190</v>
      </c>
      <c r="J2312">
        <v>0</v>
      </c>
      <c r="M2312">
        <v>0</v>
      </c>
      <c r="N2312">
        <v>0</v>
      </c>
      <c r="O2312">
        <v>0</v>
      </c>
      <c r="Q2312">
        <v>0</v>
      </c>
      <c r="R2312">
        <v>35</v>
      </c>
      <c r="V2312">
        <v>0</v>
      </c>
      <c r="W2312" s="1">
        <v>44160</v>
      </c>
      <c r="X2312" t="s">
        <v>56</v>
      </c>
      <c r="AB2312" t="s">
        <v>40</v>
      </c>
      <c r="AC2312" t="s">
        <v>40</v>
      </c>
      <c r="AG2312" t="s">
        <v>40</v>
      </c>
      <c r="AJ2312" t="s">
        <v>40</v>
      </c>
      <c r="AK2312" t="s">
        <v>40</v>
      </c>
      <c r="AL2312" t="s">
        <v>40</v>
      </c>
    </row>
    <row r="2313" spans="1:39" x14ac:dyDescent="0.3">
      <c r="A2313">
        <v>2020</v>
      </c>
      <c r="B2313">
        <v>8</v>
      </c>
      <c r="C2313" t="str">
        <f t="shared" si="72"/>
        <v>8/01/2020</v>
      </c>
      <c r="D2313" s="1" t="str">
        <f t="shared" si="73"/>
        <v>8/01/2020</v>
      </c>
      <c r="E2313" t="s">
        <v>37</v>
      </c>
      <c r="F2313" t="s">
        <v>52</v>
      </c>
      <c r="G2313" t="s">
        <v>41</v>
      </c>
      <c r="H2313">
        <v>191</v>
      </c>
      <c r="I2313">
        <v>87</v>
      </c>
      <c r="M2313">
        <v>0</v>
      </c>
      <c r="P2313">
        <v>0</v>
      </c>
      <c r="R2313">
        <v>20</v>
      </c>
      <c r="T2313">
        <v>0</v>
      </c>
      <c r="U2313">
        <v>10</v>
      </c>
      <c r="W2313" s="1">
        <v>44160</v>
      </c>
      <c r="X2313" t="s">
        <v>56</v>
      </c>
      <c r="AA2313" t="s">
        <v>40</v>
      </c>
      <c r="AB2313" t="s">
        <v>40</v>
      </c>
      <c r="AC2313" t="s">
        <v>40</v>
      </c>
      <c r="AE2313" t="s">
        <v>40</v>
      </c>
      <c r="AF2313" t="s">
        <v>40</v>
      </c>
      <c r="AH2313" t="s">
        <v>40</v>
      </c>
      <c r="AJ2313" t="s">
        <v>40</v>
      </c>
      <c r="AM2313" t="s">
        <v>40</v>
      </c>
    </row>
    <row r="2314" spans="1:39" x14ac:dyDescent="0.3">
      <c r="A2314">
        <v>2020</v>
      </c>
      <c r="B2314">
        <v>8</v>
      </c>
      <c r="C2314" t="str">
        <f t="shared" si="72"/>
        <v>8/01/2020</v>
      </c>
      <c r="D2314" s="1" t="str">
        <f t="shared" si="73"/>
        <v>8/01/2020</v>
      </c>
      <c r="E2314" t="s">
        <v>37</v>
      </c>
      <c r="F2314" t="s">
        <v>52</v>
      </c>
      <c r="G2314" t="s">
        <v>42</v>
      </c>
      <c r="H2314">
        <v>438</v>
      </c>
      <c r="I2314">
        <v>254</v>
      </c>
      <c r="K2314">
        <v>25</v>
      </c>
      <c r="L2314">
        <v>14</v>
      </c>
      <c r="M2314">
        <v>0</v>
      </c>
      <c r="R2314">
        <v>37</v>
      </c>
      <c r="S2314">
        <v>41</v>
      </c>
      <c r="U2314">
        <v>35</v>
      </c>
      <c r="V2314">
        <v>32</v>
      </c>
      <c r="W2314" s="1">
        <v>44160</v>
      </c>
      <c r="X2314" t="s">
        <v>56</v>
      </c>
      <c r="AA2314" t="s">
        <v>40</v>
      </c>
      <c r="AE2314" t="s">
        <v>40</v>
      </c>
      <c r="AF2314" t="s">
        <v>40</v>
      </c>
      <c r="AG2314" t="s">
        <v>40</v>
      </c>
      <c r="AH2314" t="s">
        <v>40</v>
      </c>
      <c r="AK2314" t="s">
        <v>40</v>
      </c>
    </row>
    <row r="2315" spans="1:39" x14ac:dyDescent="0.3">
      <c r="A2315">
        <v>2020</v>
      </c>
      <c r="B2315">
        <v>8</v>
      </c>
      <c r="C2315" t="str">
        <f t="shared" si="72"/>
        <v>8/01/2020</v>
      </c>
      <c r="D2315" s="1" t="str">
        <f t="shared" si="73"/>
        <v>8/01/2020</v>
      </c>
      <c r="E2315" t="s">
        <v>37</v>
      </c>
      <c r="F2315" t="s">
        <v>52</v>
      </c>
      <c r="G2315" t="s">
        <v>43</v>
      </c>
      <c r="H2315">
        <v>735</v>
      </c>
      <c r="I2315">
        <v>595</v>
      </c>
      <c r="J2315">
        <v>12</v>
      </c>
      <c r="K2315">
        <v>100</v>
      </c>
      <c r="L2315">
        <v>34</v>
      </c>
      <c r="M2315">
        <v>0</v>
      </c>
      <c r="O2315">
        <v>11</v>
      </c>
      <c r="Q2315">
        <v>16</v>
      </c>
      <c r="R2315">
        <v>52</v>
      </c>
      <c r="S2315">
        <v>111</v>
      </c>
      <c r="T2315">
        <v>24</v>
      </c>
      <c r="U2315">
        <v>74</v>
      </c>
      <c r="V2315">
        <v>64</v>
      </c>
      <c r="W2315" s="1">
        <v>44160</v>
      </c>
      <c r="X2315" t="s">
        <v>56</v>
      </c>
      <c r="AE2315" t="s">
        <v>40</v>
      </c>
      <c r="AG2315" t="s">
        <v>40</v>
      </c>
    </row>
    <row r="2316" spans="1:39" x14ac:dyDescent="0.3">
      <c r="A2316">
        <v>2020</v>
      </c>
      <c r="B2316">
        <v>8</v>
      </c>
      <c r="C2316" t="str">
        <f t="shared" si="72"/>
        <v>8/01/2020</v>
      </c>
      <c r="D2316" s="1" t="str">
        <f t="shared" si="73"/>
        <v>8/01/2020</v>
      </c>
      <c r="E2316" t="s">
        <v>37</v>
      </c>
      <c r="F2316" t="s">
        <v>52</v>
      </c>
      <c r="G2316" t="s">
        <v>44</v>
      </c>
      <c r="H2316" s="2">
        <v>1283</v>
      </c>
      <c r="I2316" s="2">
        <v>1156</v>
      </c>
      <c r="J2316">
        <v>25</v>
      </c>
      <c r="K2316">
        <v>243</v>
      </c>
      <c r="L2316">
        <v>67</v>
      </c>
      <c r="N2316">
        <v>13</v>
      </c>
      <c r="O2316">
        <v>25</v>
      </c>
      <c r="P2316">
        <v>20</v>
      </c>
      <c r="Q2316">
        <v>30</v>
      </c>
      <c r="R2316">
        <v>58</v>
      </c>
      <c r="S2316">
        <v>229</v>
      </c>
      <c r="T2316">
        <v>59</v>
      </c>
      <c r="U2316">
        <v>149</v>
      </c>
      <c r="V2316">
        <v>130</v>
      </c>
      <c r="W2316" s="1">
        <v>44160</v>
      </c>
      <c r="X2316" t="s">
        <v>56</v>
      </c>
      <c r="AD2316" t="s">
        <v>40</v>
      </c>
    </row>
    <row r="2317" spans="1:39" x14ac:dyDescent="0.3">
      <c r="A2317">
        <v>2020</v>
      </c>
      <c r="B2317">
        <v>8</v>
      </c>
      <c r="C2317" t="str">
        <f t="shared" si="72"/>
        <v>8/01/2020</v>
      </c>
      <c r="D2317" s="1" t="str">
        <f t="shared" si="73"/>
        <v>8/01/2020</v>
      </c>
      <c r="E2317" t="s">
        <v>37</v>
      </c>
      <c r="F2317" t="s">
        <v>52</v>
      </c>
      <c r="G2317" t="s">
        <v>45</v>
      </c>
      <c r="H2317">
        <v>41</v>
      </c>
      <c r="I2317">
        <v>18</v>
      </c>
      <c r="J2317">
        <v>0</v>
      </c>
      <c r="L2317">
        <v>0</v>
      </c>
      <c r="M2317">
        <v>0</v>
      </c>
      <c r="N2317">
        <v>0</v>
      </c>
      <c r="P2317">
        <v>0</v>
      </c>
      <c r="Q2317">
        <v>0</v>
      </c>
      <c r="S2317">
        <v>0</v>
      </c>
      <c r="U2317">
        <v>0</v>
      </c>
      <c r="V2317">
        <v>0</v>
      </c>
      <c r="W2317" s="1">
        <v>44160</v>
      </c>
      <c r="X2317" t="s">
        <v>56</v>
      </c>
      <c r="AB2317" t="s">
        <v>40</v>
      </c>
      <c r="AF2317" t="s">
        <v>40</v>
      </c>
      <c r="AI2317" t="s">
        <v>40</v>
      </c>
      <c r="AK2317" t="s">
        <v>40</v>
      </c>
    </row>
    <row r="2318" spans="1:39" x14ac:dyDescent="0.3">
      <c r="A2318">
        <v>2020</v>
      </c>
      <c r="B2318">
        <v>8</v>
      </c>
      <c r="C2318" t="str">
        <f t="shared" si="72"/>
        <v>8/01/2020</v>
      </c>
      <c r="D2318" s="1" t="str">
        <f t="shared" si="73"/>
        <v>8/01/2020</v>
      </c>
      <c r="E2318" t="s">
        <v>37</v>
      </c>
      <c r="F2318" t="s">
        <v>52</v>
      </c>
      <c r="G2318" t="s">
        <v>46</v>
      </c>
      <c r="H2318" s="2">
        <v>2802</v>
      </c>
      <c r="I2318" s="2">
        <v>2661</v>
      </c>
      <c r="J2318">
        <v>53</v>
      </c>
      <c r="K2318">
        <v>652</v>
      </c>
      <c r="L2318">
        <v>126</v>
      </c>
      <c r="N2318">
        <v>32</v>
      </c>
      <c r="O2318">
        <v>84</v>
      </c>
      <c r="P2318">
        <v>44</v>
      </c>
      <c r="Q2318">
        <v>70</v>
      </c>
      <c r="R2318">
        <v>55</v>
      </c>
      <c r="S2318">
        <v>555</v>
      </c>
      <c r="T2318">
        <v>118</v>
      </c>
      <c r="U2318">
        <v>453</v>
      </c>
      <c r="V2318">
        <v>414</v>
      </c>
      <c r="W2318" s="1">
        <v>44160</v>
      </c>
      <c r="X2318" t="s">
        <v>56</v>
      </c>
      <c r="AD2318" t="s">
        <v>40</v>
      </c>
    </row>
    <row r="2319" spans="1:39" x14ac:dyDescent="0.3">
      <c r="A2319">
        <v>2020</v>
      </c>
      <c r="B2319">
        <v>8</v>
      </c>
      <c r="C2319" t="str">
        <f t="shared" si="72"/>
        <v>8/01/2020</v>
      </c>
      <c r="D2319" s="1" t="str">
        <f t="shared" si="73"/>
        <v>8/01/2020</v>
      </c>
      <c r="E2319" t="s">
        <v>37</v>
      </c>
      <c r="F2319" t="s">
        <v>52</v>
      </c>
      <c r="G2319" t="s">
        <v>47</v>
      </c>
      <c r="H2319" s="2">
        <v>3772</v>
      </c>
      <c r="I2319" s="2">
        <v>3710</v>
      </c>
      <c r="J2319">
        <v>65</v>
      </c>
      <c r="K2319">
        <v>846</v>
      </c>
      <c r="L2319">
        <v>210</v>
      </c>
      <c r="M2319">
        <v>58</v>
      </c>
      <c r="N2319">
        <v>45</v>
      </c>
      <c r="O2319">
        <v>116</v>
      </c>
      <c r="P2319">
        <v>56</v>
      </c>
      <c r="Q2319">
        <v>124</v>
      </c>
      <c r="R2319">
        <v>51</v>
      </c>
      <c r="S2319">
        <v>745</v>
      </c>
      <c r="T2319">
        <v>187</v>
      </c>
      <c r="U2319">
        <v>640</v>
      </c>
      <c r="V2319">
        <v>578</v>
      </c>
      <c r="W2319" s="1">
        <v>44160</v>
      </c>
      <c r="X2319" t="s">
        <v>56</v>
      </c>
    </row>
    <row r="2320" spans="1:39" x14ac:dyDescent="0.3">
      <c r="A2320">
        <v>2020</v>
      </c>
      <c r="B2320">
        <v>8</v>
      </c>
      <c r="C2320" t="str">
        <f t="shared" si="72"/>
        <v>8/01/2020</v>
      </c>
      <c r="D2320" s="1" t="str">
        <f t="shared" si="73"/>
        <v>8/01/2020</v>
      </c>
      <c r="E2320" t="s">
        <v>37</v>
      </c>
      <c r="F2320" t="s">
        <v>52</v>
      </c>
      <c r="G2320" t="s">
        <v>48</v>
      </c>
      <c r="H2320" s="2">
        <v>3647</v>
      </c>
      <c r="I2320" s="2">
        <v>3592</v>
      </c>
      <c r="J2320">
        <v>65</v>
      </c>
      <c r="K2320">
        <v>610</v>
      </c>
      <c r="L2320">
        <v>158</v>
      </c>
      <c r="M2320">
        <v>182</v>
      </c>
      <c r="N2320">
        <v>41</v>
      </c>
      <c r="O2320">
        <v>126</v>
      </c>
      <c r="P2320">
        <v>47</v>
      </c>
      <c r="Q2320">
        <v>105</v>
      </c>
      <c r="R2320">
        <v>29</v>
      </c>
      <c r="S2320">
        <v>726</v>
      </c>
      <c r="T2320">
        <v>232</v>
      </c>
      <c r="U2320">
        <v>639</v>
      </c>
      <c r="V2320">
        <v>573</v>
      </c>
      <c r="W2320" s="1">
        <v>44160</v>
      </c>
      <c r="X2320" t="s">
        <v>56</v>
      </c>
    </row>
    <row r="2321" spans="1:39" x14ac:dyDescent="0.3">
      <c r="A2321">
        <v>2020</v>
      </c>
      <c r="B2321">
        <v>8</v>
      </c>
      <c r="C2321" t="str">
        <f t="shared" si="72"/>
        <v>8/01/2020</v>
      </c>
      <c r="D2321" s="1" t="str">
        <f t="shared" si="73"/>
        <v>8/01/2020</v>
      </c>
      <c r="E2321" t="s">
        <v>37</v>
      </c>
      <c r="F2321" t="s">
        <v>52</v>
      </c>
      <c r="G2321" t="s">
        <v>49</v>
      </c>
      <c r="H2321" s="2">
        <v>4232</v>
      </c>
      <c r="I2321" s="2">
        <v>4193</v>
      </c>
      <c r="J2321">
        <v>65</v>
      </c>
      <c r="K2321">
        <v>376</v>
      </c>
      <c r="L2321">
        <v>135</v>
      </c>
      <c r="M2321">
        <v>393</v>
      </c>
      <c r="N2321">
        <v>56</v>
      </c>
      <c r="O2321">
        <v>103</v>
      </c>
      <c r="P2321">
        <v>31</v>
      </c>
      <c r="Q2321">
        <v>108</v>
      </c>
      <c r="R2321">
        <v>58</v>
      </c>
      <c r="S2321">
        <v>966</v>
      </c>
      <c r="T2321">
        <v>318</v>
      </c>
      <c r="U2321">
        <v>569</v>
      </c>
      <c r="V2321">
        <v>485</v>
      </c>
      <c r="W2321" s="1">
        <v>44160</v>
      </c>
      <c r="X2321" t="s">
        <v>56</v>
      </c>
    </row>
    <row r="2322" spans="1:39" x14ac:dyDescent="0.3">
      <c r="A2322">
        <v>2020</v>
      </c>
      <c r="B2322">
        <v>8</v>
      </c>
      <c r="C2322" t="str">
        <f t="shared" si="72"/>
        <v>8/01/2020</v>
      </c>
      <c r="D2322" s="1" t="str">
        <f t="shared" si="73"/>
        <v>8/01/2020</v>
      </c>
      <c r="E2322" t="s">
        <v>37</v>
      </c>
      <c r="F2322" t="s">
        <v>53</v>
      </c>
      <c r="G2322" t="s">
        <v>39</v>
      </c>
      <c r="H2322">
        <v>358</v>
      </c>
      <c r="I2322">
        <v>322</v>
      </c>
      <c r="L2322">
        <v>0</v>
      </c>
      <c r="M2322">
        <v>0</v>
      </c>
      <c r="N2322">
        <v>0</v>
      </c>
      <c r="O2322">
        <v>0</v>
      </c>
      <c r="Q2322">
        <v>0</v>
      </c>
      <c r="R2322">
        <v>53</v>
      </c>
      <c r="V2322">
        <v>0</v>
      </c>
      <c r="W2322" s="1">
        <v>44160</v>
      </c>
      <c r="X2322" t="s">
        <v>56</v>
      </c>
      <c r="AA2322" t="s">
        <v>40</v>
      </c>
      <c r="AB2322" t="s">
        <v>40</v>
      </c>
      <c r="AG2322" t="s">
        <v>40</v>
      </c>
      <c r="AJ2322" t="s">
        <v>40</v>
      </c>
      <c r="AK2322" t="s">
        <v>40</v>
      </c>
      <c r="AL2322" t="s">
        <v>40</v>
      </c>
    </row>
    <row r="2323" spans="1:39" x14ac:dyDescent="0.3">
      <c r="A2323">
        <v>2020</v>
      </c>
      <c r="B2323">
        <v>8</v>
      </c>
      <c r="C2323" t="str">
        <f t="shared" si="72"/>
        <v>8/01/2020</v>
      </c>
      <c r="D2323" s="1" t="str">
        <f t="shared" si="73"/>
        <v>8/01/2020</v>
      </c>
      <c r="E2323" t="s">
        <v>37</v>
      </c>
      <c r="F2323" t="s">
        <v>53</v>
      </c>
      <c r="G2323" t="s">
        <v>41</v>
      </c>
      <c r="H2323">
        <v>425</v>
      </c>
      <c r="I2323">
        <v>160</v>
      </c>
      <c r="K2323">
        <v>30</v>
      </c>
      <c r="M2323">
        <v>0</v>
      </c>
      <c r="N2323">
        <v>0</v>
      </c>
      <c r="R2323">
        <v>35</v>
      </c>
      <c r="S2323">
        <v>19</v>
      </c>
      <c r="W2323" s="1">
        <v>44160</v>
      </c>
      <c r="X2323" t="s">
        <v>56</v>
      </c>
      <c r="AA2323" t="s">
        <v>40</v>
      </c>
      <c r="AC2323" t="s">
        <v>40</v>
      </c>
      <c r="AF2323" t="s">
        <v>40</v>
      </c>
      <c r="AG2323" t="s">
        <v>40</v>
      </c>
      <c r="AH2323" t="s">
        <v>40</v>
      </c>
      <c r="AK2323" t="s">
        <v>40</v>
      </c>
      <c r="AL2323" t="s">
        <v>40</v>
      </c>
      <c r="AM2323" t="s">
        <v>40</v>
      </c>
    </row>
    <row r="2324" spans="1:39" x14ac:dyDescent="0.3">
      <c r="A2324">
        <v>2020</v>
      </c>
      <c r="B2324">
        <v>8</v>
      </c>
      <c r="C2324" t="str">
        <f t="shared" si="72"/>
        <v>8/01/2020</v>
      </c>
      <c r="D2324" s="1" t="str">
        <f t="shared" si="73"/>
        <v>8/01/2020</v>
      </c>
      <c r="E2324" t="s">
        <v>37</v>
      </c>
      <c r="F2324" t="s">
        <v>53</v>
      </c>
      <c r="G2324" t="s">
        <v>42</v>
      </c>
      <c r="H2324" s="2">
        <v>1020</v>
      </c>
      <c r="I2324">
        <v>512</v>
      </c>
      <c r="K2324">
        <v>98</v>
      </c>
      <c r="L2324">
        <v>23</v>
      </c>
      <c r="M2324">
        <v>0</v>
      </c>
      <c r="R2324">
        <v>129</v>
      </c>
      <c r="S2324">
        <v>48</v>
      </c>
      <c r="U2324">
        <v>18</v>
      </c>
      <c r="V2324">
        <v>18</v>
      </c>
      <c r="W2324" s="1">
        <v>44160</v>
      </c>
      <c r="X2324" t="s">
        <v>56</v>
      </c>
      <c r="AA2324" t="s">
        <v>40</v>
      </c>
      <c r="AE2324" t="s">
        <v>40</v>
      </c>
      <c r="AF2324" t="s">
        <v>40</v>
      </c>
      <c r="AG2324" t="s">
        <v>40</v>
      </c>
      <c r="AH2324" t="s">
        <v>40</v>
      </c>
      <c r="AK2324" t="s">
        <v>40</v>
      </c>
    </row>
    <row r="2325" spans="1:39" x14ac:dyDescent="0.3">
      <c r="A2325">
        <v>2020</v>
      </c>
      <c r="B2325">
        <v>8</v>
      </c>
      <c r="C2325" t="str">
        <f t="shared" si="72"/>
        <v>8/01/2020</v>
      </c>
      <c r="D2325" s="1" t="str">
        <f t="shared" si="73"/>
        <v>8/01/2020</v>
      </c>
      <c r="E2325" t="s">
        <v>37</v>
      </c>
      <c r="F2325" t="s">
        <v>53</v>
      </c>
      <c r="G2325" t="s">
        <v>43</v>
      </c>
      <c r="H2325" s="2">
        <v>1762</v>
      </c>
      <c r="I2325" s="2">
        <v>1184</v>
      </c>
      <c r="J2325">
        <v>20</v>
      </c>
      <c r="K2325">
        <v>278</v>
      </c>
      <c r="L2325">
        <v>36</v>
      </c>
      <c r="M2325">
        <v>0</v>
      </c>
      <c r="N2325">
        <v>16</v>
      </c>
      <c r="O2325">
        <v>10</v>
      </c>
      <c r="P2325">
        <v>10</v>
      </c>
      <c r="R2325">
        <v>178</v>
      </c>
      <c r="S2325">
        <v>160</v>
      </c>
      <c r="T2325">
        <v>38</v>
      </c>
      <c r="U2325">
        <v>36</v>
      </c>
      <c r="V2325">
        <v>35</v>
      </c>
      <c r="W2325" s="1">
        <v>44160</v>
      </c>
      <c r="X2325" t="s">
        <v>56</v>
      </c>
      <c r="AH2325" t="s">
        <v>40</v>
      </c>
    </row>
    <row r="2326" spans="1:39" x14ac:dyDescent="0.3">
      <c r="A2326">
        <v>2020</v>
      </c>
      <c r="B2326">
        <v>8</v>
      </c>
      <c r="C2326" t="str">
        <f t="shared" si="72"/>
        <v>8/01/2020</v>
      </c>
      <c r="D2326" s="1" t="str">
        <f t="shared" si="73"/>
        <v>8/01/2020</v>
      </c>
      <c r="E2326" t="s">
        <v>37</v>
      </c>
      <c r="F2326" t="s">
        <v>53</v>
      </c>
      <c r="G2326" t="s">
        <v>44</v>
      </c>
      <c r="H2326" s="2">
        <v>3643</v>
      </c>
      <c r="I2326" s="2">
        <v>3071</v>
      </c>
      <c r="J2326">
        <v>56</v>
      </c>
      <c r="K2326">
        <v>968</v>
      </c>
      <c r="L2326">
        <v>103</v>
      </c>
      <c r="N2326">
        <v>37</v>
      </c>
      <c r="O2326">
        <v>100</v>
      </c>
      <c r="P2326">
        <v>36</v>
      </c>
      <c r="Q2326">
        <v>38</v>
      </c>
      <c r="R2326">
        <v>189</v>
      </c>
      <c r="S2326">
        <v>472</v>
      </c>
      <c r="T2326">
        <v>102</v>
      </c>
      <c r="U2326">
        <v>147</v>
      </c>
      <c r="V2326">
        <v>131</v>
      </c>
      <c r="W2326" s="1">
        <v>44160</v>
      </c>
      <c r="X2326" t="s">
        <v>56</v>
      </c>
      <c r="AD2326" t="s">
        <v>40</v>
      </c>
    </row>
    <row r="2327" spans="1:39" x14ac:dyDescent="0.3">
      <c r="A2327">
        <v>2020</v>
      </c>
      <c r="B2327">
        <v>8</v>
      </c>
      <c r="C2327" t="str">
        <f t="shared" si="72"/>
        <v>8/01/2020</v>
      </c>
      <c r="D2327" s="1" t="str">
        <f t="shared" si="73"/>
        <v>8/01/2020</v>
      </c>
      <c r="E2327" t="s">
        <v>37</v>
      </c>
      <c r="F2327" t="s">
        <v>53</v>
      </c>
      <c r="G2327" t="s">
        <v>45</v>
      </c>
      <c r="H2327">
        <v>76</v>
      </c>
      <c r="I2327">
        <v>43</v>
      </c>
      <c r="J2327">
        <v>0</v>
      </c>
      <c r="K2327">
        <v>14</v>
      </c>
      <c r="M2327">
        <v>0</v>
      </c>
      <c r="N2327">
        <v>0</v>
      </c>
      <c r="P2327">
        <v>0</v>
      </c>
      <c r="Q2327">
        <v>0</v>
      </c>
      <c r="W2327" s="1">
        <v>44160</v>
      </c>
      <c r="X2327" t="s">
        <v>56</v>
      </c>
      <c r="AC2327" t="s">
        <v>40</v>
      </c>
      <c r="AF2327" t="s">
        <v>40</v>
      </c>
      <c r="AI2327" t="s">
        <v>40</v>
      </c>
      <c r="AJ2327" t="s">
        <v>40</v>
      </c>
      <c r="AK2327" t="s">
        <v>40</v>
      </c>
      <c r="AL2327" t="s">
        <v>40</v>
      </c>
      <c r="AM2327" t="s">
        <v>40</v>
      </c>
    </row>
    <row r="2328" spans="1:39" x14ac:dyDescent="0.3">
      <c r="A2328">
        <v>2020</v>
      </c>
      <c r="B2328">
        <v>8</v>
      </c>
      <c r="C2328" t="str">
        <f t="shared" si="72"/>
        <v>8/01/2020</v>
      </c>
      <c r="D2328" s="1" t="str">
        <f t="shared" si="73"/>
        <v>8/01/2020</v>
      </c>
      <c r="E2328" t="s">
        <v>37</v>
      </c>
      <c r="F2328" t="s">
        <v>53</v>
      </c>
      <c r="G2328" t="s">
        <v>46</v>
      </c>
      <c r="H2328" s="2">
        <v>9410</v>
      </c>
      <c r="I2328" s="2">
        <v>8797</v>
      </c>
      <c r="J2328">
        <v>151</v>
      </c>
      <c r="K2328" s="2">
        <v>3149</v>
      </c>
      <c r="L2328">
        <v>298</v>
      </c>
      <c r="M2328">
        <v>54</v>
      </c>
      <c r="N2328">
        <v>90</v>
      </c>
      <c r="O2328">
        <v>583</v>
      </c>
      <c r="P2328">
        <v>137</v>
      </c>
      <c r="Q2328">
        <v>113</v>
      </c>
      <c r="R2328">
        <v>225</v>
      </c>
      <c r="S2328" s="2">
        <v>1353</v>
      </c>
      <c r="T2328">
        <v>297</v>
      </c>
      <c r="U2328">
        <v>547</v>
      </c>
      <c r="V2328">
        <v>492</v>
      </c>
      <c r="W2328" s="1">
        <v>44160</v>
      </c>
      <c r="X2328" t="s">
        <v>56</v>
      </c>
    </row>
    <row r="2329" spans="1:39" x14ac:dyDescent="0.3">
      <c r="A2329">
        <v>2020</v>
      </c>
      <c r="B2329">
        <v>8</v>
      </c>
      <c r="C2329" t="str">
        <f t="shared" si="72"/>
        <v>8/01/2020</v>
      </c>
      <c r="D2329" s="1" t="str">
        <f t="shared" si="73"/>
        <v>8/01/2020</v>
      </c>
      <c r="E2329" t="s">
        <v>37</v>
      </c>
      <c r="F2329" t="s">
        <v>53</v>
      </c>
      <c r="G2329" t="s">
        <v>47</v>
      </c>
      <c r="H2329" s="2">
        <v>16299</v>
      </c>
      <c r="I2329" s="2">
        <v>15778</v>
      </c>
      <c r="J2329">
        <v>280</v>
      </c>
      <c r="K2329" s="2">
        <v>4979</v>
      </c>
      <c r="L2329">
        <v>522</v>
      </c>
      <c r="M2329">
        <v>377</v>
      </c>
      <c r="N2329">
        <v>188</v>
      </c>
      <c r="O2329" s="2">
        <v>1170</v>
      </c>
      <c r="P2329">
        <v>238</v>
      </c>
      <c r="Q2329">
        <v>265</v>
      </c>
      <c r="R2329">
        <v>216</v>
      </c>
      <c r="S2329" s="2">
        <v>2709</v>
      </c>
      <c r="T2329">
        <v>677</v>
      </c>
      <c r="U2329" s="2">
        <v>1174</v>
      </c>
      <c r="V2329" s="2">
        <v>1057</v>
      </c>
      <c r="W2329" s="1">
        <v>44160</v>
      </c>
      <c r="X2329" t="s">
        <v>56</v>
      </c>
    </row>
    <row r="2330" spans="1:39" x14ac:dyDescent="0.3">
      <c r="A2330">
        <v>2020</v>
      </c>
      <c r="B2330">
        <v>8</v>
      </c>
      <c r="C2330" t="str">
        <f t="shared" si="72"/>
        <v>8/01/2020</v>
      </c>
      <c r="D2330" s="1" t="str">
        <f t="shared" si="73"/>
        <v>8/01/2020</v>
      </c>
      <c r="E2330" t="s">
        <v>37</v>
      </c>
      <c r="F2330" t="s">
        <v>53</v>
      </c>
      <c r="G2330" t="s">
        <v>48</v>
      </c>
      <c r="H2330" s="2">
        <v>24330</v>
      </c>
      <c r="I2330" s="2">
        <v>23619</v>
      </c>
      <c r="J2330">
        <v>334</v>
      </c>
      <c r="K2330" s="2">
        <v>5175</v>
      </c>
      <c r="L2330">
        <v>603</v>
      </c>
      <c r="M2330" s="2">
        <v>1528</v>
      </c>
      <c r="N2330">
        <v>309</v>
      </c>
      <c r="O2330" s="2">
        <v>1690</v>
      </c>
      <c r="P2330">
        <v>403</v>
      </c>
      <c r="Q2330">
        <v>372</v>
      </c>
      <c r="R2330">
        <v>251</v>
      </c>
      <c r="S2330" s="2">
        <v>4549</v>
      </c>
      <c r="T2330" s="2">
        <v>1433</v>
      </c>
      <c r="U2330" s="2">
        <v>2030</v>
      </c>
      <c r="V2330" s="2">
        <v>1774</v>
      </c>
      <c r="W2330" s="1">
        <v>44160</v>
      </c>
      <c r="X2330" t="s">
        <v>56</v>
      </c>
    </row>
    <row r="2331" spans="1:39" x14ac:dyDescent="0.3">
      <c r="A2331">
        <v>2020</v>
      </c>
      <c r="B2331">
        <v>8</v>
      </c>
      <c r="C2331" t="str">
        <f t="shared" si="72"/>
        <v>8/01/2020</v>
      </c>
      <c r="D2331" s="1" t="str">
        <f t="shared" si="73"/>
        <v>8/01/2020</v>
      </c>
      <c r="E2331" t="s">
        <v>37</v>
      </c>
      <c r="F2331" t="s">
        <v>53</v>
      </c>
      <c r="G2331" t="s">
        <v>49</v>
      </c>
      <c r="H2331" s="2">
        <v>38733</v>
      </c>
      <c r="I2331" s="2">
        <v>37612</v>
      </c>
      <c r="J2331">
        <v>347</v>
      </c>
      <c r="K2331" s="2">
        <v>3689</v>
      </c>
      <c r="L2331">
        <v>591</v>
      </c>
      <c r="M2331" s="2">
        <v>4127</v>
      </c>
      <c r="N2331">
        <v>430</v>
      </c>
      <c r="O2331" s="2">
        <v>1569</v>
      </c>
      <c r="P2331">
        <v>394</v>
      </c>
      <c r="Q2331">
        <v>538</v>
      </c>
      <c r="R2331">
        <v>584</v>
      </c>
      <c r="S2331" s="2">
        <v>9641</v>
      </c>
      <c r="T2331" s="2">
        <v>2879</v>
      </c>
      <c r="U2331" s="2">
        <v>3220</v>
      </c>
      <c r="V2331" s="2">
        <v>2686</v>
      </c>
      <c r="W2331" s="1">
        <v>44160</v>
      </c>
      <c r="X2331" t="s">
        <v>56</v>
      </c>
    </row>
    <row r="2332" spans="1:39" x14ac:dyDescent="0.3">
      <c r="A2332">
        <v>2020</v>
      </c>
      <c r="B2332">
        <v>8</v>
      </c>
      <c r="C2332" t="str">
        <f t="shared" si="72"/>
        <v>8/01/2020</v>
      </c>
      <c r="D2332" s="1" t="str">
        <f t="shared" si="73"/>
        <v>8/01/2020</v>
      </c>
      <c r="E2332" t="s">
        <v>37</v>
      </c>
      <c r="F2332" t="s">
        <v>54</v>
      </c>
      <c r="G2332" t="s">
        <v>39</v>
      </c>
      <c r="H2332">
        <v>39</v>
      </c>
      <c r="I2332">
        <v>37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T2332">
        <v>0</v>
      </c>
      <c r="U2332">
        <v>0</v>
      </c>
      <c r="V2332">
        <v>0</v>
      </c>
      <c r="W2332" s="1">
        <v>44160</v>
      </c>
      <c r="X2332" t="s">
        <v>56</v>
      </c>
      <c r="AI2332" t="s">
        <v>40</v>
      </c>
      <c r="AJ2332" t="s">
        <v>40</v>
      </c>
    </row>
    <row r="2333" spans="1:39" x14ac:dyDescent="0.3">
      <c r="A2333">
        <v>2020</v>
      </c>
      <c r="B2333">
        <v>8</v>
      </c>
      <c r="C2333" t="str">
        <f t="shared" si="72"/>
        <v>8/01/2020</v>
      </c>
      <c r="D2333" s="1" t="str">
        <f t="shared" si="73"/>
        <v>8/01/2020</v>
      </c>
      <c r="E2333" t="s">
        <v>37</v>
      </c>
      <c r="F2333" t="s">
        <v>54</v>
      </c>
      <c r="G2333" t="s">
        <v>41</v>
      </c>
      <c r="H2333">
        <v>17</v>
      </c>
      <c r="J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S2333">
        <v>0</v>
      </c>
      <c r="T2333">
        <v>0</v>
      </c>
      <c r="U2333">
        <v>0</v>
      </c>
      <c r="V2333">
        <v>0</v>
      </c>
      <c r="W2333" s="1">
        <v>44160</v>
      </c>
      <c r="X2333" t="s">
        <v>56</v>
      </c>
      <c r="Z2333" t="s">
        <v>40</v>
      </c>
      <c r="AB2333" t="s">
        <v>40</v>
      </c>
      <c r="AI2333" t="s">
        <v>40</v>
      </c>
    </row>
    <row r="2334" spans="1:39" x14ac:dyDescent="0.3">
      <c r="A2334">
        <v>2020</v>
      </c>
      <c r="B2334">
        <v>8</v>
      </c>
      <c r="C2334" t="str">
        <f t="shared" si="72"/>
        <v>8/01/2020</v>
      </c>
      <c r="D2334" s="1" t="str">
        <f t="shared" si="73"/>
        <v>8/01/2020</v>
      </c>
      <c r="E2334" t="s">
        <v>37</v>
      </c>
      <c r="F2334" t="s">
        <v>54</v>
      </c>
      <c r="G2334" t="s">
        <v>42</v>
      </c>
      <c r="H2334">
        <v>40</v>
      </c>
      <c r="I2334">
        <v>16</v>
      </c>
      <c r="J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W2334" s="1">
        <v>44160</v>
      </c>
      <c r="X2334" t="s">
        <v>56</v>
      </c>
      <c r="AB2334" t="s">
        <v>40</v>
      </c>
      <c r="AI2334" t="s">
        <v>40</v>
      </c>
      <c r="AJ2334" t="s">
        <v>40</v>
      </c>
      <c r="AK2334" t="s">
        <v>40</v>
      </c>
      <c r="AL2334" t="s">
        <v>40</v>
      </c>
      <c r="AM2334" t="s">
        <v>40</v>
      </c>
    </row>
    <row r="2335" spans="1:39" x14ac:dyDescent="0.3">
      <c r="A2335">
        <v>2020</v>
      </c>
      <c r="B2335">
        <v>8</v>
      </c>
      <c r="C2335" t="str">
        <f t="shared" si="72"/>
        <v>8/01/2020</v>
      </c>
      <c r="D2335" s="1" t="str">
        <f t="shared" si="73"/>
        <v>8/01/2020</v>
      </c>
      <c r="E2335" t="s">
        <v>37</v>
      </c>
      <c r="F2335" t="s">
        <v>54</v>
      </c>
      <c r="G2335" t="s">
        <v>43</v>
      </c>
      <c r="H2335">
        <v>41</v>
      </c>
      <c r="I2335">
        <v>32</v>
      </c>
      <c r="M2335">
        <v>0</v>
      </c>
      <c r="O2335">
        <v>0</v>
      </c>
      <c r="P2335">
        <v>0</v>
      </c>
      <c r="Q2335">
        <v>0</v>
      </c>
      <c r="W2335" s="1">
        <v>44160</v>
      </c>
      <c r="X2335" t="s">
        <v>56</v>
      </c>
      <c r="AA2335" t="s">
        <v>40</v>
      </c>
      <c r="AB2335" t="s">
        <v>40</v>
      </c>
      <c r="AC2335" t="s">
        <v>40</v>
      </c>
      <c r="AE2335" t="s">
        <v>40</v>
      </c>
      <c r="AI2335" t="s">
        <v>40</v>
      </c>
      <c r="AJ2335" t="s">
        <v>40</v>
      </c>
      <c r="AK2335" t="s">
        <v>40</v>
      </c>
      <c r="AL2335" t="s">
        <v>40</v>
      </c>
      <c r="AM2335" t="s">
        <v>40</v>
      </c>
    </row>
    <row r="2336" spans="1:39" x14ac:dyDescent="0.3">
      <c r="A2336">
        <v>2020</v>
      </c>
      <c r="B2336">
        <v>8</v>
      </c>
      <c r="C2336" t="str">
        <f t="shared" si="72"/>
        <v>8/01/2020</v>
      </c>
      <c r="D2336" s="1" t="str">
        <f t="shared" si="73"/>
        <v>8/01/2020</v>
      </c>
      <c r="E2336" t="s">
        <v>37</v>
      </c>
      <c r="F2336" t="s">
        <v>54</v>
      </c>
      <c r="G2336" t="s">
        <v>44</v>
      </c>
      <c r="H2336">
        <v>73</v>
      </c>
      <c r="I2336">
        <v>64</v>
      </c>
      <c r="K2336">
        <v>15</v>
      </c>
      <c r="M2336">
        <v>0</v>
      </c>
      <c r="O2336">
        <v>0</v>
      </c>
      <c r="P2336">
        <v>0</v>
      </c>
      <c r="R2336">
        <v>10</v>
      </c>
      <c r="S2336">
        <v>11</v>
      </c>
      <c r="W2336" s="1">
        <v>44160</v>
      </c>
      <c r="X2336" t="s">
        <v>56</v>
      </c>
      <c r="AA2336" t="s">
        <v>40</v>
      </c>
      <c r="AC2336" t="s">
        <v>40</v>
      </c>
      <c r="AE2336" t="s">
        <v>40</v>
      </c>
      <c r="AH2336" t="s">
        <v>40</v>
      </c>
      <c r="AK2336" t="s">
        <v>40</v>
      </c>
      <c r="AL2336" t="s">
        <v>40</v>
      </c>
      <c r="AM2336" t="s">
        <v>40</v>
      </c>
    </row>
    <row r="2337" spans="1:39" x14ac:dyDescent="0.3">
      <c r="A2337">
        <v>2020</v>
      </c>
      <c r="B2337">
        <v>8</v>
      </c>
      <c r="C2337" t="str">
        <f t="shared" si="72"/>
        <v>8/01/2020</v>
      </c>
      <c r="D2337" s="1" t="str">
        <f t="shared" si="73"/>
        <v>8/01/2020</v>
      </c>
      <c r="E2337" t="s">
        <v>37</v>
      </c>
      <c r="F2337" t="s">
        <v>54</v>
      </c>
      <c r="G2337" t="s">
        <v>45</v>
      </c>
      <c r="J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S2337">
        <v>0</v>
      </c>
      <c r="T2337">
        <v>0</v>
      </c>
      <c r="U2337">
        <v>0</v>
      </c>
      <c r="V2337">
        <v>0</v>
      </c>
      <c r="W2337" s="1">
        <v>44160</v>
      </c>
      <c r="X2337" t="s">
        <v>56</v>
      </c>
      <c r="Y2337" t="s">
        <v>40</v>
      </c>
      <c r="Z2337" t="s">
        <v>40</v>
      </c>
      <c r="AB2337" t="s">
        <v>40</v>
      </c>
      <c r="AI2337" t="s">
        <v>40</v>
      </c>
    </row>
    <row r="2338" spans="1:39" x14ac:dyDescent="0.3">
      <c r="A2338">
        <v>2020</v>
      </c>
      <c r="B2338">
        <v>8</v>
      </c>
      <c r="C2338" t="str">
        <f t="shared" si="72"/>
        <v>8/01/2020</v>
      </c>
      <c r="D2338" s="1" t="str">
        <f t="shared" si="73"/>
        <v>8/01/2020</v>
      </c>
      <c r="E2338" t="s">
        <v>37</v>
      </c>
      <c r="F2338" t="s">
        <v>54</v>
      </c>
      <c r="G2338" t="s">
        <v>46</v>
      </c>
      <c r="H2338">
        <v>138</v>
      </c>
      <c r="I2338">
        <v>131</v>
      </c>
      <c r="J2338">
        <v>0</v>
      </c>
      <c r="K2338">
        <v>42</v>
      </c>
      <c r="L2338">
        <v>10</v>
      </c>
      <c r="M2338">
        <v>0</v>
      </c>
      <c r="N2338">
        <v>0</v>
      </c>
      <c r="Q2338">
        <v>0</v>
      </c>
      <c r="S2338">
        <v>23</v>
      </c>
      <c r="U2338">
        <v>15</v>
      </c>
      <c r="V2338">
        <v>12</v>
      </c>
      <c r="W2338" s="1">
        <v>44160</v>
      </c>
      <c r="X2338" t="s">
        <v>56</v>
      </c>
      <c r="AF2338" t="s">
        <v>40</v>
      </c>
      <c r="AG2338" t="s">
        <v>40</v>
      </c>
      <c r="AI2338" t="s">
        <v>40</v>
      </c>
      <c r="AK2338" t="s">
        <v>40</v>
      </c>
    </row>
    <row r="2339" spans="1:39" x14ac:dyDescent="0.3">
      <c r="A2339">
        <v>2020</v>
      </c>
      <c r="B2339">
        <v>8</v>
      </c>
      <c r="C2339" t="str">
        <f t="shared" si="72"/>
        <v>8/01/2020</v>
      </c>
      <c r="D2339" s="1" t="str">
        <f t="shared" si="73"/>
        <v>8/01/2020</v>
      </c>
      <c r="E2339" t="s">
        <v>37</v>
      </c>
      <c r="F2339" t="s">
        <v>54</v>
      </c>
      <c r="G2339" t="s">
        <v>47</v>
      </c>
      <c r="H2339">
        <v>185</v>
      </c>
      <c r="I2339">
        <v>179</v>
      </c>
      <c r="J2339">
        <v>0</v>
      </c>
      <c r="K2339">
        <v>49</v>
      </c>
      <c r="L2339">
        <v>12</v>
      </c>
      <c r="S2339">
        <v>38</v>
      </c>
      <c r="T2339">
        <v>10</v>
      </c>
      <c r="U2339">
        <v>12</v>
      </c>
      <c r="V2339">
        <v>12</v>
      </c>
      <c r="W2339" s="1">
        <v>44160</v>
      </c>
      <c r="X2339" t="s">
        <v>56</v>
      </c>
      <c r="AD2339" t="s">
        <v>40</v>
      </c>
      <c r="AE2339" t="s">
        <v>40</v>
      </c>
      <c r="AF2339" t="s">
        <v>40</v>
      </c>
      <c r="AG2339" t="s">
        <v>40</v>
      </c>
      <c r="AH2339" t="s">
        <v>40</v>
      </c>
      <c r="AI2339" t="s">
        <v>40</v>
      </c>
    </row>
    <row r="2340" spans="1:39" x14ac:dyDescent="0.3">
      <c r="A2340">
        <v>2020</v>
      </c>
      <c r="B2340">
        <v>8</v>
      </c>
      <c r="C2340" t="str">
        <f t="shared" si="72"/>
        <v>8/01/2020</v>
      </c>
      <c r="D2340" s="1" t="str">
        <f t="shared" si="73"/>
        <v>8/01/2020</v>
      </c>
      <c r="E2340" t="s">
        <v>37</v>
      </c>
      <c r="F2340" t="s">
        <v>54</v>
      </c>
      <c r="G2340" t="s">
        <v>48</v>
      </c>
      <c r="H2340">
        <v>182</v>
      </c>
      <c r="I2340">
        <v>175</v>
      </c>
      <c r="K2340">
        <v>27</v>
      </c>
      <c r="M2340">
        <v>10</v>
      </c>
      <c r="P2340">
        <v>0</v>
      </c>
      <c r="S2340">
        <v>42</v>
      </c>
      <c r="T2340">
        <v>19</v>
      </c>
      <c r="U2340">
        <v>24</v>
      </c>
      <c r="V2340">
        <v>23</v>
      </c>
      <c r="W2340" s="1">
        <v>44160</v>
      </c>
      <c r="X2340" t="s">
        <v>56</v>
      </c>
      <c r="AA2340" t="s">
        <v>40</v>
      </c>
      <c r="AC2340" t="s">
        <v>40</v>
      </c>
      <c r="AE2340" t="s">
        <v>40</v>
      </c>
      <c r="AF2340" t="s">
        <v>40</v>
      </c>
      <c r="AH2340" t="s">
        <v>40</v>
      </c>
      <c r="AI2340" t="s">
        <v>40</v>
      </c>
    </row>
    <row r="2341" spans="1:39" x14ac:dyDescent="0.3">
      <c r="A2341">
        <v>2020</v>
      </c>
      <c r="B2341">
        <v>8</v>
      </c>
      <c r="C2341" t="str">
        <f t="shared" si="72"/>
        <v>8/01/2020</v>
      </c>
      <c r="D2341" s="1" t="str">
        <f t="shared" si="73"/>
        <v>8/01/2020</v>
      </c>
      <c r="E2341" t="s">
        <v>37</v>
      </c>
      <c r="F2341" t="s">
        <v>54</v>
      </c>
      <c r="G2341" t="s">
        <v>49</v>
      </c>
      <c r="H2341">
        <v>200</v>
      </c>
      <c r="I2341">
        <v>198</v>
      </c>
      <c r="K2341">
        <v>20</v>
      </c>
      <c r="M2341">
        <v>30</v>
      </c>
      <c r="P2341">
        <v>0</v>
      </c>
      <c r="S2341">
        <v>44</v>
      </c>
      <c r="T2341">
        <v>17</v>
      </c>
      <c r="U2341">
        <v>19</v>
      </c>
      <c r="V2341">
        <v>17</v>
      </c>
      <c r="W2341" s="1">
        <v>44160</v>
      </c>
      <c r="X2341" t="s">
        <v>56</v>
      </c>
      <c r="AA2341" t="s">
        <v>40</v>
      </c>
      <c r="AC2341" t="s">
        <v>40</v>
      </c>
      <c r="AE2341" t="s">
        <v>40</v>
      </c>
      <c r="AF2341" t="s">
        <v>40</v>
      </c>
      <c r="AH2341" t="s">
        <v>40</v>
      </c>
      <c r="AI2341" t="s">
        <v>40</v>
      </c>
    </row>
    <row r="2342" spans="1:39" x14ac:dyDescent="0.3">
      <c r="A2342">
        <v>2020</v>
      </c>
      <c r="B2342">
        <v>8</v>
      </c>
      <c r="C2342" t="str">
        <f t="shared" si="72"/>
        <v>8/01/2020</v>
      </c>
      <c r="D2342" s="1" t="str">
        <f t="shared" si="73"/>
        <v>8/01/2020</v>
      </c>
      <c r="E2342" t="s">
        <v>55</v>
      </c>
      <c r="F2342" t="s">
        <v>38</v>
      </c>
      <c r="G2342" t="s">
        <v>39</v>
      </c>
      <c r="H2342">
        <v>226</v>
      </c>
      <c r="I2342">
        <v>207</v>
      </c>
      <c r="L2342">
        <v>0</v>
      </c>
      <c r="M2342">
        <v>0</v>
      </c>
      <c r="O2342">
        <v>0</v>
      </c>
      <c r="R2342">
        <v>29</v>
      </c>
      <c r="U2342">
        <v>0</v>
      </c>
      <c r="V2342">
        <v>0</v>
      </c>
      <c r="W2342" s="1">
        <v>44160</v>
      </c>
      <c r="X2342" t="s">
        <v>56</v>
      </c>
      <c r="AA2342" t="s">
        <v>40</v>
      </c>
      <c r="AB2342" t="s">
        <v>40</v>
      </c>
      <c r="AE2342" t="s">
        <v>40</v>
      </c>
      <c r="AG2342" t="s">
        <v>40</v>
      </c>
      <c r="AH2342" t="s">
        <v>40</v>
      </c>
      <c r="AJ2342" t="s">
        <v>40</v>
      </c>
      <c r="AK2342" t="s">
        <v>40</v>
      </c>
    </row>
    <row r="2343" spans="1:39" x14ac:dyDescent="0.3">
      <c r="A2343">
        <v>2020</v>
      </c>
      <c r="B2343">
        <v>8</v>
      </c>
      <c r="C2343" t="str">
        <f t="shared" si="72"/>
        <v>8/01/2020</v>
      </c>
      <c r="D2343" s="1" t="str">
        <f t="shared" si="73"/>
        <v>8/01/2020</v>
      </c>
      <c r="E2343" t="s">
        <v>55</v>
      </c>
      <c r="F2343" t="s">
        <v>38</v>
      </c>
      <c r="G2343" t="s">
        <v>41</v>
      </c>
      <c r="H2343">
        <v>600</v>
      </c>
      <c r="I2343">
        <v>141</v>
      </c>
      <c r="J2343">
        <v>0</v>
      </c>
      <c r="K2343">
        <v>18</v>
      </c>
      <c r="L2343">
        <v>0</v>
      </c>
      <c r="M2343">
        <v>0</v>
      </c>
      <c r="N2343">
        <v>0</v>
      </c>
      <c r="O2343">
        <v>0</v>
      </c>
      <c r="Q2343">
        <v>0</v>
      </c>
      <c r="R2343">
        <v>67</v>
      </c>
      <c r="S2343">
        <v>10</v>
      </c>
      <c r="U2343">
        <v>18</v>
      </c>
      <c r="V2343">
        <v>15</v>
      </c>
      <c r="W2343" s="1">
        <v>44160</v>
      </c>
      <c r="X2343" t="s">
        <v>56</v>
      </c>
      <c r="AG2343" t="s">
        <v>40</v>
      </c>
      <c r="AK2343" t="s">
        <v>40</v>
      </c>
    </row>
    <row r="2344" spans="1:39" x14ac:dyDescent="0.3">
      <c r="A2344">
        <v>2020</v>
      </c>
      <c r="B2344">
        <v>8</v>
      </c>
      <c r="C2344" t="str">
        <f t="shared" si="72"/>
        <v>8/01/2020</v>
      </c>
      <c r="D2344" s="1" t="str">
        <f t="shared" si="73"/>
        <v>8/01/2020</v>
      </c>
      <c r="E2344" t="s">
        <v>55</v>
      </c>
      <c r="F2344" t="s">
        <v>38</v>
      </c>
      <c r="G2344" t="s">
        <v>42</v>
      </c>
      <c r="H2344">
        <v>913</v>
      </c>
      <c r="I2344">
        <v>332</v>
      </c>
      <c r="K2344">
        <v>28</v>
      </c>
      <c r="M2344">
        <v>0</v>
      </c>
      <c r="R2344">
        <v>103</v>
      </c>
      <c r="S2344">
        <v>31</v>
      </c>
      <c r="U2344">
        <v>67</v>
      </c>
      <c r="V2344">
        <v>59</v>
      </c>
      <c r="W2344" s="1">
        <v>44160</v>
      </c>
      <c r="X2344" t="s">
        <v>56</v>
      </c>
      <c r="AA2344" t="s">
        <v>40</v>
      </c>
      <c r="AC2344" t="s">
        <v>40</v>
      </c>
      <c r="AE2344" t="s">
        <v>40</v>
      </c>
      <c r="AF2344" t="s">
        <v>40</v>
      </c>
      <c r="AG2344" t="s">
        <v>40</v>
      </c>
      <c r="AH2344" t="s">
        <v>40</v>
      </c>
      <c r="AK2344" t="s">
        <v>40</v>
      </c>
    </row>
    <row r="2345" spans="1:39" x14ac:dyDescent="0.3">
      <c r="A2345">
        <v>2020</v>
      </c>
      <c r="B2345">
        <v>8</v>
      </c>
      <c r="C2345" t="str">
        <f t="shared" si="72"/>
        <v>8/01/2020</v>
      </c>
      <c r="D2345" s="1" t="str">
        <f t="shared" si="73"/>
        <v>8/01/2020</v>
      </c>
      <c r="E2345" t="s">
        <v>55</v>
      </c>
      <c r="F2345" t="s">
        <v>38</v>
      </c>
      <c r="G2345" t="s">
        <v>43</v>
      </c>
      <c r="H2345" s="2">
        <v>1228</v>
      </c>
      <c r="I2345">
        <v>796</v>
      </c>
      <c r="K2345">
        <v>76</v>
      </c>
      <c r="L2345">
        <v>32</v>
      </c>
      <c r="M2345">
        <v>0</v>
      </c>
      <c r="Q2345">
        <v>11</v>
      </c>
      <c r="R2345">
        <v>113</v>
      </c>
      <c r="S2345">
        <v>99</v>
      </c>
      <c r="T2345">
        <v>22</v>
      </c>
      <c r="U2345">
        <v>231</v>
      </c>
      <c r="V2345">
        <v>215</v>
      </c>
      <c r="W2345" s="1">
        <v>44160</v>
      </c>
      <c r="X2345" t="s">
        <v>56</v>
      </c>
      <c r="AA2345" t="s">
        <v>40</v>
      </c>
      <c r="AE2345" t="s">
        <v>40</v>
      </c>
      <c r="AF2345" t="s">
        <v>40</v>
      </c>
      <c r="AG2345" t="s">
        <v>40</v>
      </c>
    </row>
    <row r="2346" spans="1:39" x14ac:dyDescent="0.3">
      <c r="A2346">
        <v>2020</v>
      </c>
      <c r="B2346">
        <v>8</v>
      </c>
      <c r="C2346" t="str">
        <f t="shared" si="72"/>
        <v>8/01/2020</v>
      </c>
      <c r="D2346" s="1" t="str">
        <f t="shared" si="73"/>
        <v>8/01/2020</v>
      </c>
      <c r="E2346" t="s">
        <v>55</v>
      </c>
      <c r="F2346" t="s">
        <v>38</v>
      </c>
      <c r="G2346" t="s">
        <v>44</v>
      </c>
      <c r="H2346" s="2">
        <v>1821</v>
      </c>
      <c r="I2346" s="2">
        <v>1522</v>
      </c>
      <c r="J2346">
        <v>19</v>
      </c>
      <c r="K2346">
        <v>151</v>
      </c>
      <c r="L2346">
        <v>72</v>
      </c>
      <c r="M2346">
        <v>0</v>
      </c>
      <c r="N2346">
        <v>21</v>
      </c>
      <c r="O2346">
        <v>11</v>
      </c>
      <c r="Q2346">
        <v>13</v>
      </c>
      <c r="R2346">
        <v>101</v>
      </c>
      <c r="S2346">
        <v>201</v>
      </c>
      <c r="T2346">
        <v>51</v>
      </c>
      <c r="U2346">
        <v>585</v>
      </c>
      <c r="V2346">
        <v>552</v>
      </c>
      <c r="W2346" s="1">
        <v>44160</v>
      </c>
      <c r="X2346" t="s">
        <v>56</v>
      </c>
      <c r="AG2346" t="s">
        <v>40</v>
      </c>
    </row>
    <row r="2347" spans="1:39" x14ac:dyDescent="0.3">
      <c r="A2347">
        <v>2020</v>
      </c>
      <c r="B2347">
        <v>8</v>
      </c>
      <c r="C2347" t="str">
        <f t="shared" si="72"/>
        <v>8/01/2020</v>
      </c>
      <c r="D2347" s="1" t="str">
        <f t="shared" si="73"/>
        <v>8/01/2020</v>
      </c>
      <c r="E2347" t="s">
        <v>55</v>
      </c>
      <c r="F2347" t="s">
        <v>38</v>
      </c>
      <c r="G2347" t="s">
        <v>45</v>
      </c>
      <c r="H2347">
        <v>44</v>
      </c>
      <c r="I2347">
        <v>19</v>
      </c>
      <c r="J2347">
        <v>0</v>
      </c>
      <c r="M2347">
        <v>0</v>
      </c>
      <c r="N2347">
        <v>0</v>
      </c>
      <c r="P2347">
        <v>0</v>
      </c>
      <c r="S2347">
        <v>0</v>
      </c>
      <c r="W2347" s="1">
        <v>44160</v>
      </c>
      <c r="X2347" t="s">
        <v>56</v>
      </c>
      <c r="AB2347" t="s">
        <v>40</v>
      </c>
      <c r="AC2347" t="s">
        <v>40</v>
      </c>
      <c r="AF2347" t="s">
        <v>40</v>
      </c>
      <c r="AH2347" t="s">
        <v>40</v>
      </c>
      <c r="AI2347" t="s">
        <v>40</v>
      </c>
      <c r="AK2347" t="s">
        <v>40</v>
      </c>
      <c r="AL2347" t="s">
        <v>40</v>
      </c>
      <c r="AM2347" t="s">
        <v>40</v>
      </c>
    </row>
    <row r="2348" spans="1:39" x14ac:dyDescent="0.3">
      <c r="A2348">
        <v>2020</v>
      </c>
      <c r="B2348">
        <v>8</v>
      </c>
      <c r="C2348" t="str">
        <f t="shared" si="72"/>
        <v>8/01/2020</v>
      </c>
      <c r="D2348" s="1" t="str">
        <f t="shared" si="73"/>
        <v>8/01/2020</v>
      </c>
      <c r="E2348" t="s">
        <v>55</v>
      </c>
      <c r="F2348" t="s">
        <v>38</v>
      </c>
      <c r="G2348" t="s">
        <v>46</v>
      </c>
      <c r="H2348" s="2">
        <v>2874</v>
      </c>
      <c r="I2348" s="2">
        <v>2664</v>
      </c>
      <c r="J2348">
        <v>30</v>
      </c>
      <c r="K2348">
        <v>420</v>
      </c>
      <c r="L2348">
        <v>140</v>
      </c>
      <c r="N2348">
        <v>34</v>
      </c>
      <c r="O2348">
        <v>24</v>
      </c>
      <c r="P2348">
        <v>14</v>
      </c>
      <c r="Q2348">
        <v>36</v>
      </c>
      <c r="R2348">
        <v>72</v>
      </c>
      <c r="S2348">
        <v>423</v>
      </c>
      <c r="T2348">
        <v>82</v>
      </c>
      <c r="U2348" s="2">
        <v>1040</v>
      </c>
      <c r="V2348">
        <v>992</v>
      </c>
      <c r="W2348" s="1">
        <v>44160</v>
      </c>
      <c r="X2348" t="s">
        <v>56</v>
      </c>
      <c r="AD2348" t="s">
        <v>40</v>
      </c>
    </row>
    <row r="2349" spans="1:39" x14ac:dyDescent="0.3">
      <c r="A2349">
        <v>2020</v>
      </c>
      <c r="B2349">
        <v>8</v>
      </c>
      <c r="C2349" t="str">
        <f t="shared" si="72"/>
        <v>8/01/2020</v>
      </c>
      <c r="D2349" s="1" t="str">
        <f t="shared" si="73"/>
        <v>8/01/2020</v>
      </c>
      <c r="E2349" t="s">
        <v>55</v>
      </c>
      <c r="F2349" t="s">
        <v>38</v>
      </c>
      <c r="G2349" t="s">
        <v>47</v>
      </c>
      <c r="H2349" s="2">
        <v>3255</v>
      </c>
      <c r="I2349" s="2">
        <v>3144</v>
      </c>
      <c r="J2349">
        <v>33</v>
      </c>
      <c r="K2349">
        <v>551</v>
      </c>
      <c r="L2349">
        <v>143</v>
      </c>
      <c r="M2349">
        <v>25</v>
      </c>
      <c r="N2349">
        <v>39</v>
      </c>
      <c r="O2349">
        <v>50</v>
      </c>
      <c r="P2349">
        <v>25</v>
      </c>
      <c r="Q2349">
        <v>42</v>
      </c>
      <c r="R2349">
        <v>34</v>
      </c>
      <c r="S2349">
        <v>523</v>
      </c>
      <c r="T2349">
        <v>99</v>
      </c>
      <c r="U2349" s="2">
        <v>1247</v>
      </c>
      <c r="V2349" s="2">
        <v>1193</v>
      </c>
      <c r="W2349" s="1">
        <v>44160</v>
      </c>
      <c r="X2349" t="s">
        <v>56</v>
      </c>
    </row>
    <row r="2350" spans="1:39" x14ac:dyDescent="0.3">
      <c r="A2350">
        <v>2020</v>
      </c>
      <c r="B2350">
        <v>8</v>
      </c>
      <c r="C2350" t="str">
        <f t="shared" si="72"/>
        <v>8/01/2020</v>
      </c>
      <c r="D2350" s="1" t="str">
        <f t="shared" si="73"/>
        <v>8/01/2020</v>
      </c>
      <c r="E2350" t="s">
        <v>55</v>
      </c>
      <c r="F2350" t="s">
        <v>38</v>
      </c>
      <c r="G2350" t="s">
        <v>48</v>
      </c>
      <c r="H2350" s="2">
        <v>2894</v>
      </c>
      <c r="I2350" s="2">
        <v>2828</v>
      </c>
      <c r="J2350">
        <v>27</v>
      </c>
      <c r="K2350">
        <v>473</v>
      </c>
      <c r="L2350">
        <v>130</v>
      </c>
      <c r="M2350">
        <v>80</v>
      </c>
      <c r="N2350">
        <v>37</v>
      </c>
      <c r="O2350">
        <v>63</v>
      </c>
      <c r="P2350">
        <v>41</v>
      </c>
      <c r="Q2350">
        <v>60</v>
      </c>
      <c r="R2350">
        <v>24</v>
      </c>
      <c r="S2350">
        <v>486</v>
      </c>
      <c r="T2350">
        <v>128</v>
      </c>
      <c r="U2350">
        <v>933</v>
      </c>
      <c r="V2350">
        <v>879</v>
      </c>
      <c r="W2350" s="1">
        <v>44160</v>
      </c>
      <c r="X2350" t="s">
        <v>56</v>
      </c>
    </row>
    <row r="2351" spans="1:39" x14ac:dyDescent="0.3">
      <c r="A2351">
        <v>2020</v>
      </c>
      <c r="B2351">
        <v>8</v>
      </c>
      <c r="C2351" t="str">
        <f t="shared" si="72"/>
        <v>8/01/2020</v>
      </c>
      <c r="D2351" s="1" t="str">
        <f t="shared" si="73"/>
        <v>8/01/2020</v>
      </c>
      <c r="E2351" t="s">
        <v>55</v>
      </c>
      <c r="F2351" t="s">
        <v>38</v>
      </c>
      <c r="G2351" t="s">
        <v>49</v>
      </c>
      <c r="H2351" s="2">
        <v>2164</v>
      </c>
      <c r="I2351" s="2">
        <v>2115</v>
      </c>
      <c r="J2351">
        <v>13</v>
      </c>
      <c r="K2351">
        <v>203</v>
      </c>
      <c r="L2351">
        <v>72</v>
      </c>
      <c r="M2351">
        <v>166</v>
      </c>
      <c r="N2351">
        <v>33</v>
      </c>
      <c r="O2351">
        <v>73</v>
      </c>
      <c r="P2351">
        <v>26</v>
      </c>
      <c r="Q2351">
        <v>36</v>
      </c>
      <c r="R2351">
        <v>24</v>
      </c>
      <c r="S2351">
        <v>425</v>
      </c>
      <c r="T2351">
        <v>147</v>
      </c>
      <c r="U2351">
        <v>566</v>
      </c>
      <c r="V2351">
        <v>524</v>
      </c>
      <c r="W2351" s="1">
        <v>44160</v>
      </c>
      <c r="X2351" t="s">
        <v>56</v>
      </c>
    </row>
    <row r="2352" spans="1:39" x14ac:dyDescent="0.3">
      <c r="A2352">
        <v>2020</v>
      </c>
      <c r="B2352">
        <v>8</v>
      </c>
      <c r="C2352" t="str">
        <f t="shared" si="72"/>
        <v>8/01/2020</v>
      </c>
      <c r="D2352" s="1" t="str">
        <f t="shared" si="73"/>
        <v>8/01/2020</v>
      </c>
      <c r="E2352" t="s">
        <v>55</v>
      </c>
      <c r="F2352" t="s">
        <v>50</v>
      </c>
      <c r="G2352" t="s">
        <v>39</v>
      </c>
      <c r="H2352">
        <v>13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S2352">
        <v>0</v>
      </c>
      <c r="T2352">
        <v>0</v>
      </c>
      <c r="U2352">
        <v>0</v>
      </c>
      <c r="V2352">
        <v>0</v>
      </c>
      <c r="W2352" s="1">
        <v>44160</v>
      </c>
      <c r="X2352" t="s">
        <v>56</v>
      </c>
      <c r="Z2352" t="s">
        <v>40</v>
      </c>
      <c r="AI2352" t="s">
        <v>40</v>
      </c>
    </row>
    <row r="2353" spans="1:39" x14ac:dyDescent="0.3">
      <c r="A2353">
        <v>2020</v>
      </c>
      <c r="B2353">
        <v>8</v>
      </c>
      <c r="C2353" t="str">
        <f t="shared" si="72"/>
        <v>8/01/2020</v>
      </c>
      <c r="D2353" s="1" t="str">
        <f t="shared" si="73"/>
        <v>8/01/2020</v>
      </c>
      <c r="E2353" t="s">
        <v>55</v>
      </c>
      <c r="F2353" t="s">
        <v>50</v>
      </c>
      <c r="G2353" t="s">
        <v>41</v>
      </c>
      <c r="H2353">
        <v>29</v>
      </c>
      <c r="J2353">
        <v>0</v>
      </c>
      <c r="K2353">
        <v>0</v>
      </c>
      <c r="L2353">
        <v>0</v>
      </c>
      <c r="M2353">
        <v>0</v>
      </c>
      <c r="N2353">
        <v>0</v>
      </c>
      <c r="P2353">
        <v>0</v>
      </c>
      <c r="Q2353">
        <v>0</v>
      </c>
      <c r="S2353">
        <v>0</v>
      </c>
      <c r="T2353">
        <v>0</v>
      </c>
      <c r="U2353">
        <v>0</v>
      </c>
      <c r="V2353">
        <v>0</v>
      </c>
      <c r="W2353" s="1">
        <v>44160</v>
      </c>
      <c r="X2353" t="s">
        <v>56</v>
      </c>
      <c r="Z2353" t="s">
        <v>40</v>
      </c>
      <c r="AF2353" t="s">
        <v>40</v>
      </c>
      <c r="AI2353" t="s">
        <v>40</v>
      </c>
    </row>
    <row r="2354" spans="1:39" x14ac:dyDescent="0.3">
      <c r="A2354">
        <v>2020</v>
      </c>
      <c r="B2354">
        <v>8</v>
      </c>
      <c r="C2354" t="str">
        <f t="shared" si="72"/>
        <v>8/01/2020</v>
      </c>
      <c r="D2354" s="1" t="str">
        <f t="shared" si="73"/>
        <v>8/01/2020</v>
      </c>
      <c r="E2354" t="s">
        <v>55</v>
      </c>
      <c r="F2354" t="s">
        <v>50</v>
      </c>
      <c r="G2354" t="s">
        <v>42</v>
      </c>
      <c r="H2354">
        <v>80</v>
      </c>
      <c r="I2354">
        <v>37</v>
      </c>
      <c r="L2354">
        <v>0</v>
      </c>
      <c r="M2354">
        <v>0</v>
      </c>
      <c r="N2354">
        <v>0</v>
      </c>
      <c r="O2354">
        <v>0</v>
      </c>
      <c r="P2354">
        <v>0</v>
      </c>
      <c r="R2354">
        <v>10</v>
      </c>
      <c r="T2354">
        <v>0</v>
      </c>
      <c r="W2354" s="1">
        <v>44160</v>
      </c>
      <c r="X2354" t="s">
        <v>56</v>
      </c>
      <c r="AA2354" t="s">
        <v>40</v>
      </c>
      <c r="AB2354" t="s">
        <v>40</v>
      </c>
      <c r="AH2354" t="s">
        <v>40</v>
      </c>
      <c r="AJ2354" t="s">
        <v>40</v>
      </c>
      <c r="AL2354" t="s">
        <v>40</v>
      </c>
      <c r="AM2354" t="s">
        <v>40</v>
      </c>
    </row>
    <row r="2355" spans="1:39" x14ac:dyDescent="0.3">
      <c r="A2355">
        <v>2020</v>
      </c>
      <c r="B2355">
        <v>8</v>
      </c>
      <c r="C2355" t="str">
        <f t="shared" si="72"/>
        <v>8/01/2020</v>
      </c>
      <c r="D2355" s="1" t="str">
        <f t="shared" si="73"/>
        <v>8/01/2020</v>
      </c>
      <c r="E2355" t="s">
        <v>55</v>
      </c>
      <c r="F2355" t="s">
        <v>50</v>
      </c>
      <c r="G2355" t="s">
        <v>43</v>
      </c>
      <c r="H2355">
        <v>112</v>
      </c>
      <c r="I2355">
        <v>64</v>
      </c>
      <c r="M2355">
        <v>0</v>
      </c>
      <c r="N2355">
        <v>0</v>
      </c>
      <c r="O2355">
        <v>0</v>
      </c>
      <c r="P2355">
        <v>0</v>
      </c>
      <c r="S2355">
        <v>11</v>
      </c>
      <c r="T2355">
        <v>0</v>
      </c>
      <c r="U2355">
        <v>10</v>
      </c>
      <c r="W2355" s="1">
        <v>44160</v>
      </c>
      <c r="X2355" t="s">
        <v>56</v>
      </c>
      <c r="AA2355" t="s">
        <v>40</v>
      </c>
      <c r="AB2355" t="s">
        <v>40</v>
      </c>
      <c r="AC2355" t="s">
        <v>40</v>
      </c>
      <c r="AH2355" t="s">
        <v>40</v>
      </c>
      <c r="AI2355" t="s">
        <v>40</v>
      </c>
      <c r="AM2355" t="s">
        <v>40</v>
      </c>
    </row>
    <row r="2356" spans="1:39" x14ac:dyDescent="0.3">
      <c r="A2356">
        <v>2020</v>
      </c>
      <c r="B2356">
        <v>8</v>
      </c>
      <c r="C2356" t="str">
        <f t="shared" si="72"/>
        <v>8/01/2020</v>
      </c>
      <c r="D2356" s="1" t="str">
        <f t="shared" si="73"/>
        <v>8/01/2020</v>
      </c>
      <c r="E2356" t="s">
        <v>55</v>
      </c>
      <c r="F2356" t="s">
        <v>50</v>
      </c>
      <c r="G2356" t="s">
        <v>44</v>
      </c>
      <c r="H2356">
        <v>148</v>
      </c>
      <c r="I2356">
        <v>116</v>
      </c>
      <c r="K2356">
        <v>10</v>
      </c>
      <c r="L2356">
        <v>12</v>
      </c>
      <c r="M2356">
        <v>0</v>
      </c>
      <c r="S2356">
        <v>13</v>
      </c>
      <c r="U2356">
        <v>21</v>
      </c>
      <c r="V2356">
        <v>20</v>
      </c>
      <c r="W2356" s="1">
        <v>44160</v>
      </c>
      <c r="X2356" t="s">
        <v>56</v>
      </c>
      <c r="AA2356" t="s">
        <v>40</v>
      </c>
      <c r="AE2356" t="s">
        <v>40</v>
      </c>
      <c r="AF2356" t="s">
        <v>40</v>
      </c>
      <c r="AG2356" t="s">
        <v>40</v>
      </c>
      <c r="AH2356" t="s">
        <v>40</v>
      </c>
      <c r="AI2356" t="s">
        <v>40</v>
      </c>
      <c r="AK2356" t="s">
        <v>40</v>
      </c>
    </row>
    <row r="2357" spans="1:39" x14ac:dyDescent="0.3">
      <c r="A2357">
        <v>2020</v>
      </c>
      <c r="B2357">
        <v>8</v>
      </c>
      <c r="C2357" t="str">
        <f t="shared" si="72"/>
        <v>8/01/2020</v>
      </c>
      <c r="D2357" s="1" t="str">
        <f t="shared" si="73"/>
        <v>8/01/2020</v>
      </c>
      <c r="E2357" t="s">
        <v>55</v>
      </c>
      <c r="F2357" t="s">
        <v>50</v>
      </c>
      <c r="G2357" t="s">
        <v>45</v>
      </c>
      <c r="J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 s="1">
        <v>44160</v>
      </c>
      <c r="X2357" t="s">
        <v>56</v>
      </c>
      <c r="Y2357" t="s">
        <v>40</v>
      </c>
      <c r="Z2357" t="s">
        <v>40</v>
      </c>
      <c r="AB2357" t="s">
        <v>40</v>
      </c>
    </row>
    <row r="2358" spans="1:39" x14ac:dyDescent="0.3">
      <c r="A2358">
        <v>2020</v>
      </c>
      <c r="B2358">
        <v>8</v>
      </c>
      <c r="C2358" t="str">
        <f t="shared" si="72"/>
        <v>8/01/2020</v>
      </c>
      <c r="D2358" s="1" t="str">
        <f t="shared" si="73"/>
        <v>8/01/2020</v>
      </c>
      <c r="E2358" t="s">
        <v>55</v>
      </c>
      <c r="F2358" t="s">
        <v>50</v>
      </c>
      <c r="G2358" t="s">
        <v>46</v>
      </c>
      <c r="H2358">
        <v>228</v>
      </c>
      <c r="I2358">
        <v>204</v>
      </c>
      <c r="K2358">
        <v>40</v>
      </c>
      <c r="L2358">
        <v>12</v>
      </c>
      <c r="M2358">
        <v>0</v>
      </c>
      <c r="S2358">
        <v>38</v>
      </c>
      <c r="U2358">
        <v>40</v>
      </c>
      <c r="V2358">
        <v>38</v>
      </c>
      <c r="W2358" s="1">
        <v>44160</v>
      </c>
      <c r="X2358" t="s">
        <v>56</v>
      </c>
      <c r="AA2358" t="s">
        <v>40</v>
      </c>
      <c r="AE2358" t="s">
        <v>40</v>
      </c>
      <c r="AF2358" t="s">
        <v>40</v>
      </c>
      <c r="AG2358" t="s">
        <v>40</v>
      </c>
      <c r="AH2358" t="s">
        <v>40</v>
      </c>
      <c r="AI2358" t="s">
        <v>40</v>
      </c>
      <c r="AK2358" t="s">
        <v>40</v>
      </c>
    </row>
    <row r="2359" spans="1:39" x14ac:dyDescent="0.3">
      <c r="A2359">
        <v>2020</v>
      </c>
      <c r="B2359">
        <v>8</v>
      </c>
      <c r="C2359" t="str">
        <f t="shared" si="72"/>
        <v>8/01/2020</v>
      </c>
      <c r="D2359" s="1" t="str">
        <f t="shared" si="73"/>
        <v>8/01/2020</v>
      </c>
      <c r="E2359" t="s">
        <v>55</v>
      </c>
      <c r="F2359" t="s">
        <v>50</v>
      </c>
      <c r="G2359" t="s">
        <v>47</v>
      </c>
      <c r="H2359">
        <v>207</v>
      </c>
      <c r="I2359">
        <v>201</v>
      </c>
      <c r="K2359">
        <v>50</v>
      </c>
      <c r="L2359">
        <v>15</v>
      </c>
      <c r="S2359">
        <v>33</v>
      </c>
      <c r="U2359">
        <v>48</v>
      </c>
      <c r="V2359">
        <v>44</v>
      </c>
      <c r="W2359" s="1">
        <v>44160</v>
      </c>
      <c r="X2359" t="s">
        <v>56</v>
      </c>
      <c r="AA2359" t="s">
        <v>40</v>
      </c>
      <c r="AD2359" t="s">
        <v>40</v>
      </c>
      <c r="AE2359" t="s">
        <v>40</v>
      </c>
      <c r="AF2359" t="s">
        <v>40</v>
      </c>
      <c r="AG2359" t="s">
        <v>40</v>
      </c>
      <c r="AH2359" t="s">
        <v>40</v>
      </c>
      <c r="AI2359" t="s">
        <v>40</v>
      </c>
      <c r="AK2359" t="s">
        <v>40</v>
      </c>
    </row>
    <row r="2360" spans="1:39" x14ac:dyDescent="0.3">
      <c r="A2360">
        <v>2020</v>
      </c>
      <c r="B2360">
        <v>8</v>
      </c>
      <c r="C2360" t="str">
        <f t="shared" si="72"/>
        <v>8/01/2020</v>
      </c>
      <c r="D2360" s="1" t="str">
        <f t="shared" si="73"/>
        <v>8/01/2020</v>
      </c>
      <c r="E2360" t="s">
        <v>55</v>
      </c>
      <c r="F2360" t="s">
        <v>50</v>
      </c>
      <c r="G2360" t="s">
        <v>48</v>
      </c>
      <c r="H2360">
        <v>167</v>
      </c>
      <c r="I2360">
        <v>164</v>
      </c>
      <c r="K2360">
        <v>33</v>
      </c>
      <c r="S2360">
        <v>38</v>
      </c>
      <c r="U2360">
        <v>39</v>
      </c>
      <c r="V2360">
        <v>37</v>
      </c>
      <c r="W2360" s="1">
        <v>44160</v>
      </c>
      <c r="X2360" t="s">
        <v>56</v>
      </c>
      <c r="AA2360" t="s">
        <v>40</v>
      </c>
      <c r="AC2360" t="s">
        <v>40</v>
      </c>
      <c r="AD2360" t="s">
        <v>40</v>
      </c>
      <c r="AE2360" t="s">
        <v>40</v>
      </c>
      <c r="AF2360" t="s">
        <v>40</v>
      </c>
      <c r="AG2360" t="s">
        <v>40</v>
      </c>
      <c r="AH2360" t="s">
        <v>40</v>
      </c>
      <c r="AI2360" t="s">
        <v>40</v>
      </c>
      <c r="AK2360" t="s">
        <v>40</v>
      </c>
    </row>
    <row r="2361" spans="1:39" x14ac:dyDescent="0.3">
      <c r="A2361">
        <v>2020</v>
      </c>
      <c r="B2361">
        <v>8</v>
      </c>
      <c r="C2361" t="str">
        <f t="shared" si="72"/>
        <v>8/01/2020</v>
      </c>
      <c r="D2361" s="1" t="str">
        <f t="shared" si="73"/>
        <v>8/01/2020</v>
      </c>
      <c r="E2361" t="s">
        <v>55</v>
      </c>
      <c r="F2361" t="s">
        <v>50</v>
      </c>
      <c r="G2361" t="s">
        <v>49</v>
      </c>
      <c r="H2361">
        <v>86</v>
      </c>
      <c r="I2361">
        <v>84</v>
      </c>
      <c r="S2361">
        <v>16</v>
      </c>
      <c r="U2361">
        <v>14</v>
      </c>
      <c r="V2361">
        <v>12</v>
      </c>
      <c r="W2361" s="1">
        <v>44160</v>
      </c>
      <c r="X2361" t="s">
        <v>56</v>
      </c>
      <c r="AA2361" t="s">
        <v>40</v>
      </c>
      <c r="AB2361" t="s">
        <v>40</v>
      </c>
      <c r="AC2361" t="s">
        <v>40</v>
      </c>
      <c r="AD2361" t="s">
        <v>40</v>
      </c>
      <c r="AE2361" t="s">
        <v>40</v>
      </c>
      <c r="AF2361" t="s">
        <v>40</v>
      </c>
      <c r="AG2361" t="s">
        <v>40</v>
      </c>
      <c r="AH2361" t="s">
        <v>40</v>
      </c>
      <c r="AI2361" t="s">
        <v>40</v>
      </c>
      <c r="AK2361" t="s">
        <v>40</v>
      </c>
    </row>
    <row r="2362" spans="1:39" x14ac:dyDescent="0.3">
      <c r="A2362">
        <v>2020</v>
      </c>
      <c r="B2362">
        <v>8</v>
      </c>
      <c r="C2362" t="str">
        <f t="shared" si="72"/>
        <v>8/01/2020</v>
      </c>
      <c r="D2362" s="1" t="str">
        <f t="shared" si="73"/>
        <v>8/01/2020</v>
      </c>
      <c r="E2362" t="s">
        <v>55</v>
      </c>
      <c r="F2362" t="s">
        <v>51</v>
      </c>
      <c r="G2362" t="s">
        <v>39</v>
      </c>
      <c r="H2362">
        <v>24</v>
      </c>
      <c r="I2362">
        <v>22</v>
      </c>
      <c r="K2362">
        <v>0</v>
      </c>
      <c r="L2362">
        <v>0</v>
      </c>
      <c r="M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 s="1">
        <v>44160</v>
      </c>
      <c r="X2362" t="s">
        <v>56</v>
      </c>
      <c r="AA2362" t="s">
        <v>40</v>
      </c>
      <c r="AE2362" t="s">
        <v>40</v>
      </c>
    </row>
    <row r="2363" spans="1:39" x14ac:dyDescent="0.3">
      <c r="A2363">
        <v>2020</v>
      </c>
      <c r="B2363">
        <v>8</v>
      </c>
      <c r="C2363" t="str">
        <f t="shared" si="72"/>
        <v>8/01/2020</v>
      </c>
      <c r="D2363" s="1" t="str">
        <f t="shared" si="73"/>
        <v>8/01/2020</v>
      </c>
      <c r="E2363" t="s">
        <v>55</v>
      </c>
      <c r="F2363" t="s">
        <v>51</v>
      </c>
      <c r="G2363" t="s">
        <v>41</v>
      </c>
      <c r="H2363">
        <v>56</v>
      </c>
      <c r="I2363">
        <v>10</v>
      </c>
      <c r="J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T2363">
        <v>0</v>
      </c>
      <c r="U2363">
        <v>0</v>
      </c>
      <c r="V2363">
        <v>0</v>
      </c>
      <c r="W2363" s="1">
        <v>44160</v>
      </c>
      <c r="X2363" t="s">
        <v>56</v>
      </c>
      <c r="AB2363" t="s">
        <v>40</v>
      </c>
      <c r="AI2363" t="s">
        <v>40</v>
      </c>
      <c r="AJ2363" t="s">
        <v>40</v>
      </c>
    </row>
    <row r="2364" spans="1:39" x14ac:dyDescent="0.3">
      <c r="A2364">
        <v>2020</v>
      </c>
      <c r="B2364">
        <v>8</v>
      </c>
      <c r="C2364" t="str">
        <f t="shared" si="72"/>
        <v>8/01/2020</v>
      </c>
      <c r="D2364" s="1" t="str">
        <f t="shared" si="73"/>
        <v>8/01/2020</v>
      </c>
      <c r="E2364" t="s">
        <v>55</v>
      </c>
      <c r="F2364" t="s">
        <v>51</v>
      </c>
      <c r="G2364" t="s">
        <v>42</v>
      </c>
      <c r="H2364">
        <v>89</v>
      </c>
      <c r="I2364">
        <v>38</v>
      </c>
      <c r="J2364">
        <v>0</v>
      </c>
      <c r="M2364">
        <v>0</v>
      </c>
      <c r="O2364">
        <v>0</v>
      </c>
      <c r="R2364">
        <v>11</v>
      </c>
      <c r="S2364">
        <v>0</v>
      </c>
      <c r="W2364" s="1">
        <v>44160</v>
      </c>
      <c r="X2364" t="s">
        <v>56</v>
      </c>
      <c r="AB2364" t="s">
        <v>40</v>
      </c>
      <c r="AC2364" t="s">
        <v>40</v>
      </c>
      <c r="AE2364" t="s">
        <v>40</v>
      </c>
      <c r="AG2364" t="s">
        <v>40</v>
      </c>
      <c r="AH2364" t="s">
        <v>40</v>
      </c>
      <c r="AK2364" t="s">
        <v>40</v>
      </c>
      <c r="AL2364" t="s">
        <v>40</v>
      </c>
      <c r="AM2364" t="s">
        <v>40</v>
      </c>
    </row>
    <row r="2365" spans="1:39" x14ac:dyDescent="0.3">
      <c r="A2365">
        <v>2020</v>
      </c>
      <c r="B2365">
        <v>8</v>
      </c>
      <c r="C2365" t="str">
        <f t="shared" si="72"/>
        <v>8/01/2020</v>
      </c>
      <c r="D2365" s="1" t="str">
        <f t="shared" si="73"/>
        <v>8/01/2020</v>
      </c>
      <c r="E2365" t="s">
        <v>55</v>
      </c>
      <c r="F2365" t="s">
        <v>51</v>
      </c>
      <c r="G2365" t="s">
        <v>43</v>
      </c>
      <c r="H2365">
        <v>155</v>
      </c>
      <c r="I2365">
        <v>105</v>
      </c>
      <c r="K2365">
        <v>21</v>
      </c>
      <c r="M2365">
        <v>0</v>
      </c>
      <c r="N2365">
        <v>0</v>
      </c>
      <c r="O2365">
        <v>0</v>
      </c>
      <c r="Q2365">
        <v>0</v>
      </c>
      <c r="R2365">
        <v>11</v>
      </c>
      <c r="S2365">
        <v>20</v>
      </c>
      <c r="U2365">
        <v>17</v>
      </c>
      <c r="V2365">
        <v>16</v>
      </c>
      <c r="W2365" s="1">
        <v>44160</v>
      </c>
      <c r="X2365" t="s">
        <v>56</v>
      </c>
      <c r="AA2365" t="s">
        <v>40</v>
      </c>
      <c r="AC2365" t="s">
        <v>40</v>
      </c>
      <c r="AG2365" t="s">
        <v>40</v>
      </c>
      <c r="AK2365" t="s">
        <v>40</v>
      </c>
    </row>
    <row r="2366" spans="1:39" x14ac:dyDescent="0.3">
      <c r="A2366">
        <v>2020</v>
      </c>
      <c r="B2366">
        <v>8</v>
      </c>
      <c r="C2366" t="str">
        <f t="shared" si="72"/>
        <v>8/01/2020</v>
      </c>
      <c r="D2366" s="1" t="str">
        <f t="shared" si="73"/>
        <v>8/01/2020</v>
      </c>
      <c r="E2366" t="s">
        <v>55</v>
      </c>
      <c r="F2366" t="s">
        <v>51</v>
      </c>
      <c r="G2366" t="s">
        <v>44</v>
      </c>
      <c r="H2366">
        <v>261</v>
      </c>
      <c r="I2366">
        <v>217</v>
      </c>
      <c r="K2366">
        <v>50</v>
      </c>
      <c r="L2366">
        <v>14</v>
      </c>
      <c r="M2366">
        <v>0</v>
      </c>
      <c r="R2366">
        <v>12</v>
      </c>
      <c r="S2366">
        <v>56</v>
      </c>
      <c r="T2366">
        <v>16</v>
      </c>
      <c r="U2366">
        <v>30</v>
      </c>
      <c r="V2366">
        <v>25</v>
      </c>
      <c r="W2366" s="1">
        <v>44160</v>
      </c>
      <c r="X2366" t="s">
        <v>56</v>
      </c>
      <c r="AA2366" t="s">
        <v>40</v>
      </c>
      <c r="AE2366" t="s">
        <v>40</v>
      </c>
      <c r="AF2366" t="s">
        <v>40</v>
      </c>
      <c r="AG2366" t="s">
        <v>40</v>
      </c>
      <c r="AH2366" t="s">
        <v>40</v>
      </c>
    </row>
    <row r="2367" spans="1:39" x14ac:dyDescent="0.3">
      <c r="A2367">
        <v>2020</v>
      </c>
      <c r="B2367">
        <v>8</v>
      </c>
      <c r="C2367" t="str">
        <f t="shared" si="72"/>
        <v>8/01/2020</v>
      </c>
      <c r="D2367" s="1" t="str">
        <f t="shared" si="73"/>
        <v>8/01/2020</v>
      </c>
      <c r="E2367" t="s">
        <v>55</v>
      </c>
      <c r="F2367" t="s">
        <v>51</v>
      </c>
      <c r="G2367" t="s">
        <v>45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T2367">
        <v>0</v>
      </c>
      <c r="U2367">
        <v>0</v>
      </c>
      <c r="V2367">
        <v>0</v>
      </c>
      <c r="W2367" s="1">
        <v>44160</v>
      </c>
      <c r="X2367" t="s">
        <v>56</v>
      </c>
      <c r="Y2367" t="s">
        <v>40</v>
      </c>
      <c r="Z2367" t="s">
        <v>40</v>
      </c>
      <c r="AI2367" t="s">
        <v>40</v>
      </c>
      <c r="AJ2367" t="s">
        <v>40</v>
      </c>
    </row>
    <row r="2368" spans="1:39" x14ac:dyDescent="0.3">
      <c r="A2368">
        <v>2020</v>
      </c>
      <c r="B2368">
        <v>8</v>
      </c>
      <c r="C2368" t="str">
        <f t="shared" si="72"/>
        <v>8/01/2020</v>
      </c>
      <c r="D2368" s="1" t="str">
        <f t="shared" si="73"/>
        <v>8/01/2020</v>
      </c>
      <c r="E2368" t="s">
        <v>55</v>
      </c>
      <c r="F2368" t="s">
        <v>51</v>
      </c>
      <c r="G2368" t="s">
        <v>46</v>
      </c>
      <c r="H2368">
        <v>454</v>
      </c>
      <c r="I2368">
        <v>421</v>
      </c>
      <c r="K2368">
        <v>125</v>
      </c>
      <c r="L2368">
        <v>18</v>
      </c>
      <c r="M2368">
        <v>0</v>
      </c>
      <c r="Q2368">
        <v>10</v>
      </c>
      <c r="R2368">
        <v>12</v>
      </c>
      <c r="S2368">
        <v>92</v>
      </c>
      <c r="T2368">
        <v>24</v>
      </c>
      <c r="U2368">
        <v>68</v>
      </c>
      <c r="V2368">
        <v>62</v>
      </c>
      <c r="W2368" s="1">
        <v>44160</v>
      </c>
      <c r="X2368" t="s">
        <v>56</v>
      </c>
      <c r="AA2368" t="s">
        <v>40</v>
      </c>
      <c r="AE2368" t="s">
        <v>40</v>
      </c>
      <c r="AF2368" t="s">
        <v>40</v>
      </c>
      <c r="AG2368" t="s">
        <v>40</v>
      </c>
    </row>
    <row r="2369" spans="1:39" x14ac:dyDescent="0.3">
      <c r="A2369">
        <v>2020</v>
      </c>
      <c r="B2369">
        <v>8</v>
      </c>
      <c r="C2369" t="str">
        <f t="shared" si="72"/>
        <v>8/01/2020</v>
      </c>
      <c r="D2369" s="1" t="str">
        <f t="shared" si="73"/>
        <v>8/01/2020</v>
      </c>
      <c r="E2369" t="s">
        <v>55</v>
      </c>
      <c r="F2369" t="s">
        <v>51</v>
      </c>
      <c r="G2369" t="s">
        <v>47</v>
      </c>
      <c r="H2369">
        <v>753</v>
      </c>
      <c r="I2369">
        <v>731</v>
      </c>
      <c r="K2369">
        <v>203</v>
      </c>
      <c r="L2369">
        <v>27</v>
      </c>
      <c r="N2369">
        <v>10</v>
      </c>
      <c r="O2369">
        <v>18</v>
      </c>
      <c r="P2369">
        <v>13</v>
      </c>
      <c r="Q2369">
        <v>12</v>
      </c>
      <c r="S2369">
        <v>164</v>
      </c>
      <c r="T2369">
        <v>45</v>
      </c>
      <c r="U2369">
        <v>123</v>
      </c>
      <c r="V2369">
        <v>115</v>
      </c>
      <c r="W2369" s="1">
        <v>44160</v>
      </c>
      <c r="X2369" t="s">
        <v>56</v>
      </c>
      <c r="AA2369" t="s">
        <v>40</v>
      </c>
      <c r="AD2369" t="s">
        <v>40</v>
      </c>
      <c r="AI2369" t="s">
        <v>40</v>
      </c>
    </row>
    <row r="2370" spans="1:39" x14ac:dyDescent="0.3">
      <c r="A2370">
        <v>2020</v>
      </c>
      <c r="B2370">
        <v>8</v>
      </c>
      <c r="C2370" t="str">
        <f t="shared" si="72"/>
        <v>8/01/2020</v>
      </c>
      <c r="D2370" s="1" t="str">
        <f t="shared" si="73"/>
        <v>8/01/2020</v>
      </c>
      <c r="E2370" t="s">
        <v>55</v>
      </c>
      <c r="F2370" t="s">
        <v>51</v>
      </c>
      <c r="G2370" t="s">
        <v>48</v>
      </c>
      <c r="H2370">
        <v>936</v>
      </c>
      <c r="I2370">
        <v>906</v>
      </c>
      <c r="J2370">
        <v>10</v>
      </c>
      <c r="K2370">
        <v>209</v>
      </c>
      <c r="L2370">
        <v>44</v>
      </c>
      <c r="M2370">
        <v>24</v>
      </c>
      <c r="N2370">
        <v>22</v>
      </c>
      <c r="O2370">
        <v>31</v>
      </c>
      <c r="P2370">
        <v>12</v>
      </c>
      <c r="Q2370">
        <v>20</v>
      </c>
      <c r="S2370">
        <v>187</v>
      </c>
      <c r="T2370">
        <v>53</v>
      </c>
      <c r="U2370">
        <v>152</v>
      </c>
      <c r="V2370">
        <v>143</v>
      </c>
      <c r="W2370" s="1">
        <v>44160</v>
      </c>
      <c r="X2370" t="s">
        <v>56</v>
      </c>
      <c r="AI2370" t="s">
        <v>40</v>
      </c>
    </row>
    <row r="2371" spans="1:39" x14ac:dyDescent="0.3">
      <c r="A2371">
        <v>2020</v>
      </c>
      <c r="B2371">
        <v>8</v>
      </c>
      <c r="C2371" t="str">
        <f t="shared" ref="C2371:C2434" si="74">CONCATENATE(B2371,"/01/",A2371)</f>
        <v>8/01/2020</v>
      </c>
      <c r="D2371" s="1" t="str">
        <f t="shared" ref="D2371:D2434" si="75">C2371</f>
        <v>8/01/2020</v>
      </c>
      <c r="E2371" t="s">
        <v>55</v>
      </c>
      <c r="F2371" t="s">
        <v>51</v>
      </c>
      <c r="G2371" t="s">
        <v>49</v>
      </c>
      <c r="H2371">
        <v>939</v>
      </c>
      <c r="I2371">
        <v>910</v>
      </c>
      <c r="J2371">
        <v>18</v>
      </c>
      <c r="K2371">
        <v>134</v>
      </c>
      <c r="L2371">
        <v>33</v>
      </c>
      <c r="M2371">
        <v>44</v>
      </c>
      <c r="N2371">
        <v>29</v>
      </c>
      <c r="O2371">
        <v>30</v>
      </c>
      <c r="P2371">
        <v>16</v>
      </c>
      <c r="Q2371">
        <v>15</v>
      </c>
      <c r="R2371">
        <v>12</v>
      </c>
      <c r="S2371">
        <v>181</v>
      </c>
      <c r="T2371">
        <v>77</v>
      </c>
      <c r="U2371">
        <v>114</v>
      </c>
      <c r="V2371">
        <v>110</v>
      </c>
      <c r="W2371" s="1">
        <v>44160</v>
      </c>
      <c r="X2371" t="s">
        <v>56</v>
      </c>
    </row>
    <row r="2372" spans="1:39" x14ac:dyDescent="0.3">
      <c r="A2372">
        <v>2020</v>
      </c>
      <c r="B2372">
        <v>8</v>
      </c>
      <c r="C2372" t="str">
        <f t="shared" si="74"/>
        <v>8/01/2020</v>
      </c>
      <c r="D2372" s="1" t="str">
        <f t="shared" si="75"/>
        <v>8/01/2020</v>
      </c>
      <c r="E2372" t="s">
        <v>55</v>
      </c>
      <c r="F2372" t="s">
        <v>52</v>
      </c>
      <c r="G2372" t="s">
        <v>39</v>
      </c>
      <c r="H2372">
        <v>260</v>
      </c>
      <c r="I2372">
        <v>225</v>
      </c>
      <c r="L2372">
        <v>0</v>
      </c>
      <c r="M2372">
        <v>0</v>
      </c>
      <c r="N2372">
        <v>0</v>
      </c>
      <c r="O2372">
        <v>0</v>
      </c>
      <c r="R2372">
        <v>67</v>
      </c>
      <c r="W2372" s="1">
        <v>44160</v>
      </c>
      <c r="X2372" t="s">
        <v>56</v>
      </c>
      <c r="AA2372" t="s">
        <v>40</v>
      </c>
      <c r="AB2372" t="s">
        <v>40</v>
      </c>
      <c r="AG2372" t="s">
        <v>40</v>
      </c>
      <c r="AH2372" t="s">
        <v>40</v>
      </c>
      <c r="AJ2372" t="s">
        <v>40</v>
      </c>
      <c r="AK2372" t="s">
        <v>40</v>
      </c>
      <c r="AL2372" t="s">
        <v>40</v>
      </c>
      <c r="AM2372" t="s">
        <v>40</v>
      </c>
    </row>
    <row r="2373" spans="1:39" x14ac:dyDescent="0.3">
      <c r="A2373">
        <v>2020</v>
      </c>
      <c r="B2373">
        <v>8</v>
      </c>
      <c r="C2373" t="str">
        <f t="shared" si="74"/>
        <v>8/01/2020</v>
      </c>
      <c r="D2373" s="1" t="str">
        <f t="shared" si="75"/>
        <v>8/01/2020</v>
      </c>
      <c r="E2373" t="s">
        <v>55</v>
      </c>
      <c r="F2373" t="s">
        <v>52</v>
      </c>
      <c r="G2373" t="s">
        <v>41</v>
      </c>
      <c r="H2373">
        <v>651</v>
      </c>
      <c r="I2373">
        <v>132</v>
      </c>
      <c r="J2373">
        <v>0</v>
      </c>
      <c r="M2373">
        <v>0</v>
      </c>
      <c r="N2373">
        <v>0</v>
      </c>
      <c r="R2373">
        <v>57</v>
      </c>
      <c r="S2373">
        <v>10</v>
      </c>
      <c r="U2373">
        <v>13</v>
      </c>
      <c r="V2373">
        <v>11</v>
      </c>
      <c r="W2373" s="1">
        <v>44160</v>
      </c>
      <c r="X2373" t="s">
        <v>56</v>
      </c>
      <c r="AB2373" t="s">
        <v>40</v>
      </c>
      <c r="AC2373" t="s">
        <v>40</v>
      </c>
      <c r="AF2373" t="s">
        <v>40</v>
      </c>
      <c r="AG2373" t="s">
        <v>40</v>
      </c>
      <c r="AH2373" t="s">
        <v>40</v>
      </c>
      <c r="AK2373" t="s">
        <v>40</v>
      </c>
    </row>
    <row r="2374" spans="1:39" x14ac:dyDescent="0.3">
      <c r="A2374">
        <v>2020</v>
      </c>
      <c r="B2374">
        <v>8</v>
      </c>
      <c r="C2374" t="str">
        <f t="shared" si="74"/>
        <v>8/01/2020</v>
      </c>
      <c r="D2374" s="1" t="str">
        <f t="shared" si="75"/>
        <v>8/01/2020</v>
      </c>
      <c r="E2374" t="s">
        <v>55</v>
      </c>
      <c r="F2374" t="s">
        <v>52</v>
      </c>
      <c r="G2374" t="s">
        <v>42</v>
      </c>
      <c r="H2374" s="2">
        <v>1129</v>
      </c>
      <c r="I2374">
        <v>352</v>
      </c>
      <c r="K2374">
        <v>21</v>
      </c>
      <c r="L2374">
        <v>13</v>
      </c>
      <c r="M2374">
        <v>0</v>
      </c>
      <c r="R2374">
        <v>97</v>
      </c>
      <c r="S2374">
        <v>55</v>
      </c>
      <c r="T2374">
        <v>12</v>
      </c>
      <c r="U2374">
        <v>27</v>
      </c>
      <c r="V2374">
        <v>25</v>
      </c>
      <c r="W2374" s="1">
        <v>44160</v>
      </c>
      <c r="X2374" t="s">
        <v>56</v>
      </c>
      <c r="AA2374" t="s">
        <v>40</v>
      </c>
      <c r="AE2374" t="s">
        <v>40</v>
      </c>
      <c r="AF2374" t="s">
        <v>40</v>
      </c>
      <c r="AG2374" t="s">
        <v>40</v>
      </c>
      <c r="AH2374" t="s">
        <v>40</v>
      </c>
    </row>
    <row r="2375" spans="1:39" x14ac:dyDescent="0.3">
      <c r="A2375">
        <v>2020</v>
      </c>
      <c r="B2375">
        <v>8</v>
      </c>
      <c r="C2375" t="str">
        <f t="shared" si="74"/>
        <v>8/01/2020</v>
      </c>
      <c r="D2375" s="1" t="str">
        <f t="shared" si="75"/>
        <v>8/01/2020</v>
      </c>
      <c r="E2375" t="s">
        <v>55</v>
      </c>
      <c r="F2375" t="s">
        <v>52</v>
      </c>
      <c r="G2375" t="s">
        <v>43</v>
      </c>
      <c r="H2375" s="2">
        <v>1178</v>
      </c>
      <c r="I2375">
        <v>693</v>
      </c>
      <c r="J2375">
        <v>11</v>
      </c>
      <c r="K2375">
        <v>58</v>
      </c>
      <c r="L2375">
        <v>46</v>
      </c>
      <c r="M2375">
        <v>0</v>
      </c>
      <c r="P2375">
        <v>12</v>
      </c>
      <c r="Q2375">
        <v>19</v>
      </c>
      <c r="R2375">
        <v>105</v>
      </c>
      <c r="S2375">
        <v>169</v>
      </c>
      <c r="T2375">
        <v>22</v>
      </c>
      <c r="U2375">
        <v>84</v>
      </c>
      <c r="V2375">
        <v>79</v>
      </c>
      <c r="W2375" s="1">
        <v>44160</v>
      </c>
      <c r="X2375" t="s">
        <v>56</v>
      </c>
      <c r="AE2375" t="s">
        <v>40</v>
      </c>
      <c r="AF2375" t="s">
        <v>40</v>
      </c>
    </row>
    <row r="2376" spans="1:39" x14ac:dyDescent="0.3">
      <c r="A2376">
        <v>2020</v>
      </c>
      <c r="B2376">
        <v>8</v>
      </c>
      <c r="C2376" t="str">
        <f t="shared" si="74"/>
        <v>8/01/2020</v>
      </c>
      <c r="D2376" s="1" t="str">
        <f t="shared" si="75"/>
        <v>8/01/2020</v>
      </c>
      <c r="E2376" t="s">
        <v>55</v>
      </c>
      <c r="F2376" t="s">
        <v>52</v>
      </c>
      <c r="G2376" t="s">
        <v>44</v>
      </c>
      <c r="H2376" s="2">
        <v>1899</v>
      </c>
      <c r="I2376" s="2">
        <v>1507</v>
      </c>
      <c r="J2376">
        <v>13</v>
      </c>
      <c r="K2376">
        <v>200</v>
      </c>
      <c r="L2376">
        <v>87</v>
      </c>
      <c r="N2376">
        <v>14</v>
      </c>
      <c r="O2376">
        <v>23</v>
      </c>
      <c r="P2376">
        <v>16</v>
      </c>
      <c r="Q2376">
        <v>36</v>
      </c>
      <c r="R2376">
        <v>112</v>
      </c>
      <c r="S2376">
        <v>436</v>
      </c>
      <c r="T2376">
        <v>78</v>
      </c>
      <c r="U2376">
        <v>223</v>
      </c>
      <c r="V2376">
        <v>214</v>
      </c>
      <c r="W2376" s="1">
        <v>44160</v>
      </c>
      <c r="X2376" t="s">
        <v>56</v>
      </c>
      <c r="AD2376" t="s">
        <v>40</v>
      </c>
    </row>
    <row r="2377" spans="1:39" x14ac:dyDescent="0.3">
      <c r="A2377">
        <v>2020</v>
      </c>
      <c r="B2377">
        <v>8</v>
      </c>
      <c r="C2377" t="str">
        <f t="shared" si="74"/>
        <v>8/01/2020</v>
      </c>
      <c r="D2377" s="1" t="str">
        <f t="shared" si="75"/>
        <v>8/01/2020</v>
      </c>
      <c r="E2377" t="s">
        <v>55</v>
      </c>
      <c r="F2377" t="s">
        <v>52</v>
      </c>
      <c r="G2377" t="s">
        <v>45</v>
      </c>
      <c r="H2377">
        <v>67</v>
      </c>
      <c r="I2377">
        <v>27</v>
      </c>
      <c r="J2377">
        <v>0</v>
      </c>
      <c r="M2377">
        <v>0</v>
      </c>
      <c r="P2377">
        <v>0</v>
      </c>
      <c r="Q2377">
        <v>0</v>
      </c>
      <c r="U2377">
        <v>0</v>
      </c>
      <c r="V2377">
        <v>0</v>
      </c>
      <c r="W2377" s="1">
        <v>44160</v>
      </c>
      <c r="X2377" t="s">
        <v>56</v>
      </c>
      <c r="AB2377" t="s">
        <v>40</v>
      </c>
      <c r="AC2377" t="s">
        <v>40</v>
      </c>
      <c r="AE2377" t="s">
        <v>40</v>
      </c>
      <c r="AF2377" t="s">
        <v>40</v>
      </c>
      <c r="AI2377" t="s">
        <v>40</v>
      </c>
      <c r="AJ2377" t="s">
        <v>40</v>
      </c>
      <c r="AK2377" t="s">
        <v>40</v>
      </c>
    </row>
    <row r="2378" spans="1:39" x14ac:dyDescent="0.3">
      <c r="A2378">
        <v>2020</v>
      </c>
      <c r="B2378">
        <v>8</v>
      </c>
      <c r="C2378" t="str">
        <f t="shared" si="74"/>
        <v>8/01/2020</v>
      </c>
      <c r="D2378" s="1" t="str">
        <f t="shared" si="75"/>
        <v>8/01/2020</v>
      </c>
      <c r="E2378" t="s">
        <v>55</v>
      </c>
      <c r="F2378" t="s">
        <v>52</v>
      </c>
      <c r="G2378" t="s">
        <v>46</v>
      </c>
      <c r="H2378" s="2">
        <v>4008</v>
      </c>
      <c r="I2378" s="2">
        <v>3601</v>
      </c>
      <c r="J2378">
        <v>64</v>
      </c>
      <c r="K2378">
        <v>713</v>
      </c>
      <c r="L2378">
        <v>184</v>
      </c>
      <c r="N2378">
        <v>41</v>
      </c>
      <c r="O2378">
        <v>93</v>
      </c>
      <c r="P2378">
        <v>46</v>
      </c>
      <c r="Q2378">
        <v>94</v>
      </c>
      <c r="R2378">
        <v>151</v>
      </c>
      <c r="S2378">
        <v>981</v>
      </c>
      <c r="T2378">
        <v>175</v>
      </c>
      <c r="U2378">
        <v>482</v>
      </c>
      <c r="V2378">
        <v>450</v>
      </c>
      <c r="W2378" s="1">
        <v>44160</v>
      </c>
      <c r="X2378" t="s">
        <v>56</v>
      </c>
      <c r="AD2378" t="s">
        <v>40</v>
      </c>
    </row>
    <row r="2379" spans="1:39" x14ac:dyDescent="0.3">
      <c r="A2379">
        <v>2020</v>
      </c>
      <c r="B2379">
        <v>8</v>
      </c>
      <c r="C2379" t="str">
        <f t="shared" si="74"/>
        <v>8/01/2020</v>
      </c>
      <c r="D2379" s="1" t="str">
        <f t="shared" si="75"/>
        <v>8/01/2020</v>
      </c>
      <c r="E2379" t="s">
        <v>55</v>
      </c>
      <c r="F2379" t="s">
        <v>52</v>
      </c>
      <c r="G2379" t="s">
        <v>47</v>
      </c>
      <c r="H2379" s="2">
        <v>4708</v>
      </c>
      <c r="I2379" s="2">
        <v>4547</v>
      </c>
      <c r="J2379">
        <v>73</v>
      </c>
      <c r="K2379" s="2">
        <v>1018</v>
      </c>
      <c r="L2379">
        <v>220</v>
      </c>
      <c r="M2379">
        <v>32</v>
      </c>
      <c r="N2379">
        <v>67</v>
      </c>
      <c r="O2379">
        <v>139</v>
      </c>
      <c r="P2379">
        <v>56</v>
      </c>
      <c r="Q2379">
        <v>108</v>
      </c>
      <c r="R2379">
        <v>80</v>
      </c>
      <c r="S2379" s="2">
        <v>1082</v>
      </c>
      <c r="T2379">
        <v>207</v>
      </c>
      <c r="U2379">
        <v>804</v>
      </c>
      <c r="V2379">
        <v>740</v>
      </c>
      <c r="W2379" s="1">
        <v>44160</v>
      </c>
      <c r="X2379" t="s">
        <v>56</v>
      </c>
    </row>
    <row r="2380" spans="1:39" x14ac:dyDescent="0.3">
      <c r="A2380">
        <v>2020</v>
      </c>
      <c r="B2380">
        <v>8</v>
      </c>
      <c r="C2380" t="str">
        <f t="shared" si="74"/>
        <v>8/01/2020</v>
      </c>
      <c r="D2380" s="1" t="str">
        <f t="shared" si="75"/>
        <v>8/01/2020</v>
      </c>
      <c r="E2380" t="s">
        <v>55</v>
      </c>
      <c r="F2380" t="s">
        <v>52</v>
      </c>
      <c r="G2380" t="s">
        <v>48</v>
      </c>
      <c r="H2380" s="2">
        <v>3443</v>
      </c>
      <c r="I2380" s="2">
        <v>3376</v>
      </c>
      <c r="J2380">
        <v>51</v>
      </c>
      <c r="K2380">
        <v>684</v>
      </c>
      <c r="L2380">
        <v>142</v>
      </c>
      <c r="M2380">
        <v>87</v>
      </c>
      <c r="N2380">
        <v>61</v>
      </c>
      <c r="O2380">
        <v>116</v>
      </c>
      <c r="P2380">
        <v>25</v>
      </c>
      <c r="Q2380">
        <v>104</v>
      </c>
      <c r="R2380">
        <v>52</v>
      </c>
      <c r="S2380">
        <v>673</v>
      </c>
      <c r="T2380">
        <v>203</v>
      </c>
      <c r="U2380">
        <v>650</v>
      </c>
      <c r="V2380">
        <v>606</v>
      </c>
      <c r="W2380" s="1">
        <v>44160</v>
      </c>
      <c r="X2380" t="s">
        <v>56</v>
      </c>
    </row>
    <row r="2381" spans="1:39" x14ac:dyDescent="0.3">
      <c r="A2381">
        <v>2020</v>
      </c>
      <c r="B2381">
        <v>8</v>
      </c>
      <c r="C2381" t="str">
        <f t="shared" si="74"/>
        <v>8/01/2020</v>
      </c>
      <c r="D2381" s="1" t="str">
        <f t="shared" si="75"/>
        <v>8/01/2020</v>
      </c>
      <c r="E2381" t="s">
        <v>55</v>
      </c>
      <c r="F2381" t="s">
        <v>52</v>
      </c>
      <c r="G2381" t="s">
        <v>49</v>
      </c>
      <c r="H2381" s="2">
        <v>2108</v>
      </c>
      <c r="I2381" s="2">
        <v>2076</v>
      </c>
      <c r="J2381">
        <v>31</v>
      </c>
      <c r="K2381">
        <v>295</v>
      </c>
      <c r="L2381">
        <v>74</v>
      </c>
      <c r="M2381">
        <v>117</v>
      </c>
      <c r="N2381">
        <v>19</v>
      </c>
      <c r="O2381">
        <v>66</v>
      </c>
      <c r="P2381">
        <v>19</v>
      </c>
      <c r="Q2381">
        <v>53</v>
      </c>
      <c r="R2381">
        <v>27</v>
      </c>
      <c r="S2381">
        <v>459</v>
      </c>
      <c r="T2381">
        <v>129</v>
      </c>
      <c r="U2381">
        <v>375</v>
      </c>
      <c r="V2381">
        <v>341</v>
      </c>
      <c r="W2381" s="1">
        <v>44160</v>
      </c>
      <c r="X2381" t="s">
        <v>56</v>
      </c>
    </row>
    <row r="2382" spans="1:39" x14ac:dyDescent="0.3">
      <c r="A2382">
        <v>2020</v>
      </c>
      <c r="B2382">
        <v>8</v>
      </c>
      <c r="C2382" t="str">
        <f t="shared" si="74"/>
        <v>8/01/2020</v>
      </c>
      <c r="D2382" s="1" t="str">
        <f t="shared" si="75"/>
        <v>8/01/2020</v>
      </c>
      <c r="E2382" t="s">
        <v>55</v>
      </c>
      <c r="F2382" t="s">
        <v>53</v>
      </c>
      <c r="G2382" t="s">
        <v>39</v>
      </c>
      <c r="H2382">
        <v>402</v>
      </c>
      <c r="I2382">
        <v>349</v>
      </c>
      <c r="L2382">
        <v>0</v>
      </c>
      <c r="M2382">
        <v>0</v>
      </c>
      <c r="O2382">
        <v>0</v>
      </c>
      <c r="R2382">
        <v>60</v>
      </c>
      <c r="W2382" s="1">
        <v>44160</v>
      </c>
      <c r="X2382" t="s">
        <v>56</v>
      </c>
      <c r="AA2382" t="s">
        <v>40</v>
      </c>
      <c r="AB2382" t="s">
        <v>40</v>
      </c>
      <c r="AE2382" t="s">
        <v>40</v>
      </c>
      <c r="AG2382" t="s">
        <v>40</v>
      </c>
      <c r="AH2382" t="s">
        <v>40</v>
      </c>
      <c r="AJ2382" t="s">
        <v>40</v>
      </c>
      <c r="AK2382" t="s">
        <v>40</v>
      </c>
      <c r="AL2382" t="s">
        <v>40</v>
      </c>
      <c r="AM2382" t="s">
        <v>40</v>
      </c>
    </row>
    <row r="2383" spans="1:39" x14ac:dyDescent="0.3">
      <c r="A2383">
        <v>2020</v>
      </c>
      <c r="B2383">
        <v>8</v>
      </c>
      <c r="C2383" t="str">
        <f t="shared" si="74"/>
        <v>8/01/2020</v>
      </c>
      <c r="D2383" s="1" t="str">
        <f t="shared" si="75"/>
        <v>8/01/2020</v>
      </c>
      <c r="E2383" t="s">
        <v>55</v>
      </c>
      <c r="F2383" t="s">
        <v>53</v>
      </c>
      <c r="G2383" t="s">
        <v>41</v>
      </c>
      <c r="H2383" s="2">
        <v>1068</v>
      </c>
      <c r="I2383">
        <v>245</v>
      </c>
      <c r="K2383">
        <v>45</v>
      </c>
      <c r="M2383">
        <v>0</v>
      </c>
      <c r="Q2383">
        <v>0</v>
      </c>
      <c r="R2383">
        <v>95</v>
      </c>
      <c r="S2383">
        <v>21</v>
      </c>
      <c r="U2383">
        <v>11</v>
      </c>
      <c r="W2383" s="1">
        <v>44160</v>
      </c>
      <c r="X2383" t="s">
        <v>56</v>
      </c>
      <c r="AA2383" t="s">
        <v>40</v>
      </c>
      <c r="AC2383" t="s">
        <v>40</v>
      </c>
      <c r="AE2383" t="s">
        <v>40</v>
      </c>
      <c r="AF2383" t="s">
        <v>40</v>
      </c>
      <c r="AG2383" t="s">
        <v>40</v>
      </c>
      <c r="AK2383" t="s">
        <v>40</v>
      </c>
      <c r="AM2383" t="s">
        <v>40</v>
      </c>
    </row>
    <row r="2384" spans="1:39" x14ac:dyDescent="0.3">
      <c r="A2384">
        <v>2020</v>
      </c>
      <c r="B2384">
        <v>8</v>
      </c>
      <c r="C2384" t="str">
        <f t="shared" si="74"/>
        <v>8/01/2020</v>
      </c>
      <c r="D2384" s="1" t="str">
        <f t="shared" si="75"/>
        <v>8/01/2020</v>
      </c>
      <c r="E2384" t="s">
        <v>55</v>
      </c>
      <c r="F2384" t="s">
        <v>53</v>
      </c>
      <c r="G2384" t="s">
        <v>42</v>
      </c>
      <c r="H2384" s="2">
        <v>2399</v>
      </c>
      <c r="I2384">
        <v>799</v>
      </c>
      <c r="K2384">
        <v>63</v>
      </c>
      <c r="L2384">
        <v>25</v>
      </c>
      <c r="M2384">
        <v>0</v>
      </c>
      <c r="R2384">
        <v>305</v>
      </c>
      <c r="S2384">
        <v>100</v>
      </c>
      <c r="U2384">
        <v>24</v>
      </c>
      <c r="V2384">
        <v>16</v>
      </c>
      <c r="W2384" s="1">
        <v>44160</v>
      </c>
      <c r="X2384" t="s">
        <v>56</v>
      </c>
      <c r="AA2384" t="s">
        <v>40</v>
      </c>
      <c r="AE2384" t="s">
        <v>40</v>
      </c>
      <c r="AF2384" t="s">
        <v>40</v>
      </c>
      <c r="AG2384" t="s">
        <v>40</v>
      </c>
      <c r="AH2384" t="s">
        <v>40</v>
      </c>
      <c r="AK2384" t="s">
        <v>40</v>
      </c>
    </row>
    <row r="2385" spans="1:39" x14ac:dyDescent="0.3">
      <c r="A2385">
        <v>2020</v>
      </c>
      <c r="B2385">
        <v>8</v>
      </c>
      <c r="C2385" t="str">
        <f t="shared" si="74"/>
        <v>8/01/2020</v>
      </c>
      <c r="D2385" s="1" t="str">
        <f t="shared" si="75"/>
        <v>8/01/2020</v>
      </c>
      <c r="E2385" t="s">
        <v>55</v>
      </c>
      <c r="F2385" t="s">
        <v>53</v>
      </c>
      <c r="G2385" t="s">
        <v>43</v>
      </c>
      <c r="H2385" s="2">
        <v>3374</v>
      </c>
      <c r="I2385" s="2">
        <v>1761</v>
      </c>
      <c r="J2385">
        <v>24</v>
      </c>
      <c r="K2385">
        <v>226</v>
      </c>
      <c r="L2385">
        <v>64</v>
      </c>
      <c r="N2385">
        <v>19</v>
      </c>
      <c r="P2385">
        <v>17</v>
      </c>
      <c r="Q2385">
        <v>12</v>
      </c>
      <c r="R2385">
        <v>372</v>
      </c>
      <c r="S2385">
        <v>342</v>
      </c>
      <c r="T2385">
        <v>38</v>
      </c>
      <c r="U2385">
        <v>52</v>
      </c>
      <c r="V2385">
        <v>44</v>
      </c>
      <c r="W2385" s="1">
        <v>44160</v>
      </c>
      <c r="X2385" t="s">
        <v>56</v>
      </c>
      <c r="AD2385" t="s">
        <v>40</v>
      </c>
      <c r="AF2385" t="s">
        <v>40</v>
      </c>
    </row>
    <row r="2386" spans="1:39" x14ac:dyDescent="0.3">
      <c r="A2386">
        <v>2020</v>
      </c>
      <c r="B2386">
        <v>8</v>
      </c>
      <c r="C2386" t="str">
        <f t="shared" si="74"/>
        <v>8/01/2020</v>
      </c>
      <c r="D2386" s="1" t="str">
        <f t="shared" si="75"/>
        <v>8/01/2020</v>
      </c>
      <c r="E2386" t="s">
        <v>55</v>
      </c>
      <c r="F2386" t="s">
        <v>53</v>
      </c>
      <c r="G2386" t="s">
        <v>44</v>
      </c>
      <c r="H2386" s="2">
        <v>6020</v>
      </c>
      <c r="I2386" s="2">
        <v>4582</v>
      </c>
      <c r="J2386">
        <v>54</v>
      </c>
      <c r="K2386">
        <v>955</v>
      </c>
      <c r="L2386">
        <v>204</v>
      </c>
      <c r="N2386">
        <v>51</v>
      </c>
      <c r="O2386">
        <v>91</v>
      </c>
      <c r="P2386">
        <v>38</v>
      </c>
      <c r="Q2386">
        <v>60</v>
      </c>
      <c r="R2386">
        <v>346</v>
      </c>
      <c r="S2386" s="2">
        <v>1217</v>
      </c>
      <c r="T2386">
        <v>146</v>
      </c>
      <c r="U2386">
        <v>238</v>
      </c>
      <c r="V2386">
        <v>208</v>
      </c>
      <c r="W2386" s="1">
        <v>44160</v>
      </c>
      <c r="X2386" t="s">
        <v>56</v>
      </c>
      <c r="AD2386" t="s">
        <v>40</v>
      </c>
    </row>
    <row r="2387" spans="1:39" x14ac:dyDescent="0.3">
      <c r="A2387">
        <v>2020</v>
      </c>
      <c r="B2387">
        <v>8</v>
      </c>
      <c r="C2387" t="str">
        <f t="shared" si="74"/>
        <v>8/01/2020</v>
      </c>
      <c r="D2387" s="1" t="str">
        <f t="shared" si="75"/>
        <v>8/01/2020</v>
      </c>
      <c r="E2387" t="s">
        <v>55</v>
      </c>
      <c r="F2387" t="s">
        <v>53</v>
      </c>
      <c r="G2387" t="s">
        <v>45</v>
      </c>
      <c r="H2387">
        <v>135</v>
      </c>
      <c r="I2387">
        <v>57</v>
      </c>
      <c r="J2387">
        <v>0</v>
      </c>
      <c r="K2387">
        <v>16</v>
      </c>
      <c r="M2387">
        <v>0</v>
      </c>
      <c r="N2387">
        <v>0</v>
      </c>
      <c r="Q2387">
        <v>0</v>
      </c>
      <c r="W2387" s="1">
        <v>44160</v>
      </c>
      <c r="X2387" t="s">
        <v>56</v>
      </c>
      <c r="AC2387" t="s">
        <v>40</v>
      </c>
      <c r="AF2387" t="s">
        <v>40</v>
      </c>
      <c r="AG2387" t="s">
        <v>40</v>
      </c>
      <c r="AI2387" t="s">
        <v>40</v>
      </c>
      <c r="AJ2387" t="s">
        <v>40</v>
      </c>
      <c r="AK2387" t="s">
        <v>40</v>
      </c>
      <c r="AL2387" t="s">
        <v>40</v>
      </c>
      <c r="AM2387" t="s">
        <v>40</v>
      </c>
    </row>
    <row r="2388" spans="1:39" x14ac:dyDescent="0.3">
      <c r="A2388">
        <v>2020</v>
      </c>
      <c r="B2388">
        <v>8</v>
      </c>
      <c r="C2388" t="str">
        <f t="shared" si="74"/>
        <v>8/01/2020</v>
      </c>
      <c r="D2388" s="1" t="str">
        <f t="shared" si="75"/>
        <v>8/01/2020</v>
      </c>
      <c r="E2388" t="s">
        <v>55</v>
      </c>
      <c r="F2388" t="s">
        <v>53</v>
      </c>
      <c r="G2388" t="s">
        <v>46</v>
      </c>
      <c r="H2388" s="2">
        <v>14671</v>
      </c>
      <c r="I2388" s="2">
        <v>13076</v>
      </c>
      <c r="J2388">
        <v>172</v>
      </c>
      <c r="K2388" s="2">
        <v>3610</v>
      </c>
      <c r="L2388">
        <v>498</v>
      </c>
      <c r="M2388">
        <v>33</v>
      </c>
      <c r="N2388">
        <v>130</v>
      </c>
      <c r="O2388">
        <v>597</v>
      </c>
      <c r="P2388">
        <v>138</v>
      </c>
      <c r="Q2388">
        <v>147</v>
      </c>
      <c r="R2388">
        <v>443</v>
      </c>
      <c r="S2388" s="2">
        <v>3436</v>
      </c>
      <c r="T2388">
        <v>359</v>
      </c>
      <c r="U2388">
        <v>828</v>
      </c>
      <c r="V2388">
        <v>763</v>
      </c>
      <c r="W2388" s="1">
        <v>44160</v>
      </c>
      <c r="X2388" t="s">
        <v>56</v>
      </c>
    </row>
    <row r="2389" spans="1:39" x14ac:dyDescent="0.3">
      <c r="A2389">
        <v>2020</v>
      </c>
      <c r="B2389">
        <v>8</v>
      </c>
      <c r="C2389" t="str">
        <f t="shared" si="74"/>
        <v>8/01/2020</v>
      </c>
      <c r="D2389" s="1" t="str">
        <f t="shared" si="75"/>
        <v>8/01/2020</v>
      </c>
      <c r="E2389" t="s">
        <v>55</v>
      </c>
      <c r="F2389" t="s">
        <v>53</v>
      </c>
      <c r="G2389" t="s">
        <v>47</v>
      </c>
      <c r="H2389" s="2">
        <v>23001</v>
      </c>
      <c r="I2389" s="2">
        <v>21863</v>
      </c>
      <c r="J2389">
        <v>301</v>
      </c>
      <c r="K2389" s="2">
        <v>6429</v>
      </c>
      <c r="L2389">
        <v>834</v>
      </c>
      <c r="M2389">
        <v>247</v>
      </c>
      <c r="N2389">
        <v>273</v>
      </c>
      <c r="O2389" s="2">
        <v>1303</v>
      </c>
      <c r="P2389">
        <v>353</v>
      </c>
      <c r="Q2389">
        <v>291</v>
      </c>
      <c r="R2389">
        <v>315</v>
      </c>
      <c r="S2389" s="2">
        <v>5151</v>
      </c>
      <c r="T2389">
        <v>722</v>
      </c>
      <c r="U2389" s="2">
        <v>1833</v>
      </c>
      <c r="V2389" s="2">
        <v>1692</v>
      </c>
      <c r="W2389" s="1">
        <v>44160</v>
      </c>
      <c r="X2389" t="s">
        <v>56</v>
      </c>
    </row>
    <row r="2390" spans="1:39" x14ac:dyDescent="0.3">
      <c r="A2390">
        <v>2020</v>
      </c>
      <c r="B2390">
        <v>8</v>
      </c>
      <c r="C2390" t="str">
        <f t="shared" si="74"/>
        <v>8/01/2020</v>
      </c>
      <c r="D2390" s="1" t="str">
        <f t="shared" si="75"/>
        <v>8/01/2020</v>
      </c>
      <c r="E2390" t="s">
        <v>55</v>
      </c>
      <c r="F2390" t="s">
        <v>53</v>
      </c>
      <c r="G2390" t="s">
        <v>48</v>
      </c>
      <c r="H2390" s="2">
        <v>26676</v>
      </c>
      <c r="I2390" s="2">
        <v>25592</v>
      </c>
      <c r="J2390">
        <v>324</v>
      </c>
      <c r="K2390" s="2">
        <v>5895</v>
      </c>
      <c r="L2390">
        <v>786</v>
      </c>
      <c r="M2390">
        <v>886</v>
      </c>
      <c r="N2390">
        <v>313</v>
      </c>
      <c r="O2390" s="2">
        <v>1596</v>
      </c>
      <c r="P2390">
        <v>448</v>
      </c>
      <c r="Q2390">
        <v>433</v>
      </c>
      <c r="R2390">
        <v>252</v>
      </c>
      <c r="S2390" s="2">
        <v>5896</v>
      </c>
      <c r="T2390" s="2">
        <v>1272</v>
      </c>
      <c r="U2390" s="2">
        <v>2618</v>
      </c>
      <c r="V2390" s="2">
        <v>2365</v>
      </c>
      <c r="W2390" s="1">
        <v>44160</v>
      </c>
      <c r="X2390" t="s">
        <v>56</v>
      </c>
    </row>
    <row r="2391" spans="1:39" x14ac:dyDescent="0.3">
      <c r="A2391">
        <v>2020</v>
      </c>
      <c r="B2391">
        <v>8</v>
      </c>
      <c r="C2391" t="str">
        <f t="shared" si="74"/>
        <v>8/01/2020</v>
      </c>
      <c r="D2391" s="1" t="str">
        <f t="shared" si="75"/>
        <v>8/01/2020</v>
      </c>
      <c r="E2391" t="s">
        <v>55</v>
      </c>
      <c r="F2391" t="s">
        <v>53</v>
      </c>
      <c r="G2391" t="s">
        <v>49</v>
      </c>
      <c r="H2391" s="2">
        <v>24748</v>
      </c>
      <c r="I2391" s="2">
        <v>23842</v>
      </c>
      <c r="J2391">
        <v>248</v>
      </c>
      <c r="K2391" s="2">
        <v>3528</v>
      </c>
      <c r="L2391">
        <v>519</v>
      </c>
      <c r="M2391" s="2">
        <v>1493</v>
      </c>
      <c r="N2391">
        <v>371</v>
      </c>
      <c r="O2391" s="2">
        <v>1010</v>
      </c>
      <c r="P2391">
        <v>337</v>
      </c>
      <c r="Q2391">
        <v>453</v>
      </c>
      <c r="R2391">
        <v>289</v>
      </c>
      <c r="S2391" s="2">
        <v>6798</v>
      </c>
      <c r="T2391" s="2">
        <v>1428</v>
      </c>
      <c r="U2391" s="2">
        <v>2275</v>
      </c>
      <c r="V2391" s="2">
        <v>2029</v>
      </c>
      <c r="W2391" s="1">
        <v>44160</v>
      </c>
      <c r="X2391" t="s">
        <v>56</v>
      </c>
    </row>
    <row r="2392" spans="1:39" x14ac:dyDescent="0.3">
      <c r="A2392">
        <v>2020</v>
      </c>
      <c r="B2392">
        <v>8</v>
      </c>
      <c r="C2392" t="str">
        <f t="shared" si="74"/>
        <v>8/01/2020</v>
      </c>
      <c r="D2392" s="1" t="str">
        <f t="shared" si="75"/>
        <v>8/01/2020</v>
      </c>
      <c r="E2392" t="s">
        <v>55</v>
      </c>
      <c r="F2392" t="s">
        <v>54</v>
      </c>
      <c r="G2392" t="s">
        <v>39</v>
      </c>
      <c r="H2392">
        <v>49</v>
      </c>
      <c r="I2392">
        <v>45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11</v>
      </c>
      <c r="T2392">
        <v>0</v>
      </c>
      <c r="V2392">
        <v>0</v>
      </c>
      <c r="W2392" s="1">
        <v>44160</v>
      </c>
      <c r="X2392" t="s">
        <v>56</v>
      </c>
      <c r="AA2392" t="s">
        <v>40</v>
      </c>
      <c r="AJ2392" t="s">
        <v>40</v>
      </c>
      <c r="AL2392" t="s">
        <v>40</v>
      </c>
    </row>
    <row r="2393" spans="1:39" x14ac:dyDescent="0.3">
      <c r="A2393">
        <v>2020</v>
      </c>
      <c r="B2393">
        <v>8</v>
      </c>
      <c r="C2393" t="str">
        <f t="shared" si="74"/>
        <v>8/01/2020</v>
      </c>
      <c r="D2393" s="1" t="str">
        <f t="shared" si="75"/>
        <v>8/01/2020</v>
      </c>
      <c r="E2393" t="s">
        <v>55</v>
      </c>
      <c r="F2393" t="s">
        <v>54</v>
      </c>
      <c r="G2393" t="s">
        <v>41</v>
      </c>
      <c r="H2393">
        <v>58</v>
      </c>
      <c r="I2393">
        <v>11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T2393">
        <v>0</v>
      </c>
      <c r="W2393" s="1">
        <v>44160</v>
      </c>
      <c r="X2393" t="s">
        <v>56</v>
      </c>
      <c r="AI2393" t="s">
        <v>40</v>
      </c>
      <c r="AJ2393" t="s">
        <v>40</v>
      </c>
      <c r="AL2393" t="s">
        <v>40</v>
      </c>
      <c r="AM2393" t="s">
        <v>40</v>
      </c>
    </row>
    <row r="2394" spans="1:39" x14ac:dyDescent="0.3">
      <c r="A2394">
        <v>2020</v>
      </c>
      <c r="B2394">
        <v>8</v>
      </c>
      <c r="C2394" t="str">
        <f t="shared" si="74"/>
        <v>8/01/2020</v>
      </c>
      <c r="D2394" s="1" t="str">
        <f t="shared" si="75"/>
        <v>8/01/2020</v>
      </c>
      <c r="E2394" t="s">
        <v>55</v>
      </c>
      <c r="F2394" t="s">
        <v>54</v>
      </c>
      <c r="G2394" t="s">
        <v>42</v>
      </c>
      <c r="H2394">
        <v>92</v>
      </c>
      <c r="I2394">
        <v>40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12</v>
      </c>
      <c r="T2394">
        <v>0</v>
      </c>
      <c r="U2394">
        <v>0</v>
      </c>
      <c r="V2394">
        <v>0</v>
      </c>
      <c r="W2394" s="1">
        <v>44160</v>
      </c>
      <c r="X2394" t="s">
        <v>56</v>
      </c>
      <c r="AA2394" t="s">
        <v>40</v>
      </c>
      <c r="AB2394" t="s">
        <v>40</v>
      </c>
      <c r="AC2394" t="s">
        <v>40</v>
      </c>
      <c r="AJ2394" t="s">
        <v>40</v>
      </c>
    </row>
    <row r="2395" spans="1:39" x14ac:dyDescent="0.3">
      <c r="A2395">
        <v>2020</v>
      </c>
      <c r="B2395">
        <v>8</v>
      </c>
      <c r="C2395" t="str">
        <f t="shared" si="74"/>
        <v>8/01/2020</v>
      </c>
      <c r="D2395" s="1" t="str">
        <f t="shared" si="75"/>
        <v>8/01/2020</v>
      </c>
      <c r="E2395" t="s">
        <v>55</v>
      </c>
      <c r="F2395" t="s">
        <v>54</v>
      </c>
      <c r="G2395" t="s">
        <v>43</v>
      </c>
      <c r="H2395">
        <v>98</v>
      </c>
      <c r="I2395">
        <v>65</v>
      </c>
      <c r="J2395">
        <v>0</v>
      </c>
      <c r="L2395">
        <v>0</v>
      </c>
      <c r="M2395">
        <v>0</v>
      </c>
      <c r="O2395">
        <v>0</v>
      </c>
      <c r="R2395">
        <v>15</v>
      </c>
      <c r="S2395">
        <v>14</v>
      </c>
      <c r="W2395" s="1">
        <v>44160</v>
      </c>
      <c r="X2395" t="s">
        <v>56</v>
      </c>
      <c r="AB2395" t="s">
        <v>40</v>
      </c>
      <c r="AE2395" t="s">
        <v>40</v>
      </c>
      <c r="AG2395" t="s">
        <v>40</v>
      </c>
      <c r="AH2395" t="s">
        <v>40</v>
      </c>
      <c r="AK2395" t="s">
        <v>40</v>
      </c>
      <c r="AL2395" t="s">
        <v>40</v>
      </c>
      <c r="AM2395" t="s">
        <v>40</v>
      </c>
    </row>
    <row r="2396" spans="1:39" x14ac:dyDescent="0.3">
      <c r="A2396">
        <v>2020</v>
      </c>
      <c r="B2396">
        <v>8</v>
      </c>
      <c r="C2396" t="str">
        <f t="shared" si="74"/>
        <v>8/01/2020</v>
      </c>
      <c r="D2396" s="1" t="str">
        <f t="shared" si="75"/>
        <v>8/01/2020</v>
      </c>
      <c r="E2396" t="s">
        <v>55</v>
      </c>
      <c r="F2396" t="s">
        <v>54</v>
      </c>
      <c r="G2396" t="s">
        <v>44</v>
      </c>
      <c r="H2396">
        <v>149</v>
      </c>
      <c r="I2396">
        <v>108</v>
      </c>
      <c r="J2396">
        <v>0</v>
      </c>
      <c r="K2396">
        <v>15</v>
      </c>
      <c r="M2396">
        <v>0</v>
      </c>
      <c r="Q2396">
        <v>0</v>
      </c>
      <c r="R2396">
        <v>17</v>
      </c>
      <c r="S2396">
        <v>28</v>
      </c>
      <c r="U2396">
        <v>11</v>
      </c>
      <c r="V2396">
        <v>10</v>
      </c>
      <c r="W2396" s="1">
        <v>44160</v>
      </c>
      <c r="X2396" t="s">
        <v>56</v>
      </c>
      <c r="AC2396" t="s">
        <v>40</v>
      </c>
      <c r="AE2396" t="s">
        <v>40</v>
      </c>
      <c r="AF2396" t="s">
        <v>40</v>
      </c>
      <c r="AG2396" t="s">
        <v>40</v>
      </c>
      <c r="AK2396" t="s">
        <v>40</v>
      </c>
    </row>
    <row r="2397" spans="1:39" x14ac:dyDescent="0.3">
      <c r="A2397">
        <v>2020</v>
      </c>
      <c r="B2397">
        <v>8</v>
      </c>
      <c r="C2397" t="str">
        <f t="shared" si="74"/>
        <v>8/01/2020</v>
      </c>
      <c r="D2397" s="1" t="str">
        <f t="shared" si="75"/>
        <v>8/01/2020</v>
      </c>
      <c r="E2397" t="s">
        <v>55</v>
      </c>
      <c r="F2397" t="s">
        <v>54</v>
      </c>
      <c r="G2397" t="s">
        <v>45</v>
      </c>
      <c r="J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T2397">
        <v>0</v>
      </c>
      <c r="U2397">
        <v>0</v>
      </c>
      <c r="V2397">
        <v>0</v>
      </c>
      <c r="W2397" s="1">
        <v>44160</v>
      </c>
      <c r="X2397" t="s">
        <v>56</v>
      </c>
      <c r="Y2397" t="s">
        <v>40</v>
      </c>
      <c r="Z2397" t="s">
        <v>40</v>
      </c>
      <c r="AB2397" t="s">
        <v>40</v>
      </c>
      <c r="AI2397" t="s">
        <v>40</v>
      </c>
      <c r="AJ2397" t="s">
        <v>40</v>
      </c>
    </row>
    <row r="2398" spans="1:39" x14ac:dyDescent="0.3">
      <c r="A2398">
        <v>2020</v>
      </c>
      <c r="B2398">
        <v>8</v>
      </c>
      <c r="C2398" t="str">
        <f t="shared" si="74"/>
        <v>8/01/2020</v>
      </c>
      <c r="D2398" s="1" t="str">
        <f t="shared" si="75"/>
        <v>8/01/2020</v>
      </c>
      <c r="E2398" t="s">
        <v>55</v>
      </c>
      <c r="F2398" t="s">
        <v>54</v>
      </c>
      <c r="G2398" t="s">
        <v>46</v>
      </c>
      <c r="H2398">
        <v>261</v>
      </c>
      <c r="I2398">
        <v>233</v>
      </c>
      <c r="K2398">
        <v>44</v>
      </c>
      <c r="L2398">
        <v>12</v>
      </c>
      <c r="M2398">
        <v>0</v>
      </c>
      <c r="R2398">
        <v>24</v>
      </c>
      <c r="S2398">
        <v>50</v>
      </c>
      <c r="U2398">
        <v>31</v>
      </c>
      <c r="V2398">
        <v>25</v>
      </c>
      <c r="W2398" s="1">
        <v>44160</v>
      </c>
      <c r="X2398" t="s">
        <v>56</v>
      </c>
      <c r="AA2398" t="s">
        <v>40</v>
      </c>
      <c r="AE2398" t="s">
        <v>40</v>
      </c>
      <c r="AF2398" t="s">
        <v>40</v>
      </c>
      <c r="AG2398" t="s">
        <v>40</v>
      </c>
      <c r="AH2398" t="s">
        <v>40</v>
      </c>
      <c r="AK2398" t="s">
        <v>40</v>
      </c>
    </row>
    <row r="2399" spans="1:39" x14ac:dyDescent="0.3">
      <c r="A2399">
        <v>2020</v>
      </c>
      <c r="B2399">
        <v>8</v>
      </c>
      <c r="C2399" t="str">
        <f t="shared" si="74"/>
        <v>8/01/2020</v>
      </c>
      <c r="D2399" s="1" t="str">
        <f t="shared" si="75"/>
        <v>8/01/2020</v>
      </c>
      <c r="E2399" t="s">
        <v>55</v>
      </c>
      <c r="F2399" t="s">
        <v>54</v>
      </c>
      <c r="G2399" t="s">
        <v>47</v>
      </c>
      <c r="H2399">
        <v>319</v>
      </c>
      <c r="I2399">
        <v>299</v>
      </c>
      <c r="K2399">
        <v>63</v>
      </c>
      <c r="L2399">
        <v>16</v>
      </c>
      <c r="O2399">
        <v>21</v>
      </c>
      <c r="R2399">
        <v>14</v>
      </c>
      <c r="S2399">
        <v>76</v>
      </c>
      <c r="T2399">
        <v>10</v>
      </c>
      <c r="U2399">
        <v>35</v>
      </c>
      <c r="V2399">
        <v>31</v>
      </c>
      <c r="W2399" s="1">
        <v>44160</v>
      </c>
      <c r="X2399" t="s">
        <v>56</v>
      </c>
      <c r="AA2399" t="s">
        <v>40</v>
      </c>
      <c r="AD2399" t="s">
        <v>40</v>
      </c>
      <c r="AE2399" t="s">
        <v>40</v>
      </c>
      <c r="AG2399" t="s">
        <v>40</v>
      </c>
      <c r="AH2399" t="s">
        <v>40</v>
      </c>
    </row>
    <row r="2400" spans="1:39" x14ac:dyDescent="0.3">
      <c r="A2400">
        <v>2020</v>
      </c>
      <c r="B2400">
        <v>8</v>
      </c>
      <c r="C2400" t="str">
        <f t="shared" si="74"/>
        <v>8/01/2020</v>
      </c>
      <c r="D2400" s="1" t="str">
        <f t="shared" si="75"/>
        <v>8/01/2020</v>
      </c>
      <c r="E2400" t="s">
        <v>55</v>
      </c>
      <c r="F2400" t="s">
        <v>54</v>
      </c>
      <c r="G2400" t="s">
        <v>48</v>
      </c>
      <c r="H2400">
        <v>221</v>
      </c>
      <c r="I2400">
        <v>212</v>
      </c>
      <c r="K2400">
        <v>42</v>
      </c>
      <c r="O2400">
        <v>12</v>
      </c>
      <c r="S2400">
        <v>64</v>
      </c>
      <c r="U2400">
        <v>32</v>
      </c>
      <c r="V2400">
        <v>23</v>
      </c>
      <c r="W2400" s="1">
        <v>44160</v>
      </c>
      <c r="X2400" t="s">
        <v>56</v>
      </c>
      <c r="AA2400" t="s">
        <v>40</v>
      </c>
      <c r="AC2400" t="s">
        <v>40</v>
      </c>
      <c r="AD2400" t="s">
        <v>40</v>
      </c>
      <c r="AE2400" t="s">
        <v>40</v>
      </c>
      <c r="AG2400" t="s">
        <v>40</v>
      </c>
      <c r="AH2400" t="s">
        <v>40</v>
      </c>
      <c r="AI2400" t="s">
        <v>40</v>
      </c>
      <c r="AK2400" t="s">
        <v>40</v>
      </c>
    </row>
    <row r="2401" spans="1:39" x14ac:dyDescent="0.3">
      <c r="A2401">
        <v>2020</v>
      </c>
      <c r="B2401">
        <v>8</v>
      </c>
      <c r="C2401" t="str">
        <f t="shared" si="74"/>
        <v>8/01/2020</v>
      </c>
      <c r="D2401" s="1" t="str">
        <f t="shared" si="75"/>
        <v>8/01/2020</v>
      </c>
      <c r="E2401" t="s">
        <v>55</v>
      </c>
      <c r="F2401" t="s">
        <v>54</v>
      </c>
      <c r="G2401" t="s">
        <v>49</v>
      </c>
      <c r="H2401">
        <v>119</v>
      </c>
      <c r="I2401">
        <v>114</v>
      </c>
      <c r="K2401">
        <v>12</v>
      </c>
      <c r="M2401">
        <v>10</v>
      </c>
      <c r="S2401">
        <v>27</v>
      </c>
      <c r="T2401">
        <v>10</v>
      </c>
      <c r="U2401">
        <v>16</v>
      </c>
      <c r="V2401">
        <v>14</v>
      </c>
      <c r="W2401" s="1">
        <v>44160</v>
      </c>
      <c r="X2401" t="s">
        <v>56</v>
      </c>
      <c r="AA2401" t="s">
        <v>40</v>
      </c>
      <c r="AC2401" t="s">
        <v>40</v>
      </c>
      <c r="AE2401" t="s">
        <v>40</v>
      </c>
      <c r="AF2401" t="s">
        <v>40</v>
      </c>
      <c r="AG2401" t="s">
        <v>40</v>
      </c>
      <c r="AH2401" t="s">
        <v>40</v>
      </c>
      <c r="AI2401" t="s">
        <v>40</v>
      </c>
    </row>
    <row r="2402" spans="1:39" x14ac:dyDescent="0.3">
      <c r="A2402">
        <v>2020</v>
      </c>
      <c r="B2402">
        <v>9</v>
      </c>
      <c r="C2402" t="str">
        <f t="shared" si="74"/>
        <v>9/01/2020</v>
      </c>
      <c r="D2402" s="1" t="str">
        <f t="shared" si="75"/>
        <v>9/01/2020</v>
      </c>
      <c r="E2402" t="s">
        <v>37</v>
      </c>
      <c r="F2402" t="s">
        <v>38</v>
      </c>
      <c r="G2402" t="s">
        <v>39</v>
      </c>
      <c r="H2402">
        <v>143</v>
      </c>
      <c r="I2402">
        <v>134</v>
      </c>
      <c r="J2402">
        <v>0</v>
      </c>
      <c r="L2402">
        <v>0</v>
      </c>
      <c r="M2402">
        <v>0</v>
      </c>
      <c r="N2402">
        <v>0</v>
      </c>
      <c r="O2402">
        <v>0</v>
      </c>
      <c r="Q2402">
        <v>0</v>
      </c>
      <c r="R2402">
        <v>23</v>
      </c>
      <c r="T2402">
        <v>0</v>
      </c>
      <c r="U2402">
        <v>0</v>
      </c>
      <c r="V2402">
        <v>0</v>
      </c>
      <c r="W2402" s="1">
        <v>44160</v>
      </c>
      <c r="X2402" t="s">
        <v>56</v>
      </c>
      <c r="AB2402" t="s">
        <v>40</v>
      </c>
      <c r="AG2402" t="s">
        <v>40</v>
      </c>
      <c r="AJ2402" t="s">
        <v>40</v>
      </c>
    </row>
    <row r="2403" spans="1:39" x14ac:dyDescent="0.3">
      <c r="A2403">
        <v>2020</v>
      </c>
      <c r="B2403">
        <v>9</v>
      </c>
      <c r="C2403" t="str">
        <f t="shared" si="74"/>
        <v>9/01/2020</v>
      </c>
      <c r="D2403" s="1" t="str">
        <f t="shared" si="75"/>
        <v>9/01/2020</v>
      </c>
      <c r="E2403" t="s">
        <v>37</v>
      </c>
      <c r="F2403" t="s">
        <v>38</v>
      </c>
      <c r="G2403" t="s">
        <v>41</v>
      </c>
      <c r="H2403">
        <v>132</v>
      </c>
      <c r="I2403">
        <v>61</v>
      </c>
      <c r="M2403">
        <v>0</v>
      </c>
      <c r="Q2403">
        <v>0</v>
      </c>
      <c r="R2403">
        <v>17</v>
      </c>
      <c r="W2403" s="1">
        <v>44160</v>
      </c>
      <c r="X2403" t="s">
        <v>56</v>
      </c>
      <c r="AA2403" t="s">
        <v>40</v>
      </c>
      <c r="AB2403" t="s">
        <v>40</v>
      </c>
      <c r="AC2403" t="s">
        <v>40</v>
      </c>
      <c r="AE2403" t="s">
        <v>40</v>
      </c>
      <c r="AF2403" t="s">
        <v>40</v>
      </c>
      <c r="AG2403" t="s">
        <v>40</v>
      </c>
      <c r="AJ2403" t="s">
        <v>40</v>
      </c>
      <c r="AK2403" t="s">
        <v>40</v>
      </c>
      <c r="AL2403" t="s">
        <v>40</v>
      </c>
      <c r="AM2403" t="s">
        <v>40</v>
      </c>
    </row>
    <row r="2404" spans="1:39" x14ac:dyDescent="0.3">
      <c r="A2404">
        <v>2020</v>
      </c>
      <c r="B2404">
        <v>9</v>
      </c>
      <c r="C2404" t="str">
        <f t="shared" si="74"/>
        <v>9/01/2020</v>
      </c>
      <c r="D2404" s="1" t="str">
        <f t="shared" si="75"/>
        <v>9/01/2020</v>
      </c>
      <c r="E2404" t="s">
        <v>37</v>
      </c>
      <c r="F2404" t="s">
        <v>38</v>
      </c>
      <c r="G2404" t="s">
        <v>42</v>
      </c>
      <c r="H2404">
        <v>262</v>
      </c>
      <c r="I2404">
        <v>159</v>
      </c>
      <c r="K2404">
        <v>26</v>
      </c>
      <c r="M2404">
        <v>0</v>
      </c>
      <c r="P2404">
        <v>0</v>
      </c>
      <c r="R2404">
        <v>51</v>
      </c>
      <c r="U2404">
        <v>18</v>
      </c>
      <c r="V2404">
        <v>13</v>
      </c>
      <c r="W2404" s="1">
        <v>44160</v>
      </c>
      <c r="X2404" t="s">
        <v>56</v>
      </c>
      <c r="AA2404" t="s">
        <v>40</v>
      </c>
      <c r="AC2404" t="s">
        <v>40</v>
      </c>
      <c r="AE2404" t="s">
        <v>40</v>
      </c>
      <c r="AF2404" t="s">
        <v>40</v>
      </c>
      <c r="AH2404" t="s">
        <v>40</v>
      </c>
      <c r="AJ2404" t="s">
        <v>40</v>
      </c>
      <c r="AK2404" t="s">
        <v>40</v>
      </c>
    </row>
    <row r="2405" spans="1:39" x14ac:dyDescent="0.3">
      <c r="A2405">
        <v>2020</v>
      </c>
      <c r="B2405">
        <v>9</v>
      </c>
      <c r="C2405" t="str">
        <f t="shared" si="74"/>
        <v>9/01/2020</v>
      </c>
      <c r="D2405" s="1" t="str">
        <f t="shared" si="75"/>
        <v>9/01/2020</v>
      </c>
      <c r="E2405" t="s">
        <v>37</v>
      </c>
      <c r="F2405" t="s">
        <v>38</v>
      </c>
      <c r="G2405" t="s">
        <v>43</v>
      </c>
      <c r="H2405">
        <v>419</v>
      </c>
      <c r="I2405">
        <v>326</v>
      </c>
      <c r="K2405">
        <v>84</v>
      </c>
      <c r="L2405">
        <v>16</v>
      </c>
      <c r="M2405">
        <v>0</v>
      </c>
      <c r="R2405">
        <v>34</v>
      </c>
      <c r="S2405">
        <v>18</v>
      </c>
      <c r="U2405">
        <v>57</v>
      </c>
      <c r="V2405">
        <v>55</v>
      </c>
      <c r="W2405" s="1">
        <v>44160</v>
      </c>
      <c r="X2405" t="s">
        <v>56</v>
      </c>
      <c r="AA2405" t="s">
        <v>40</v>
      </c>
      <c r="AE2405" t="s">
        <v>40</v>
      </c>
      <c r="AF2405" t="s">
        <v>40</v>
      </c>
      <c r="AG2405" t="s">
        <v>40</v>
      </c>
      <c r="AH2405" t="s">
        <v>40</v>
      </c>
      <c r="AK2405" t="s">
        <v>40</v>
      </c>
    </row>
    <row r="2406" spans="1:39" x14ac:dyDescent="0.3">
      <c r="A2406">
        <v>2020</v>
      </c>
      <c r="B2406">
        <v>9</v>
      </c>
      <c r="C2406" t="str">
        <f t="shared" si="74"/>
        <v>9/01/2020</v>
      </c>
      <c r="D2406" s="1" t="str">
        <f t="shared" si="75"/>
        <v>9/01/2020</v>
      </c>
      <c r="E2406" t="s">
        <v>37</v>
      </c>
      <c r="F2406" t="s">
        <v>38</v>
      </c>
      <c r="G2406" t="s">
        <v>44</v>
      </c>
      <c r="H2406">
        <v>676</v>
      </c>
      <c r="I2406">
        <v>620</v>
      </c>
      <c r="K2406">
        <v>174</v>
      </c>
      <c r="L2406">
        <v>35</v>
      </c>
      <c r="M2406">
        <v>0</v>
      </c>
      <c r="Q2406">
        <v>15</v>
      </c>
      <c r="R2406">
        <v>51</v>
      </c>
      <c r="S2406">
        <v>66</v>
      </c>
      <c r="T2406">
        <v>29</v>
      </c>
      <c r="U2406">
        <v>104</v>
      </c>
      <c r="V2406">
        <v>94</v>
      </c>
      <c r="W2406" s="1">
        <v>44160</v>
      </c>
      <c r="X2406" t="s">
        <v>56</v>
      </c>
      <c r="AA2406" t="s">
        <v>40</v>
      </c>
      <c r="AE2406" t="s">
        <v>40</v>
      </c>
      <c r="AF2406" t="s">
        <v>40</v>
      </c>
      <c r="AG2406" t="s">
        <v>40</v>
      </c>
    </row>
    <row r="2407" spans="1:39" x14ac:dyDescent="0.3">
      <c r="A2407">
        <v>2020</v>
      </c>
      <c r="B2407">
        <v>9</v>
      </c>
      <c r="C2407" t="str">
        <f t="shared" si="74"/>
        <v>9/01/2020</v>
      </c>
      <c r="D2407" s="1" t="str">
        <f t="shared" si="75"/>
        <v>9/01/2020</v>
      </c>
      <c r="E2407" t="s">
        <v>37</v>
      </c>
      <c r="F2407" t="s">
        <v>38</v>
      </c>
      <c r="G2407" t="s">
        <v>45</v>
      </c>
      <c r="H2407">
        <v>41</v>
      </c>
      <c r="I2407">
        <v>22</v>
      </c>
      <c r="J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V2407">
        <v>0</v>
      </c>
      <c r="W2407" s="1">
        <v>44160</v>
      </c>
      <c r="X2407" t="s">
        <v>56</v>
      </c>
      <c r="AB2407" t="s">
        <v>40</v>
      </c>
      <c r="AI2407" t="s">
        <v>40</v>
      </c>
      <c r="AJ2407" t="s">
        <v>40</v>
      </c>
      <c r="AK2407" t="s">
        <v>40</v>
      </c>
      <c r="AL2407" t="s">
        <v>40</v>
      </c>
    </row>
    <row r="2408" spans="1:39" x14ac:dyDescent="0.3">
      <c r="A2408">
        <v>2020</v>
      </c>
      <c r="B2408">
        <v>9</v>
      </c>
      <c r="C2408" t="str">
        <f t="shared" si="74"/>
        <v>9/01/2020</v>
      </c>
      <c r="D2408" s="1" t="str">
        <f t="shared" si="75"/>
        <v>9/01/2020</v>
      </c>
      <c r="E2408" t="s">
        <v>37</v>
      </c>
      <c r="F2408" t="s">
        <v>38</v>
      </c>
      <c r="G2408" t="s">
        <v>46</v>
      </c>
      <c r="H2408" s="2">
        <v>1311</v>
      </c>
      <c r="I2408" s="2">
        <v>1255</v>
      </c>
      <c r="J2408">
        <v>25</v>
      </c>
      <c r="K2408">
        <v>357</v>
      </c>
      <c r="L2408">
        <v>75</v>
      </c>
      <c r="N2408">
        <v>25</v>
      </c>
      <c r="O2408">
        <v>22</v>
      </c>
      <c r="P2408">
        <v>15</v>
      </c>
      <c r="Q2408">
        <v>30</v>
      </c>
      <c r="R2408">
        <v>26</v>
      </c>
      <c r="S2408">
        <v>158</v>
      </c>
      <c r="T2408">
        <v>50</v>
      </c>
      <c r="U2408">
        <v>263</v>
      </c>
      <c r="V2408">
        <v>246</v>
      </c>
      <c r="W2408" s="1">
        <v>44160</v>
      </c>
      <c r="X2408" t="s">
        <v>56</v>
      </c>
      <c r="AD2408" t="s">
        <v>40</v>
      </c>
    </row>
    <row r="2409" spans="1:39" x14ac:dyDescent="0.3">
      <c r="A2409">
        <v>2020</v>
      </c>
      <c r="B2409">
        <v>9</v>
      </c>
      <c r="C2409" t="str">
        <f t="shared" si="74"/>
        <v>9/01/2020</v>
      </c>
      <c r="D2409" s="1" t="str">
        <f t="shared" si="75"/>
        <v>9/01/2020</v>
      </c>
      <c r="E2409" t="s">
        <v>37</v>
      </c>
      <c r="F2409" t="s">
        <v>38</v>
      </c>
      <c r="G2409" t="s">
        <v>47</v>
      </c>
      <c r="H2409" s="2">
        <v>1668</v>
      </c>
      <c r="I2409" s="2">
        <v>1636</v>
      </c>
      <c r="J2409">
        <v>27</v>
      </c>
      <c r="K2409">
        <v>446</v>
      </c>
      <c r="L2409">
        <v>83</v>
      </c>
      <c r="M2409">
        <v>29</v>
      </c>
      <c r="N2409">
        <v>26</v>
      </c>
      <c r="O2409">
        <v>30</v>
      </c>
      <c r="P2409">
        <v>28</v>
      </c>
      <c r="Q2409">
        <v>38</v>
      </c>
      <c r="R2409">
        <v>18</v>
      </c>
      <c r="S2409">
        <v>231</v>
      </c>
      <c r="T2409">
        <v>71</v>
      </c>
      <c r="U2409">
        <v>330</v>
      </c>
      <c r="V2409">
        <v>319</v>
      </c>
      <c r="W2409" s="1">
        <v>44160</v>
      </c>
      <c r="X2409" t="s">
        <v>56</v>
      </c>
    </row>
    <row r="2410" spans="1:39" x14ac:dyDescent="0.3">
      <c r="A2410">
        <v>2020</v>
      </c>
      <c r="B2410">
        <v>9</v>
      </c>
      <c r="C2410" t="str">
        <f t="shared" si="74"/>
        <v>9/01/2020</v>
      </c>
      <c r="D2410" s="1" t="str">
        <f t="shared" si="75"/>
        <v>9/01/2020</v>
      </c>
      <c r="E2410" t="s">
        <v>37</v>
      </c>
      <c r="F2410" t="s">
        <v>38</v>
      </c>
      <c r="G2410" t="s">
        <v>48</v>
      </c>
      <c r="H2410" s="2">
        <v>2149</v>
      </c>
      <c r="I2410" s="2">
        <v>2113</v>
      </c>
      <c r="J2410">
        <v>40</v>
      </c>
      <c r="K2410">
        <v>372</v>
      </c>
      <c r="L2410">
        <v>101</v>
      </c>
      <c r="M2410">
        <v>137</v>
      </c>
      <c r="N2410">
        <v>33</v>
      </c>
      <c r="O2410">
        <v>76</v>
      </c>
      <c r="P2410">
        <v>38</v>
      </c>
      <c r="Q2410">
        <v>50</v>
      </c>
      <c r="R2410">
        <v>18</v>
      </c>
      <c r="S2410">
        <v>389</v>
      </c>
      <c r="T2410">
        <v>159</v>
      </c>
      <c r="U2410">
        <v>293</v>
      </c>
      <c r="V2410">
        <v>263</v>
      </c>
      <c r="W2410" s="1">
        <v>44160</v>
      </c>
      <c r="X2410" t="s">
        <v>56</v>
      </c>
    </row>
    <row r="2411" spans="1:39" x14ac:dyDescent="0.3">
      <c r="A2411">
        <v>2020</v>
      </c>
      <c r="B2411">
        <v>9</v>
      </c>
      <c r="C2411" t="str">
        <f t="shared" si="74"/>
        <v>9/01/2020</v>
      </c>
      <c r="D2411" s="1" t="str">
        <f t="shared" si="75"/>
        <v>9/01/2020</v>
      </c>
      <c r="E2411" t="s">
        <v>37</v>
      </c>
      <c r="F2411" t="s">
        <v>38</v>
      </c>
      <c r="G2411" t="s">
        <v>49</v>
      </c>
      <c r="H2411" s="2">
        <v>2789</v>
      </c>
      <c r="I2411" s="2">
        <v>2735</v>
      </c>
      <c r="J2411">
        <v>36</v>
      </c>
      <c r="K2411">
        <v>271</v>
      </c>
      <c r="L2411">
        <v>104</v>
      </c>
      <c r="M2411">
        <v>368</v>
      </c>
      <c r="N2411">
        <v>34</v>
      </c>
      <c r="O2411">
        <v>64</v>
      </c>
      <c r="P2411">
        <v>26</v>
      </c>
      <c r="Q2411">
        <v>52</v>
      </c>
      <c r="R2411">
        <v>22</v>
      </c>
      <c r="S2411">
        <v>646</v>
      </c>
      <c r="T2411">
        <v>226</v>
      </c>
      <c r="U2411">
        <v>261</v>
      </c>
      <c r="V2411">
        <v>229</v>
      </c>
      <c r="W2411" s="1">
        <v>44160</v>
      </c>
      <c r="X2411" t="s">
        <v>56</v>
      </c>
    </row>
    <row r="2412" spans="1:39" x14ac:dyDescent="0.3">
      <c r="A2412">
        <v>2020</v>
      </c>
      <c r="B2412">
        <v>9</v>
      </c>
      <c r="C2412" t="str">
        <f t="shared" si="74"/>
        <v>9/01/2020</v>
      </c>
      <c r="D2412" s="1" t="str">
        <f t="shared" si="75"/>
        <v>9/01/2020</v>
      </c>
      <c r="E2412" t="s">
        <v>37</v>
      </c>
      <c r="F2412" t="s">
        <v>50</v>
      </c>
      <c r="G2412" t="s">
        <v>39</v>
      </c>
      <c r="H2412">
        <v>10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S2412">
        <v>0</v>
      </c>
      <c r="U2412">
        <v>0</v>
      </c>
      <c r="V2412">
        <v>0</v>
      </c>
      <c r="W2412" s="1">
        <v>44160</v>
      </c>
      <c r="X2412" t="s">
        <v>56</v>
      </c>
      <c r="Z2412" t="s">
        <v>40</v>
      </c>
      <c r="AI2412" t="s">
        <v>40</v>
      </c>
      <c r="AK2412" t="s">
        <v>40</v>
      </c>
    </row>
    <row r="2413" spans="1:39" x14ac:dyDescent="0.3">
      <c r="A2413">
        <v>2020</v>
      </c>
      <c r="B2413">
        <v>9</v>
      </c>
      <c r="C2413" t="str">
        <f t="shared" si="74"/>
        <v>9/01/2020</v>
      </c>
      <c r="D2413" s="1" t="str">
        <f t="shared" si="75"/>
        <v>9/01/2020</v>
      </c>
      <c r="E2413" t="s">
        <v>37</v>
      </c>
      <c r="F2413" t="s">
        <v>50</v>
      </c>
      <c r="G2413" t="s">
        <v>41</v>
      </c>
      <c r="H2413">
        <v>12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T2413">
        <v>0</v>
      </c>
      <c r="U2413">
        <v>0</v>
      </c>
      <c r="V2413">
        <v>0</v>
      </c>
      <c r="W2413" s="1">
        <v>44160</v>
      </c>
      <c r="X2413" t="s">
        <v>56</v>
      </c>
      <c r="Z2413" t="s">
        <v>40</v>
      </c>
      <c r="AJ2413" t="s">
        <v>40</v>
      </c>
    </row>
    <row r="2414" spans="1:39" x14ac:dyDescent="0.3">
      <c r="A2414">
        <v>2020</v>
      </c>
      <c r="B2414">
        <v>9</v>
      </c>
      <c r="C2414" t="str">
        <f t="shared" si="74"/>
        <v>9/01/2020</v>
      </c>
      <c r="D2414" s="1" t="str">
        <f t="shared" si="75"/>
        <v>9/01/2020</v>
      </c>
      <c r="E2414" t="s">
        <v>37</v>
      </c>
      <c r="F2414" t="s">
        <v>50</v>
      </c>
      <c r="G2414" t="s">
        <v>42</v>
      </c>
      <c r="H2414">
        <v>39</v>
      </c>
      <c r="I2414">
        <v>26</v>
      </c>
      <c r="J2414">
        <v>0</v>
      </c>
      <c r="K2414">
        <v>0</v>
      </c>
      <c r="M2414">
        <v>0</v>
      </c>
      <c r="N2414">
        <v>0</v>
      </c>
      <c r="P2414">
        <v>0</v>
      </c>
      <c r="Q2414">
        <v>0</v>
      </c>
      <c r="T2414">
        <v>0</v>
      </c>
      <c r="W2414" s="1">
        <v>44160</v>
      </c>
      <c r="X2414" t="s">
        <v>56</v>
      </c>
      <c r="AC2414" t="s">
        <v>40</v>
      </c>
      <c r="AF2414" t="s">
        <v>40</v>
      </c>
      <c r="AI2414" t="s">
        <v>40</v>
      </c>
      <c r="AJ2414" t="s">
        <v>40</v>
      </c>
      <c r="AL2414" t="s">
        <v>40</v>
      </c>
      <c r="AM2414" t="s">
        <v>40</v>
      </c>
    </row>
    <row r="2415" spans="1:39" x14ac:dyDescent="0.3">
      <c r="A2415">
        <v>2020</v>
      </c>
      <c r="B2415">
        <v>9</v>
      </c>
      <c r="C2415" t="str">
        <f t="shared" si="74"/>
        <v>9/01/2020</v>
      </c>
      <c r="D2415" s="1" t="str">
        <f t="shared" si="75"/>
        <v>9/01/2020</v>
      </c>
      <c r="E2415" t="s">
        <v>37</v>
      </c>
      <c r="F2415" t="s">
        <v>50</v>
      </c>
      <c r="G2415" t="s">
        <v>43</v>
      </c>
      <c r="H2415">
        <v>57</v>
      </c>
      <c r="I2415">
        <v>45</v>
      </c>
      <c r="M2415">
        <v>0</v>
      </c>
      <c r="N2415">
        <v>0</v>
      </c>
      <c r="O2415">
        <v>0</v>
      </c>
      <c r="Q2415">
        <v>0</v>
      </c>
      <c r="T2415">
        <v>0</v>
      </c>
      <c r="W2415" s="1">
        <v>44160</v>
      </c>
      <c r="X2415" t="s">
        <v>56</v>
      </c>
      <c r="AA2415" t="s">
        <v>40</v>
      </c>
      <c r="AB2415" t="s">
        <v>40</v>
      </c>
      <c r="AC2415" t="s">
        <v>40</v>
      </c>
      <c r="AG2415" t="s">
        <v>40</v>
      </c>
      <c r="AI2415" t="s">
        <v>40</v>
      </c>
      <c r="AJ2415" t="s">
        <v>40</v>
      </c>
      <c r="AL2415" t="s">
        <v>40</v>
      </c>
      <c r="AM2415" t="s">
        <v>40</v>
      </c>
    </row>
    <row r="2416" spans="1:39" x14ac:dyDescent="0.3">
      <c r="A2416">
        <v>2020</v>
      </c>
      <c r="B2416">
        <v>9</v>
      </c>
      <c r="C2416" t="str">
        <f t="shared" si="74"/>
        <v>9/01/2020</v>
      </c>
      <c r="D2416" s="1" t="str">
        <f t="shared" si="75"/>
        <v>9/01/2020</v>
      </c>
      <c r="E2416" t="s">
        <v>37</v>
      </c>
      <c r="F2416" t="s">
        <v>50</v>
      </c>
      <c r="G2416" t="s">
        <v>44</v>
      </c>
      <c r="H2416">
        <v>81</v>
      </c>
      <c r="I2416">
        <v>70</v>
      </c>
      <c r="K2416">
        <v>14</v>
      </c>
      <c r="M2416">
        <v>0</v>
      </c>
      <c r="N2416">
        <v>0</v>
      </c>
      <c r="Q2416">
        <v>0</v>
      </c>
      <c r="T2416">
        <v>0</v>
      </c>
      <c r="W2416" s="1">
        <v>44160</v>
      </c>
      <c r="X2416" t="s">
        <v>56</v>
      </c>
      <c r="AA2416" t="s">
        <v>40</v>
      </c>
      <c r="AC2416" t="s">
        <v>40</v>
      </c>
      <c r="AF2416" t="s">
        <v>40</v>
      </c>
      <c r="AG2416" t="s">
        <v>40</v>
      </c>
      <c r="AI2416" t="s">
        <v>40</v>
      </c>
      <c r="AJ2416" t="s">
        <v>40</v>
      </c>
      <c r="AL2416" t="s">
        <v>40</v>
      </c>
      <c r="AM2416" t="s">
        <v>40</v>
      </c>
    </row>
    <row r="2417" spans="1:39" x14ac:dyDescent="0.3">
      <c r="A2417">
        <v>2020</v>
      </c>
      <c r="B2417">
        <v>9</v>
      </c>
      <c r="C2417" t="str">
        <f t="shared" si="74"/>
        <v>9/01/2020</v>
      </c>
      <c r="D2417" s="1" t="str">
        <f t="shared" si="75"/>
        <v>9/01/2020</v>
      </c>
      <c r="E2417" t="s">
        <v>37</v>
      </c>
      <c r="F2417" t="s">
        <v>50</v>
      </c>
      <c r="G2417" t="s">
        <v>45</v>
      </c>
      <c r="J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 s="1">
        <v>44160</v>
      </c>
      <c r="X2417" t="s">
        <v>56</v>
      </c>
      <c r="Y2417" t="s">
        <v>40</v>
      </c>
      <c r="Z2417" t="s">
        <v>40</v>
      </c>
      <c r="AB2417" t="s">
        <v>40</v>
      </c>
    </row>
    <row r="2418" spans="1:39" x14ac:dyDescent="0.3">
      <c r="A2418">
        <v>2020</v>
      </c>
      <c r="B2418">
        <v>9</v>
      </c>
      <c r="C2418" t="str">
        <f t="shared" si="74"/>
        <v>9/01/2020</v>
      </c>
      <c r="D2418" s="1" t="str">
        <f t="shared" si="75"/>
        <v>9/01/2020</v>
      </c>
      <c r="E2418" t="s">
        <v>37</v>
      </c>
      <c r="F2418" t="s">
        <v>50</v>
      </c>
      <c r="G2418" t="s">
        <v>46</v>
      </c>
      <c r="H2418">
        <v>160</v>
      </c>
      <c r="I2418">
        <v>150</v>
      </c>
      <c r="K2418">
        <v>29</v>
      </c>
      <c r="L2418">
        <v>10</v>
      </c>
      <c r="M2418">
        <v>0</v>
      </c>
      <c r="N2418">
        <v>0</v>
      </c>
      <c r="S2418">
        <v>19</v>
      </c>
      <c r="U2418">
        <v>25</v>
      </c>
      <c r="V2418">
        <v>22</v>
      </c>
      <c r="W2418" s="1">
        <v>44160</v>
      </c>
      <c r="X2418" t="s">
        <v>56</v>
      </c>
      <c r="AA2418" t="s">
        <v>40</v>
      </c>
      <c r="AF2418" t="s">
        <v>40</v>
      </c>
      <c r="AG2418" t="s">
        <v>40</v>
      </c>
      <c r="AH2418" t="s">
        <v>40</v>
      </c>
      <c r="AI2418" t="s">
        <v>40</v>
      </c>
      <c r="AK2418" t="s">
        <v>40</v>
      </c>
    </row>
    <row r="2419" spans="1:39" x14ac:dyDescent="0.3">
      <c r="A2419">
        <v>2020</v>
      </c>
      <c r="B2419">
        <v>9</v>
      </c>
      <c r="C2419" t="str">
        <f t="shared" si="74"/>
        <v>9/01/2020</v>
      </c>
      <c r="D2419" s="1" t="str">
        <f t="shared" si="75"/>
        <v>9/01/2020</v>
      </c>
      <c r="E2419" t="s">
        <v>37</v>
      </c>
      <c r="F2419" t="s">
        <v>50</v>
      </c>
      <c r="G2419" t="s">
        <v>47</v>
      </c>
      <c r="H2419">
        <v>160</v>
      </c>
      <c r="I2419">
        <v>156</v>
      </c>
      <c r="K2419">
        <v>35</v>
      </c>
      <c r="L2419">
        <v>13</v>
      </c>
      <c r="S2419">
        <v>22</v>
      </c>
      <c r="U2419">
        <v>24</v>
      </c>
      <c r="V2419">
        <v>22</v>
      </c>
      <c r="W2419" s="1">
        <v>44160</v>
      </c>
      <c r="X2419" t="s">
        <v>56</v>
      </c>
      <c r="AA2419" t="s">
        <v>40</v>
      </c>
      <c r="AD2419" t="s">
        <v>40</v>
      </c>
      <c r="AE2419" t="s">
        <v>40</v>
      </c>
      <c r="AF2419" t="s">
        <v>40</v>
      </c>
      <c r="AG2419" t="s">
        <v>40</v>
      </c>
      <c r="AH2419" t="s">
        <v>40</v>
      </c>
      <c r="AI2419" t="s">
        <v>40</v>
      </c>
      <c r="AK2419" t="s">
        <v>40</v>
      </c>
    </row>
    <row r="2420" spans="1:39" x14ac:dyDescent="0.3">
      <c r="A2420">
        <v>2020</v>
      </c>
      <c r="B2420">
        <v>9</v>
      </c>
      <c r="C2420" t="str">
        <f t="shared" si="74"/>
        <v>9/01/2020</v>
      </c>
      <c r="D2420" s="1" t="str">
        <f t="shared" si="75"/>
        <v>9/01/2020</v>
      </c>
      <c r="E2420" t="s">
        <v>37</v>
      </c>
      <c r="F2420" t="s">
        <v>50</v>
      </c>
      <c r="G2420" t="s">
        <v>48</v>
      </c>
      <c r="H2420">
        <v>163</v>
      </c>
      <c r="I2420">
        <v>162</v>
      </c>
      <c r="K2420">
        <v>32</v>
      </c>
      <c r="L2420">
        <v>10</v>
      </c>
      <c r="N2420">
        <v>0</v>
      </c>
      <c r="S2420">
        <v>31</v>
      </c>
      <c r="U2420">
        <v>24</v>
      </c>
      <c r="V2420">
        <v>20</v>
      </c>
      <c r="W2420" s="1">
        <v>44160</v>
      </c>
      <c r="X2420" t="s">
        <v>56</v>
      </c>
      <c r="AA2420" t="s">
        <v>40</v>
      </c>
      <c r="AD2420" t="s">
        <v>40</v>
      </c>
      <c r="AF2420" t="s">
        <v>40</v>
      </c>
      <c r="AG2420" t="s">
        <v>40</v>
      </c>
      <c r="AH2420" t="s">
        <v>40</v>
      </c>
      <c r="AI2420" t="s">
        <v>40</v>
      </c>
      <c r="AK2420" t="s">
        <v>40</v>
      </c>
    </row>
    <row r="2421" spans="1:39" x14ac:dyDescent="0.3">
      <c r="A2421">
        <v>2020</v>
      </c>
      <c r="B2421">
        <v>9</v>
      </c>
      <c r="C2421" t="str">
        <f t="shared" si="74"/>
        <v>9/01/2020</v>
      </c>
      <c r="D2421" s="1" t="str">
        <f t="shared" si="75"/>
        <v>9/01/2020</v>
      </c>
      <c r="E2421" t="s">
        <v>37</v>
      </c>
      <c r="F2421" t="s">
        <v>50</v>
      </c>
      <c r="G2421" t="s">
        <v>49</v>
      </c>
      <c r="H2421">
        <v>122</v>
      </c>
      <c r="I2421">
        <v>119</v>
      </c>
      <c r="K2421">
        <v>10</v>
      </c>
      <c r="M2421">
        <v>13</v>
      </c>
      <c r="O2421">
        <v>0</v>
      </c>
      <c r="S2421">
        <v>28</v>
      </c>
      <c r="T2421">
        <v>11</v>
      </c>
      <c r="U2421">
        <v>12</v>
      </c>
      <c r="V2421">
        <v>11</v>
      </c>
      <c r="W2421" s="1">
        <v>44160</v>
      </c>
      <c r="X2421" t="s">
        <v>56</v>
      </c>
      <c r="AA2421" t="s">
        <v>40</v>
      </c>
      <c r="AC2421" t="s">
        <v>40</v>
      </c>
      <c r="AE2421" t="s">
        <v>40</v>
      </c>
      <c r="AG2421" t="s">
        <v>40</v>
      </c>
      <c r="AH2421" t="s">
        <v>40</v>
      </c>
      <c r="AI2421" t="s">
        <v>40</v>
      </c>
    </row>
    <row r="2422" spans="1:39" x14ac:dyDescent="0.3">
      <c r="A2422">
        <v>2020</v>
      </c>
      <c r="B2422">
        <v>9</v>
      </c>
      <c r="C2422" t="str">
        <f t="shared" si="74"/>
        <v>9/01/2020</v>
      </c>
      <c r="D2422" s="1" t="str">
        <f t="shared" si="75"/>
        <v>9/01/2020</v>
      </c>
      <c r="E2422" t="s">
        <v>37</v>
      </c>
      <c r="F2422" t="s">
        <v>51</v>
      </c>
      <c r="G2422" t="s">
        <v>39</v>
      </c>
      <c r="H2422">
        <v>16</v>
      </c>
      <c r="I2422">
        <v>16</v>
      </c>
      <c r="J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S2422">
        <v>0</v>
      </c>
      <c r="T2422">
        <v>0</v>
      </c>
      <c r="U2422">
        <v>0</v>
      </c>
      <c r="V2422">
        <v>0</v>
      </c>
      <c r="W2422" s="1">
        <v>44160</v>
      </c>
      <c r="X2422" t="s">
        <v>56</v>
      </c>
      <c r="AB2422" t="s">
        <v>40</v>
      </c>
      <c r="AI2422" t="s">
        <v>40</v>
      </c>
    </row>
    <row r="2423" spans="1:39" x14ac:dyDescent="0.3">
      <c r="A2423">
        <v>2020</v>
      </c>
      <c r="B2423">
        <v>9</v>
      </c>
      <c r="C2423" t="str">
        <f t="shared" si="74"/>
        <v>9/01/2020</v>
      </c>
      <c r="D2423" s="1" t="str">
        <f t="shared" si="75"/>
        <v>9/01/2020</v>
      </c>
      <c r="E2423" t="s">
        <v>37</v>
      </c>
      <c r="F2423" t="s">
        <v>51</v>
      </c>
      <c r="G2423" t="s">
        <v>41</v>
      </c>
      <c r="H2423">
        <v>18</v>
      </c>
      <c r="J2423">
        <v>0</v>
      </c>
      <c r="L2423">
        <v>0</v>
      </c>
      <c r="M2423">
        <v>0</v>
      </c>
      <c r="N2423">
        <v>0</v>
      </c>
      <c r="O2423">
        <v>0</v>
      </c>
      <c r="Q2423">
        <v>0</v>
      </c>
      <c r="S2423">
        <v>0</v>
      </c>
      <c r="T2423">
        <v>0</v>
      </c>
      <c r="U2423">
        <v>0</v>
      </c>
      <c r="V2423">
        <v>0</v>
      </c>
      <c r="W2423" s="1">
        <v>44160</v>
      </c>
      <c r="X2423" t="s">
        <v>56</v>
      </c>
      <c r="Z2423" t="s">
        <v>40</v>
      </c>
      <c r="AB2423" t="s">
        <v>40</v>
      </c>
      <c r="AG2423" t="s">
        <v>40</v>
      </c>
      <c r="AI2423" t="s">
        <v>40</v>
      </c>
    </row>
    <row r="2424" spans="1:39" x14ac:dyDescent="0.3">
      <c r="A2424">
        <v>2020</v>
      </c>
      <c r="B2424">
        <v>9</v>
      </c>
      <c r="C2424" t="str">
        <f t="shared" si="74"/>
        <v>9/01/2020</v>
      </c>
      <c r="D2424" s="1" t="str">
        <f t="shared" si="75"/>
        <v>9/01/2020</v>
      </c>
      <c r="E2424" t="s">
        <v>37</v>
      </c>
      <c r="F2424" t="s">
        <v>51</v>
      </c>
      <c r="G2424" t="s">
        <v>42</v>
      </c>
      <c r="H2424">
        <v>38</v>
      </c>
      <c r="I2424">
        <v>25</v>
      </c>
      <c r="J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T2424">
        <v>0</v>
      </c>
      <c r="U2424">
        <v>0</v>
      </c>
      <c r="V2424">
        <v>0</v>
      </c>
      <c r="W2424" s="1">
        <v>44160</v>
      </c>
      <c r="X2424" t="s">
        <v>56</v>
      </c>
      <c r="AB2424" t="s">
        <v>40</v>
      </c>
      <c r="AI2424" t="s">
        <v>40</v>
      </c>
      <c r="AJ2424" t="s">
        <v>40</v>
      </c>
    </row>
    <row r="2425" spans="1:39" x14ac:dyDescent="0.3">
      <c r="A2425">
        <v>2020</v>
      </c>
      <c r="B2425">
        <v>9</v>
      </c>
      <c r="C2425" t="str">
        <f t="shared" si="74"/>
        <v>9/01/2020</v>
      </c>
      <c r="D2425" s="1" t="str">
        <f t="shared" si="75"/>
        <v>9/01/2020</v>
      </c>
      <c r="E2425" t="s">
        <v>37</v>
      </c>
      <c r="F2425" t="s">
        <v>51</v>
      </c>
      <c r="G2425" t="s">
        <v>43</v>
      </c>
      <c r="H2425">
        <v>58</v>
      </c>
      <c r="I2425">
        <v>48</v>
      </c>
      <c r="K2425">
        <v>19</v>
      </c>
      <c r="M2425">
        <v>0</v>
      </c>
      <c r="N2425">
        <v>0</v>
      </c>
      <c r="O2425">
        <v>0</v>
      </c>
      <c r="P2425">
        <v>0</v>
      </c>
      <c r="Q2425">
        <v>0</v>
      </c>
      <c r="W2425" s="1">
        <v>44160</v>
      </c>
      <c r="X2425" t="s">
        <v>56</v>
      </c>
      <c r="AA2425" t="s">
        <v>40</v>
      </c>
      <c r="AC2425" t="s">
        <v>40</v>
      </c>
      <c r="AI2425" t="s">
        <v>40</v>
      </c>
      <c r="AJ2425" t="s">
        <v>40</v>
      </c>
      <c r="AK2425" t="s">
        <v>40</v>
      </c>
      <c r="AL2425" t="s">
        <v>40</v>
      </c>
      <c r="AM2425" t="s">
        <v>40</v>
      </c>
    </row>
    <row r="2426" spans="1:39" x14ac:dyDescent="0.3">
      <c r="A2426">
        <v>2020</v>
      </c>
      <c r="B2426">
        <v>9</v>
      </c>
      <c r="C2426" t="str">
        <f t="shared" si="74"/>
        <v>9/01/2020</v>
      </c>
      <c r="D2426" s="1" t="str">
        <f t="shared" si="75"/>
        <v>9/01/2020</v>
      </c>
      <c r="E2426" t="s">
        <v>37</v>
      </c>
      <c r="F2426" t="s">
        <v>51</v>
      </c>
      <c r="G2426" t="s">
        <v>44</v>
      </c>
      <c r="H2426">
        <v>156</v>
      </c>
      <c r="I2426">
        <v>145</v>
      </c>
      <c r="K2426">
        <v>78</v>
      </c>
      <c r="M2426">
        <v>0</v>
      </c>
      <c r="O2426">
        <v>0</v>
      </c>
      <c r="P2426">
        <v>0</v>
      </c>
      <c r="R2426">
        <v>11</v>
      </c>
      <c r="T2426">
        <v>15</v>
      </c>
      <c r="W2426" s="1">
        <v>44160</v>
      </c>
      <c r="X2426" t="s">
        <v>56</v>
      </c>
      <c r="AA2426" t="s">
        <v>40</v>
      </c>
      <c r="AC2426" t="s">
        <v>40</v>
      </c>
      <c r="AE2426" t="s">
        <v>40</v>
      </c>
      <c r="AH2426" t="s">
        <v>40</v>
      </c>
      <c r="AJ2426" t="s">
        <v>40</v>
      </c>
      <c r="AL2426" t="s">
        <v>40</v>
      </c>
      <c r="AM2426" t="s">
        <v>40</v>
      </c>
    </row>
    <row r="2427" spans="1:39" x14ac:dyDescent="0.3">
      <c r="A2427">
        <v>2020</v>
      </c>
      <c r="B2427">
        <v>9</v>
      </c>
      <c r="C2427" t="str">
        <f t="shared" si="74"/>
        <v>9/01/2020</v>
      </c>
      <c r="D2427" s="1" t="str">
        <f t="shared" si="75"/>
        <v>9/01/2020</v>
      </c>
      <c r="E2427" t="s">
        <v>37</v>
      </c>
      <c r="F2427" t="s">
        <v>51</v>
      </c>
      <c r="G2427" t="s">
        <v>45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 s="1">
        <v>44160</v>
      </c>
      <c r="X2427" t="s">
        <v>56</v>
      </c>
      <c r="Y2427" t="s">
        <v>40</v>
      </c>
      <c r="Z2427" t="s">
        <v>40</v>
      </c>
    </row>
    <row r="2428" spans="1:39" x14ac:dyDescent="0.3">
      <c r="A2428">
        <v>2020</v>
      </c>
      <c r="B2428">
        <v>9</v>
      </c>
      <c r="C2428" t="str">
        <f t="shared" si="74"/>
        <v>9/01/2020</v>
      </c>
      <c r="D2428" s="1" t="str">
        <f t="shared" si="75"/>
        <v>9/01/2020</v>
      </c>
      <c r="E2428" t="s">
        <v>37</v>
      </c>
      <c r="F2428" t="s">
        <v>51</v>
      </c>
      <c r="G2428" t="s">
        <v>46</v>
      </c>
      <c r="H2428">
        <v>303</v>
      </c>
      <c r="I2428">
        <v>290</v>
      </c>
      <c r="K2428">
        <v>162</v>
      </c>
      <c r="S2428">
        <v>25</v>
      </c>
      <c r="T2428">
        <v>17</v>
      </c>
      <c r="U2428">
        <v>19</v>
      </c>
      <c r="V2428">
        <v>17</v>
      </c>
      <c r="W2428" s="1">
        <v>44160</v>
      </c>
      <c r="X2428" t="s">
        <v>56</v>
      </c>
      <c r="AA2428" t="s">
        <v>40</v>
      </c>
      <c r="AC2428" t="s">
        <v>40</v>
      </c>
      <c r="AD2428" t="s">
        <v>40</v>
      </c>
      <c r="AE2428" t="s">
        <v>40</v>
      </c>
      <c r="AF2428" t="s">
        <v>40</v>
      </c>
      <c r="AG2428" t="s">
        <v>40</v>
      </c>
      <c r="AH2428" t="s">
        <v>40</v>
      </c>
      <c r="AI2428" t="s">
        <v>40</v>
      </c>
    </row>
    <row r="2429" spans="1:39" x14ac:dyDescent="0.3">
      <c r="A2429">
        <v>2020</v>
      </c>
      <c r="B2429">
        <v>9</v>
      </c>
      <c r="C2429" t="str">
        <f t="shared" si="74"/>
        <v>9/01/2020</v>
      </c>
      <c r="D2429" s="1" t="str">
        <f t="shared" si="75"/>
        <v>9/01/2020</v>
      </c>
      <c r="E2429" t="s">
        <v>37</v>
      </c>
      <c r="F2429" t="s">
        <v>51</v>
      </c>
      <c r="G2429" t="s">
        <v>47</v>
      </c>
      <c r="H2429">
        <v>512</v>
      </c>
      <c r="I2429">
        <v>501</v>
      </c>
      <c r="K2429">
        <v>184</v>
      </c>
      <c r="L2429">
        <v>35</v>
      </c>
      <c r="N2429">
        <v>10</v>
      </c>
      <c r="Q2429">
        <v>12</v>
      </c>
      <c r="S2429">
        <v>71</v>
      </c>
      <c r="T2429">
        <v>28</v>
      </c>
      <c r="U2429">
        <v>51</v>
      </c>
      <c r="V2429">
        <v>44</v>
      </c>
      <c r="W2429" s="1">
        <v>44160</v>
      </c>
      <c r="X2429" t="s">
        <v>56</v>
      </c>
      <c r="AA2429" t="s">
        <v>40</v>
      </c>
      <c r="AD2429" t="s">
        <v>40</v>
      </c>
      <c r="AF2429" t="s">
        <v>40</v>
      </c>
      <c r="AG2429" t="s">
        <v>40</v>
      </c>
      <c r="AI2429" t="s">
        <v>40</v>
      </c>
    </row>
    <row r="2430" spans="1:39" x14ac:dyDescent="0.3">
      <c r="A2430">
        <v>2020</v>
      </c>
      <c r="B2430">
        <v>9</v>
      </c>
      <c r="C2430" t="str">
        <f t="shared" si="74"/>
        <v>9/01/2020</v>
      </c>
      <c r="D2430" s="1" t="str">
        <f t="shared" si="75"/>
        <v>9/01/2020</v>
      </c>
      <c r="E2430" t="s">
        <v>37</v>
      </c>
      <c r="F2430" t="s">
        <v>51</v>
      </c>
      <c r="G2430" t="s">
        <v>48</v>
      </c>
      <c r="H2430">
        <v>729</v>
      </c>
      <c r="I2430">
        <v>712</v>
      </c>
      <c r="K2430">
        <v>196</v>
      </c>
      <c r="L2430">
        <v>52</v>
      </c>
      <c r="M2430">
        <v>24</v>
      </c>
      <c r="N2430">
        <v>17</v>
      </c>
      <c r="O2430">
        <v>13</v>
      </c>
      <c r="P2430">
        <v>11</v>
      </c>
      <c r="Q2430">
        <v>18</v>
      </c>
      <c r="R2430">
        <v>10</v>
      </c>
      <c r="S2430">
        <v>135</v>
      </c>
      <c r="T2430">
        <v>53</v>
      </c>
      <c r="U2430">
        <v>50</v>
      </c>
      <c r="V2430">
        <v>47</v>
      </c>
      <c r="W2430" s="1">
        <v>44160</v>
      </c>
      <c r="X2430" t="s">
        <v>56</v>
      </c>
      <c r="AA2430" t="s">
        <v>40</v>
      </c>
    </row>
    <row r="2431" spans="1:39" x14ac:dyDescent="0.3">
      <c r="A2431">
        <v>2020</v>
      </c>
      <c r="B2431">
        <v>9</v>
      </c>
      <c r="C2431" t="str">
        <f t="shared" si="74"/>
        <v>9/01/2020</v>
      </c>
      <c r="D2431" s="1" t="str">
        <f t="shared" si="75"/>
        <v>9/01/2020</v>
      </c>
      <c r="E2431" t="s">
        <v>37</v>
      </c>
      <c r="F2431" t="s">
        <v>51</v>
      </c>
      <c r="G2431" t="s">
        <v>49</v>
      </c>
      <c r="H2431" s="2">
        <v>1293</v>
      </c>
      <c r="I2431" s="2">
        <v>1257</v>
      </c>
      <c r="K2431">
        <v>133</v>
      </c>
      <c r="L2431">
        <v>40</v>
      </c>
      <c r="M2431">
        <v>154</v>
      </c>
      <c r="N2431">
        <v>27</v>
      </c>
      <c r="O2431">
        <v>30</v>
      </c>
      <c r="P2431">
        <v>13</v>
      </c>
      <c r="Q2431">
        <v>26</v>
      </c>
      <c r="R2431">
        <v>16</v>
      </c>
      <c r="S2431">
        <v>289</v>
      </c>
      <c r="T2431">
        <v>118</v>
      </c>
      <c r="U2431">
        <v>114</v>
      </c>
      <c r="V2431">
        <v>101</v>
      </c>
      <c r="W2431" s="1">
        <v>44160</v>
      </c>
      <c r="X2431" t="s">
        <v>56</v>
      </c>
      <c r="AA2431" t="s">
        <v>40</v>
      </c>
    </row>
    <row r="2432" spans="1:39" x14ac:dyDescent="0.3">
      <c r="A2432">
        <v>2020</v>
      </c>
      <c r="B2432">
        <v>9</v>
      </c>
      <c r="C2432" t="str">
        <f t="shared" si="74"/>
        <v>9/01/2020</v>
      </c>
      <c r="D2432" s="1" t="str">
        <f t="shared" si="75"/>
        <v>9/01/2020</v>
      </c>
      <c r="E2432" t="s">
        <v>37</v>
      </c>
      <c r="F2432" t="s">
        <v>52</v>
      </c>
      <c r="G2432" t="s">
        <v>39</v>
      </c>
      <c r="H2432">
        <v>197</v>
      </c>
      <c r="I2432">
        <v>182</v>
      </c>
      <c r="L2432">
        <v>0</v>
      </c>
      <c r="M2432">
        <v>0</v>
      </c>
      <c r="N2432">
        <v>0</v>
      </c>
      <c r="O2432">
        <v>0</v>
      </c>
      <c r="Q2432">
        <v>0</v>
      </c>
      <c r="R2432">
        <v>48</v>
      </c>
      <c r="U2432">
        <v>0</v>
      </c>
      <c r="V2432">
        <v>0</v>
      </c>
      <c r="W2432" s="1">
        <v>44160</v>
      </c>
      <c r="X2432" t="s">
        <v>56</v>
      </c>
      <c r="AA2432" t="s">
        <v>40</v>
      </c>
      <c r="AB2432" t="s">
        <v>40</v>
      </c>
      <c r="AG2432" t="s">
        <v>40</v>
      </c>
      <c r="AJ2432" t="s">
        <v>40</v>
      </c>
      <c r="AK2432" t="s">
        <v>40</v>
      </c>
    </row>
    <row r="2433" spans="1:39" x14ac:dyDescent="0.3">
      <c r="A2433">
        <v>2020</v>
      </c>
      <c r="B2433">
        <v>9</v>
      </c>
      <c r="C2433" t="str">
        <f t="shared" si="74"/>
        <v>9/01/2020</v>
      </c>
      <c r="D2433" s="1" t="str">
        <f t="shared" si="75"/>
        <v>9/01/2020</v>
      </c>
      <c r="E2433" t="s">
        <v>37</v>
      </c>
      <c r="F2433" t="s">
        <v>52</v>
      </c>
      <c r="G2433" t="s">
        <v>41</v>
      </c>
      <c r="H2433">
        <v>184</v>
      </c>
      <c r="I2433">
        <v>78</v>
      </c>
      <c r="K2433">
        <v>12</v>
      </c>
      <c r="M2433">
        <v>0</v>
      </c>
      <c r="R2433">
        <v>25</v>
      </c>
      <c r="T2433">
        <v>0</v>
      </c>
      <c r="W2433" s="1">
        <v>44160</v>
      </c>
      <c r="X2433" t="s">
        <v>56</v>
      </c>
      <c r="AA2433" t="s">
        <v>40</v>
      </c>
      <c r="AC2433" t="s">
        <v>40</v>
      </c>
      <c r="AE2433" t="s">
        <v>40</v>
      </c>
      <c r="AF2433" t="s">
        <v>40</v>
      </c>
      <c r="AG2433" t="s">
        <v>40</v>
      </c>
      <c r="AH2433" t="s">
        <v>40</v>
      </c>
      <c r="AJ2433" t="s">
        <v>40</v>
      </c>
      <c r="AL2433" t="s">
        <v>40</v>
      </c>
      <c r="AM2433" t="s">
        <v>40</v>
      </c>
    </row>
    <row r="2434" spans="1:39" x14ac:dyDescent="0.3">
      <c r="A2434">
        <v>2020</v>
      </c>
      <c r="B2434">
        <v>9</v>
      </c>
      <c r="C2434" t="str">
        <f t="shared" si="74"/>
        <v>9/01/2020</v>
      </c>
      <c r="D2434" s="1" t="str">
        <f t="shared" si="75"/>
        <v>9/01/2020</v>
      </c>
      <c r="E2434" t="s">
        <v>37</v>
      </c>
      <c r="F2434" t="s">
        <v>52</v>
      </c>
      <c r="G2434" t="s">
        <v>42</v>
      </c>
      <c r="H2434">
        <v>347</v>
      </c>
      <c r="I2434">
        <v>227</v>
      </c>
      <c r="K2434">
        <v>26</v>
      </c>
      <c r="M2434">
        <v>0</v>
      </c>
      <c r="R2434">
        <v>66</v>
      </c>
      <c r="S2434">
        <v>23</v>
      </c>
      <c r="U2434">
        <v>18</v>
      </c>
      <c r="V2434">
        <v>16</v>
      </c>
      <c r="W2434" s="1">
        <v>44160</v>
      </c>
      <c r="X2434" t="s">
        <v>56</v>
      </c>
      <c r="AA2434" t="s">
        <v>40</v>
      </c>
      <c r="AC2434" t="s">
        <v>40</v>
      </c>
      <c r="AE2434" t="s">
        <v>40</v>
      </c>
      <c r="AF2434" t="s">
        <v>40</v>
      </c>
      <c r="AG2434" t="s">
        <v>40</v>
      </c>
      <c r="AH2434" t="s">
        <v>40</v>
      </c>
      <c r="AK2434" t="s">
        <v>40</v>
      </c>
    </row>
    <row r="2435" spans="1:39" x14ac:dyDescent="0.3">
      <c r="A2435">
        <v>2020</v>
      </c>
      <c r="B2435">
        <v>9</v>
      </c>
      <c r="C2435" t="str">
        <f t="shared" ref="C2435:C2498" si="76">CONCATENATE(B2435,"/01/",A2435)</f>
        <v>9/01/2020</v>
      </c>
      <c r="D2435" s="1" t="str">
        <f t="shared" ref="D2435:D2498" si="77">C2435</f>
        <v>9/01/2020</v>
      </c>
      <c r="E2435" t="s">
        <v>37</v>
      </c>
      <c r="F2435" t="s">
        <v>52</v>
      </c>
      <c r="G2435" t="s">
        <v>43</v>
      </c>
      <c r="H2435">
        <v>599</v>
      </c>
      <c r="I2435">
        <v>500</v>
      </c>
      <c r="J2435">
        <v>11</v>
      </c>
      <c r="K2435">
        <v>105</v>
      </c>
      <c r="L2435">
        <v>18</v>
      </c>
      <c r="M2435">
        <v>0</v>
      </c>
      <c r="P2435">
        <v>10</v>
      </c>
      <c r="Q2435">
        <v>13</v>
      </c>
      <c r="R2435">
        <v>75</v>
      </c>
      <c r="S2435">
        <v>80</v>
      </c>
      <c r="T2435">
        <v>20</v>
      </c>
      <c r="U2435">
        <v>33</v>
      </c>
      <c r="V2435">
        <v>30</v>
      </c>
      <c r="W2435" s="1">
        <v>44160</v>
      </c>
      <c r="X2435" t="s">
        <v>56</v>
      </c>
      <c r="AE2435" t="s">
        <v>40</v>
      </c>
      <c r="AF2435" t="s">
        <v>40</v>
      </c>
    </row>
    <row r="2436" spans="1:39" x14ac:dyDescent="0.3">
      <c r="A2436">
        <v>2020</v>
      </c>
      <c r="B2436">
        <v>9</v>
      </c>
      <c r="C2436" t="str">
        <f t="shared" si="76"/>
        <v>9/01/2020</v>
      </c>
      <c r="D2436" s="1" t="str">
        <f t="shared" si="77"/>
        <v>9/01/2020</v>
      </c>
      <c r="E2436" t="s">
        <v>37</v>
      </c>
      <c r="F2436" t="s">
        <v>52</v>
      </c>
      <c r="G2436" t="s">
        <v>44</v>
      </c>
      <c r="H2436" s="2">
        <v>1067</v>
      </c>
      <c r="I2436">
        <v>971</v>
      </c>
      <c r="J2436">
        <v>14</v>
      </c>
      <c r="K2436">
        <v>238</v>
      </c>
      <c r="L2436">
        <v>60</v>
      </c>
      <c r="M2436">
        <v>0</v>
      </c>
      <c r="N2436">
        <v>13</v>
      </c>
      <c r="O2436">
        <v>14</v>
      </c>
      <c r="P2436">
        <v>17</v>
      </c>
      <c r="Q2436">
        <v>16</v>
      </c>
      <c r="R2436">
        <v>79</v>
      </c>
      <c r="S2436">
        <v>191</v>
      </c>
      <c r="T2436">
        <v>47</v>
      </c>
      <c r="U2436">
        <v>84</v>
      </c>
      <c r="V2436">
        <v>77</v>
      </c>
      <c r="W2436" s="1">
        <v>44160</v>
      </c>
      <c r="X2436" t="s">
        <v>56</v>
      </c>
    </row>
    <row r="2437" spans="1:39" x14ac:dyDescent="0.3">
      <c r="A2437">
        <v>2020</v>
      </c>
      <c r="B2437">
        <v>9</v>
      </c>
      <c r="C2437" t="str">
        <f t="shared" si="76"/>
        <v>9/01/2020</v>
      </c>
      <c r="D2437" s="1" t="str">
        <f t="shared" si="77"/>
        <v>9/01/2020</v>
      </c>
      <c r="E2437" t="s">
        <v>37</v>
      </c>
      <c r="F2437" t="s">
        <v>52</v>
      </c>
      <c r="G2437" t="s">
        <v>45</v>
      </c>
      <c r="H2437">
        <v>35</v>
      </c>
      <c r="I2437">
        <v>21</v>
      </c>
      <c r="J2437">
        <v>0</v>
      </c>
      <c r="M2437">
        <v>0</v>
      </c>
      <c r="N2437">
        <v>0</v>
      </c>
      <c r="P2437">
        <v>0</v>
      </c>
      <c r="Q2437">
        <v>0</v>
      </c>
      <c r="R2437">
        <v>10</v>
      </c>
      <c r="S2437">
        <v>0</v>
      </c>
      <c r="T2437">
        <v>0</v>
      </c>
      <c r="U2437">
        <v>0</v>
      </c>
      <c r="V2437">
        <v>0</v>
      </c>
      <c r="W2437" s="1">
        <v>44160</v>
      </c>
      <c r="X2437" t="s">
        <v>56</v>
      </c>
      <c r="AB2437" t="s">
        <v>40</v>
      </c>
      <c r="AC2437" t="s">
        <v>40</v>
      </c>
      <c r="AF2437" t="s">
        <v>40</v>
      </c>
    </row>
    <row r="2438" spans="1:39" x14ac:dyDescent="0.3">
      <c r="A2438">
        <v>2020</v>
      </c>
      <c r="B2438">
        <v>9</v>
      </c>
      <c r="C2438" t="str">
        <f t="shared" si="76"/>
        <v>9/01/2020</v>
      </c>
      <c r="D2438" s="1" t="str">
        <f t="shared" si="77"/>
        <v>9/01/2020</v>
      </c>
      <c r="E2438" t="s">
        <v>37</v>
      </c>
      <c r="F2438" t="s">
        <v>52</v>
      </c>
      <c r="G2438" t="s">
        <v>46</v>
      </c>
      <c r="H2438" s="2">
        <v>2336</v>
      </c>
      <c r="I2438" s="2">
        <v>2218</v>
      </c>
      <c r="J2438">
        <v>54</v>
      </c>
      <c r="K2438">
        <v>614</v>
      </c>
      <c r="L2438">
        <v>103</v>
      </c>
      <c r="N2438">
        <v>28</v>
      </c>
      <c r="O2438">
        <v>88</v>
      </c>
      <c r="P2438">
        <v>35</v>
      </c>
      <c r="Q2438">
        <v>61</v>
      </c>
      <c r="R2438">
        <v>72</v>
      </c>
      <c r="S2438">
        <v>433</v>
      </c>
      <c r="T2438">
        <v>100</v>
      </c>
      <c r="U2438">
        <v>209</v>
      </c>
      <c r="V2438">
        <v>189</v>
      </c>
      <c r="W2438" s="1">
        <v>44160</v>
      </c>
      <c r="X2438" t="s">
        <v>56</v>
      </c>
      <c r="AD2438" t="s">
        <v>40</v>
      </c>
    </row>
    <row r="2439" spans="1:39" x14ac:dyDescent="0.3">
      <c r="A2439">
        <v>2020</v>
      </c>
      <c r="B2439">
        <v>9</v>
      </c>
      <c r="C2439" t="str">
        <f t="shared" si="76"/>
        <v>9/01/2020</v>
      </c>
      <c r="D2439" s="1" t="str">
        <f t="shared" si="77"/>
        <v>9/01/2020</v>
      </c>
      <c r="E2439" t="s">
        <v>37</v>
      </c>
      <c r="F2439" t="s">
        <v>52</v>
      </c>
      <c r="G2439" t="s">
        <v>47</v>
      </c>
      <c r="H2439" s="2">
        <v>3148</v>
      </c>
      <c r="I2439" s="2">
        <v>3098</v>
      </c>
      <c r="J2439">
        <v>74</v>
      </c>
      <c r="K2439">
        <v>790</v>
      </c>
      <c r="L2439">
        <v>196</v>
      </c>
      <c r="M2439">
        <v>44</v>
      </c>
      <c r="N2439">
        <v>34</v>
      </c>
      <c r="O2439">
        <v>106</v>
      </c>
      <c r="P2439">
        <v>40</v>
      </c>
      <c r="Q2439">
        <v>106</v>
      </c>
      <c r="R2439">
        <v>56</v>
      </c>
      <c r="S2439">
        <v>651</v>
      </c>
      <c r="T2439">
        <v>165</v>
      </c>
      <c r="U2439">
        <v>328</v>
      </c>
      <c r="V2439">
        <v>297</v>
      </c>
      <c r="W2439" s="1">
        <v>44160</v>
      </c>
      <c r="X2439" t="s">
        <v>56</v>
      </c>
    </row>
    <row r="2440" spans="1:39" x14ac:dyDescent="0.3">
      <c r="A2440">
        <v>2020</v>
      </c>
      <c r="B2440">
        <v>9</v>
      </c>
      <c r="C2440" t="str">
        <f t="shared" si="76"/>
        <v>9/01/2020</v>
      </c>
      <c r="D2440" s="1" t="str">
        <f t="shared" si="77"/>
        <v>9/01/2020</v>
      </c>
      <c r="E2440" t="s">
        <v>37</v>
      </c>
      <c r="F2440" t="s">
        <v>52</v>
      </c>
      <c r="G2440" t="s">
        <v>48</v>
      </c>
      <c r="H2440" s="2">
        <v>3183</v>
      </c>
      <c r="I2440" s="2">
        <v>3133</v>
      </c>
      <c r="J2440">
        <v>64</v>
      </c>
      <c r="K2440">
        <v>589</v>
      </c>
      <c r="L2440">
        <v>164</v>
      </c>
      <c r="M2440">
        <v>172</v>
      </c>
      <c r="N2440">
        <v>40</v>
      </c>
      <c r="O2440">
        <v>102</v>
      </c>
      <c r="P2440">
        <v>45</v>
      </c>
      <c r="Q2440">
        <v>101</v>
      </c>
      <c r="R2440">
        <v>40</v>
      </c>
      <c r="S2440">
        <v>680</v>
      </c>
      <c r="T2440">
        <v>214</v>
      </c>
      <c r="U2440">
        <v>320</v>
      </c>
      <c r="V2440">
        <v>287</v>
      </c>
      <c r="W2440" s="1">
        <v>44160</v>
      </c>
      <c r="X2440" t="s">
        <v>56</v>
      </c>
    </row>
    <row r="2441" spans="1:39" x14ac:dyDescent="0.3">
      <c r="A2441">
        <v>2020</v>
      </c>
      <c r="B2441">
        <v>9</v>
      </c>
      <c r="C2441" t="str">
        <f t="shared" si="76"/>
        <v>9/01/2020</v>
      </c>
      <c r="D2441" s="1" t="str">
        <f t="shared" si="77"/>
        <v>9/01/2020</v>
      </c>
      <c r="E2441" t="s">
        <v>37</v>
      </c>
      <c r="F2441" t="s">
        <v>52</v>
      </c>
      <c r="G2441" t="s">
        <v>49</v>
      </c>
      <c r="H2441" s="2">
        <v>3476</v>
      </c>
      <c r="I2441" s="2">
        <v>3424</v>
      </c>
      <c r="J2441">
        <v>67</v>
      </c>
      <c r="K2441">
        <v>354</v>
      </c>
      <c r="L2441">
        <v>104</v>
      </c>
      <c r="M2441">
        <v>350</v>
      </c>
      <c r="N2441">
        <v>42</v>
      </c>
      <c r="O2441">
        <v>71</v>
      </c>
      <c r="P2441">
        <v>38</v>
      </c>
      <c r="Q2441">
        <v>91</v>
      </c>
      <c r="R2441">
        <v>48</v>
      </c>
      <c r="S2441">
        <v>820</v>
      </c>
      <c r="T2441">
        <v>311</v>
      </c>
      <c r="U2441">
        <v>300</v>
      </c>
      <c r="V2441">
        <v>253</v>
      </c>
      <c r="W2441" s="1">
        <v>44160</v>
      </c>
      <c r="X2441" t="s">
        <v>56</v>
      </c>
    </row>
    <row r="2442" spans="1:39" x14ac:dyDescent="0.3">
      <c r="A2442">
        <v>2020</v>
      </c>
      <c r="B2442">
        <v>9</v>
      </c>
      <c r="C2442" t="str">
        <f t="shared" si="76"/>
        <v>9/01/2020</v>
      </c>
      <c r="D2442" s="1" t="str">
        <f t="shared" si="77"/>
        <v>9/01/2020</v>
      </c>
      <c r="E2442" t="s">
        <v>37</v>
      </c>
      <c r="F2442" t="s">
        <v>53</v>
      </c>
      <c r="G2442" t="s">
        <v>39</v>
      </c>
      <c r="H2442">
        <v>285</v>
      </c>
      <c r="I2442">
        <v>261</v>
      </c>
      <c r="K2442">
        <v>10</v>
      </c>
      <c r="L2442">
        <v>0</v>
      </c>
      <c r="M2442">
        <v>0</v>
      </c>
      <c r="O2442">
        <v>0</v>
      </c>
      <c r="Q2442">
        <v>0</v>
      </c>
      <c r="R2442">
        <v>45</v>
      </c>
      <c r="U2442">
        <v>0</v>
      </c>
      <c r="V2442">
        <v>0</v>
      </c>
      <c r="W2442" s="1">
        <v>44160</v>
      </c>
      <c r="X2442" t="s">
        <v>56</v>
      </c>
      <c r="AA2442" t="s">
        <v>40</v>
      </c>
      <c r="AE2442" t="s">
        <v>40</v>
      </c>
      <c r="AG2442" t="s">
        <v>40</v>
      </c>
      <c r="AJ2442" t="s">
        <v>40</v>
      </c>
      <c r="AK2442" t="s">
        <v>40</v>
      </c>
    </row>
    <row r="2443" spans="1:39" x14ac:dyDescent="0.3">
      <c r="A2443">
        <v>2020</v>
      </c>
      <c r="B2443">
        <v>9</v>
      </c>
      <c r="C2443" t="str">
        <f t="shared" si="76"/>
        <v>9/01/2020</v>
      </c>
      <c r="D2443" s="1" t="str">
        <f t="shared" si="77"/>
        <v>9/01/2020</v>
      </c>
      <c r="E2443" t="s">
        <v>37</v>
      </c>
      <c r="F2443" t="s">
        <v>53</v>
      </c>
      <c r="G2443" t="s">
        <v>41</v>
      </c>
      <c r="H2443">
        <v>369</v>
      </c>
      <c r="I2443">
        <v>174</v>
      </c>
      <c r="K2443">
        <v>19</v>
      </c>
      <c r="L2443">
        <v>0</v>
      </c>
      <c r="M2443">
        <v>0</v>
      </c>
      <c r="R2443">
        <v>88</v>
      </c>
      <c r="W2443" s="1">
        <v>44160</v>
      </c>
      <c r="X2443" t="s">
        <v>56</v>
      </c>
      <c r="AA2443" t="s">
        <v>40</v>
      </c>
      <c r="AE2443" t="s">
        <v>40</v>
      </c>
      <c r="AF2443" t="s">
        <v>40</v>
      </c>
      <c r="AG2443" t="s">
        <v>40</v>
      </c>
      <c r="AH2443" t="s">
        <v>40</v>
      </c>
      <c r="AJ2443" t="s">
        <v>40</v>
      </c>
      <c r="AK2443" t="s">
        <v>40</v>
      </c>
      <c r="AL2443" t="s">
        <v>40</v>
      </c>
      <c r="AM2443" t="s">
        <v>40</v>
      </c>
    </row>
    <row r="2444" spans="1:39" x14ac:dyDescent="0.3">
      <c r="A2444">
        <v>2020</v>
      </c>
      <c r="B2444">
        <v>9</v>
      </c>
      <c r="C2444" t="str">
        <f t="shared" si="76"/>
        <v>9/01/2020</v>
      </c>
      <c r="D2444" s="1" t="str">
        <f t="shared" si="77"/>
        <v>9/01/2020</v>
      </c>
      <c r="E2444" t="s">
        <v>37</v>
      </c>
      <c r="F2444" t="s">
        <v>53</v>
      </c>
      <c r="G2444" t="s">
        <v>42</v>
      </c>
      <c r="H2444">
        <v>907</v>
      </c>
      <c r="I2444">
        <v>507</v>
      </c>
      <c r="K2444">
        <v>80</v>
      </c>
      <c r="L2444">
        <v>15</v>
      </c>
      <c r="M2444">
        <v>0</v>
      </c>
      <c r="R2444">
        <v>172</v>
      </c>
      <c r="S2444">
        <v>50</v>
      </c>
      <c r="T2444">
        <v>20</v>
      </c>
      <c r="U2444">
        <v>13</v>
      </c>
      <c r="V2444">
        <v>12</v>
      </c>
      <c r="W2444" s="1">
        <v>44160</v>
      </c>
      <c r="X2444" t="s">
        <v>56</v>
      </c>
      <c r="AA2444" t="s">
        <v>40</v>
      </c>
      <c r="AE2444" t="s">
        <v>40</v>
      </c>
      <c r="AF2444" t="s">
        <v>40</v>
      </c>
      <c r="AG2444" t="s">
        <v>40</v>
      </c>
      <c r="AH2444" t="s">
        <v>40</v>
      </c>
    </row>
    <row r="2445" spans="1:39" x14ac:dyDescent="0.3">
      <c r="A2445">
        <v>2020</v>
      </c>
      <c r="B2445">
        <v>9</v>
      </c>
      <c r="C2445" t="str">
        <f t="shared" si="76"/>
        <v>9/01/2020</v>
      </c>
      <c r="D2445" s="1" t="str">
        <f t="shared" si="77"/>
        <v>9/01/2020</v>
      </c>
      <c r="E2445" t="s">
        <v>37</v>
      </c>
      <c r="F2445" t="s">
        <v>53</v>
      </c>
      <c r="G2445" t="s">
        <v>43</v>
      </c>
      <c r="H2445" s="2">
        <v>1588</v>
      </c>
      <c r="I2445" s="2">
        <v>1158</v>
      </c>
      <c r="J2445">
        <v>22</v>
      </c>
      <c r="K2445">
        <v>280</v>
      </c>
      <c r="L2445">
        <v>44</v>
      </c>
      <c r="M2445">
        <v>0</v>
      </c>
      <c r="N2445">
        <v>10</v>
      </c>
      <c r="O2445">
        <v>17</v>
      </c>
      <c r="P2445">
        <v>10</v>
      </c>
      <c r="R2445">
        <v>256</v>
      </c>
      <c r="S2445">
        <v>131</v>
      </c>
      <c r="T2445">
        <v>25</v>
      </c>
      <c r="U2445">
        <v>35</v>
      </c>
      <c r="V2445">
        <v>31</v>
      </c>
      <c r="W2445" s="1">
        <v>44160</v>
      </c>
      <c r="X2445" t="s">
        <v>56</v>
      </c>
      <c r="AH2445" t="s">
        <v>40</v>
      </c>
    </row>
    <row r="2446" spans="1:39" x14ac:dyDescent="0.3">
      <c r="A2446">
        <v>2020</v>
      </c>
      <c r="B2446">
        <v>9</v>
      </c>
      <c r="C2446" t="str">
        <f t="shared" si="76"/>
        <v>9/01/2020</v>
      </c>
      <c r="D2446" s="1" t="str">
        <f t="shared" si="77"/>
        <v>9/01/2020</v>
      </c>
      <c r="E2446" t="s">
        <v>37</v>
      </c>
      <c r="F2446" t="s">
        <v>53</v>
      </c>
      <c r="G2446" t="s">
        <v>44</v>
      </c>
      <c r="H2446" s="2">
        <v>3217</v>
      </c>
      <c r="I2446" s="2">
        <v>2771</v>
      </c>
      <c r="J2446">
        <v>46</v>
      </c>
      <c r="K2446">
        <v>854</v>
      </c>
      <c r="L2446">
        <v>98</v>
      </c>
      <c r="N2446">
        <v>28</v>
      </c>
      <c r="O2446">
        <v>96</v>
      </c>
      <c r="P2446">
        <v>31</v>
      </c>
      <c r="Q2446">
        <v>14</v>
      </c>
      <c r="R2446">
        <v>297</v>
      </c>
      <c r="S2446">
        <v>385</v>
      </c>
      <c r="T2446">
        <v>106</v>
      </c>
      <c r="U2446">
        <v>111</v>
      </c>
      <c r="V2446">
        <v>104</v>
      </c>
      <c r="W2446" s="1">
        <v>44160</v>
      </c>
      <c r="X2446" t="s">
        <v>56</v>
      </c>
      <c r="AD2446" t="s">
        <v>40</v>
      </c>
    </row>
    <row r="2447" spans="1:39" x14ac:dyDescent="0.3">
      <c r="A2447">
        <v>2020</v>
      </c>
      <c r="B2447">
        <v>9</v>
      </c>
      <c r="C2447" t="str">
        <f t="shared" si="76"/>
        <v>9/01/2020</v>
      </c>
      <c r="D2447" s="1" t="str">
        <f t="shared" si="77"/>
        <v>9/01/2020</v>
      </c>
      <c r="E2447" t="s">
        <v>37</v>
      </c>
      <c r="F2447" t="s">
        <v>53</v>
      </c>
      <c r="G2447" t="s">
        <v>45</v>
      </c>
      <c r="H2447">
        <v>66</v>
      </c>
      <c r="I2447">
        <v>41</v>
      </c>
      <c r="J2447">
        <v>0</v>
      </c>
      <c r="K2447">
        <v>13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10</v>
      </c>
      <c r="V2447">
        <v>0</v>
      </c>
      <c r="W2447" s="1">
        <v>44160</v>
      </c>
      <c r="X2447" t="s">
        <v>56</v>
      </c>
      <c r="AC2447" t="s">
        <v>40</v>
      </c>
      <c r="AJ2447" t="s">
        <v>40</v>
      </c>
      <c r="AK2447" t="s">
        <v>40</v>
      </c>
      <c r="AL2447" t="s">
        <v>40</v>
      </c>
    </row>
    <row r="2448" spans="1:39" x14ac:dyDescent="0.3">
      <c r="A2448">
        <v>2020</v>
      </c>
      <c r="B2448">
        <v>9</v>
      </c>
      <c r="C2448" t="str">
        <f t="shared" si="76"/>
        <v>9/01/2020</v>
      </c>
      <c r="D2448" s="1" t="str">
        <f t="shared" si="77"/>
        <v>9/01/2020</v>
      </c>
      <c r="E2448" t="s">
        <v>37</v>
      </c>
      <c r="F2448" t="s">
        <v>53</v>
      </c>
      <c r="G2448" t="s">
        <v>46</v>
      </c>
      <c r="H2448" s="2">
        <v>8390</v>
      </c>
      <c r="I2448" s="2">
        <v>7889</v>
      </c>
      <c r="J2448">
        <v>150</v>
      </c>
      <c r="K2448" s="2">
        <v>2805</v>
      </c>
      <c r="L2448">
        <v>262</v>
      </c>
      <c r="M2448">
        <v>48</v>
      </c>
      <c r="N2448">
        <v>78</v>
      </c>
      <c r="O2448">
        <v>514</v>
      </c>
      <c r="P2448">
        <v>112</v>
      </c>
      <c r="Q2448">
        <v>108</v>
      </c>
      <c r="R2448">
        <v>322</v>
      </c>
      <c r="S2448" s="2">
        <v>1267</v>
      </c>
      <c r="T2448">
        <v>257</v>
      </c>
      <c r="U2448">
        <v>330</v>
      </c>
      <c r="V2448">
        <v>291</v>
      </c>
      <c r="W2448" s="1">
        <v>44160</v>
      </c>
      <c r="X2448" t="s">
        <v>56</v>
      </c>
    </row>
    <row r="2449" spans="1:39" x14ac:dyDescent="0.3">
      <c r="A2449">
        <v>2020</v>
      </c>
      <c r="B2449">
        <v>9</v>
      </c>
      <c r="C2449" t="str">
        <f t="shared" si="76"/>
        <v>9/01/2020</v>
      </c>
      <c r="D2449" s="1" t="str">
        <f t="shared" si="77"/>
        <v>9/01/2020</v>
      </c>
      <c r="E2449" t="s">
        <v>37</v>
      </c>
      <c r="F2449" t="s">
        <v>53</v>
      </c>
      <c r="G2449" t="s">
        <v>47</v>
      </c>
      <c r="H2449" s="2">
        <v>15257</v>
      </c>
      <c r="I2449" s="2">
        <v>14807</v>
      </c>
      <c r="J2449">
        <v>239</v>
      </c>
      <c r="K2449" s="2">
        <v>4807</v>
      </c>
      <c r="L2449">
        <v>518</v>
      </c>
      <c r="M2449">
        <v>372</v>
      </c>
      <c r="N2449">
        <v>165</v>
      </c>
      <c r="O2449" s="2">
        <v>1111</v>
      </c>
      <c r="P2449">
        <v>246</v>
      </c>
      <c r="Q2449">
        <v>224</v>
      </c>
      <c r="R2449">
        <v>261</v>
      </c>
      <c r="S2449" s="2">
        <v>2567</v>
      </c>
      <c r="T2449">
        <v>643</v>
      </c>
      <c r="U2449">
        <v>935</v>
      </c>
      <c r="V2449">
        <v>817</v>
      </c>
      <c r="W2449" s="1">
        <v>44160</v>
      </c>
      <c r="X2449" t="s">
        <v>56</v>
      </c>
    </row>
    <row r="2450" spans="1:39" x14ac:dyDescent="0.3">
      <c r="A2450">
        <v>2020</v>
      </c>
      <c r="B2450">
        <v>9</v>
      </c>
      <c r="C2450" t="str">
        <f t="shared" si="76"/>
        <v>9/01/2020</v>
      </c>
      <c r="D2450" s="1" t="str">
        <f t="shared" si="77"/>
        <v>9/01/2020</v>
      </c>
      <c r="E2450" t="s">
        <v>37</v>
      </c>
      <c r="F2450" t="s">
        <v>53</v>
      </c>
      <c r="G2450" t="s">
        <v>48</v>
      </c>
      <c r="H2450" s="2">
        <v>22159</v>
      </c>
      <c r="I2450" s="2">
        <v>21556</v>
      </c>
      <c r="J2450">
        <v>298</v>
      </c>
      <c r="K2450" s="2">
        <v>4941</v>
      </c>
      <c r="L2450">
        <v>527</v>
      </c>
      <c r="M2450" s="2">
        <v>1444</v>
      </c>
      <c r="N2450">
        <v>283</v>
      </c>
      <c r="O2450" s="2">
        <v>1545</v>
      </c>
      <c r="P2450">
        <v>337</v>
      </c>
      <c r="Q2450">
        <v>330</v>
      </c>
      <c r="R2450">
        <v>262</v>
      </c>
      <c r="S2450" s="2">
        <v>4174</v>
      </c>
      <c r="T2450" s="2">
        <v>1334</v>
      </c>
      <c r="U2450" s="2">
        <v>1472</v>
      </c>
      <c r="V2450" s="2">
        <v>1265</v>
      </c>
      <c r="W2450" s="1">
        <v>44160</v>
      </c>
      <c r="X2450" t="s">
        <v>56</v>
      </c>
    </row>
    <row r="2451" spans="1:39" x14ac:dyDescent="0.3">
      <c r="A2451">
        <v>2020</v>
      </c>
      <c r="B2451">
        <v>9</v>
      </c>
      <c r="C2451" t="str">
        <f t="shared" si="76"/>
        <v>9/01/2020</v>
      </c>
      <c r="D2451" s="1" t="str">
        <f t="shared" si="77"/>
        <v>9/01/2020</v>
      </c>
      <c r="E2451" t="s">
        <v>37</v>
      </c>
      <c r="F2451" t="s">
        <v>53</v>
      </c>
      <c r="G2451" t="s">
        <v>49</v>
      </c>
      <c r="H2451" s="2">
        <v>36189</v>
      </c>
      <c r="I2451" s="2">
        <v>35091</v>
      </c>
      <c r="J2451">
        <v>303</v>
      </c>
      <c r="K2451" s="2">
        <v>3431</v>
      </c>
      <c r="L2451">
        <v>565</v>
      </c>
      <c r="M2451" s="2">
        <v>3845</v>
      </c>
      <c r="N2451">
        <v>429</v>
      </c>
      <c r="O2451" s="2">
        <v>1457</v>
      </c>
      <c r="P2451">
        <v>408</v>
      </c>
      <c r="Q2451">
        <v>496</v>
      </c>
      <c r="R2451">
        <v>583</v>
      </c>
      <c r="S2451" s="2">
        <v>9252</v>
      </c>
      <c r="T2451" s="2">
        <v>2785</v>
      </c>
      <c r="U2451" s="2">
        <v>2301</v>
      </c>
      <c r="V2451" s="2">
        <v>1873</v>
      </c>
      <c r="W2451" s="1">
        <v>44160</v>
      </c>
      <c r="X2451" t="s">
        <v>56</v>
      </c>
    </row>
    <row r="2452" spans="1:39" x14ac:dyDescent="0.3">
      <c r="A2452">
        <v>2020</v>
      </c>
      <c r="B2452">
        <v>9</v>
      </c>
      <c r="C2452" t="str">
        <f t="shared" si="76"/>
        <v>9/01/2020</v>
      </c>
      <c r="D2452" s="1" t="str">
        <f t="shared" si="77"/>
        <v>9/01/2020</v>
      </c>
      <c r="E2452" t="s">
        <v>37</v>
      </c>
      <c r="F2452" t="s">
        <v>54</v>
      </c>
      <c r="G2452" t="s">
        <v>39</v>
      </c>
      <c r="H2452">
        <v>28</v>
      </c>
      <c r="I2452">
        <v>26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10</v>
      </c>
      <c r="S2452">
        <v>0</v>
      </c>
      <c r="T2452">
        <v>0</v>
      </c>
      <c r="U2452">
        <v>0</v>
      </c>
      <c r="V2452">
        <v>0</v>
      </c>
      <c r="W2452" s="1">
        <v>44160</v>
      </c>
      <c r="X2452" t="s">
        <v>56</v>
      </c>
    </row>
    <row r="2453" spans="1:39" x14ac:dyDescent="0.3">
      <c r="A2453">
        <v>2020</v>
      </c>
      <c r="B2453">
        <v>9</v>
      </c>
      <c r="C2453" t="str">
        <f t="shared" si="76"/>
        <v>9/01/2020</v>
      </c>
      <c r="D2453" s="1" t="str">
        <f t="shared" si="77"/>
        <v>9/01/2020</v>
      </c>
      <c r="E2453" t="s">
        <v>37</v>
      </c>
      <c r="F2453" t="s">
        <v>54</v>
      </c>
      <c r="G2453" t="s">
        <v>41</v>
      </c>
      <c r="H2453">
        <v>25</v>
      </c>
      <c r="I2453">
        <v>13</v>
      </c>
      <c r="J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S2453">
        <v>0</v>
      </c>
      <c r="T2453">
        <v>0</v>
      </c>
      <c r="U2453">
        <v>0</v>
      </c>
      <c r="V2453">
        <v>0</v>
      </c>
      <c r="W2453" s="1">
        <v>44160</v>
      </c>
      <c r="X2453" t="s">
        <v>56</v>
      </c>
      <c r="AB2453" t="s">
        <v>40</v>
      </c>
      <c r="AI2453" t="s">
        <v>40</v>
      </c>
    </row>
    <row r="2454" spans="1:39" x14ac:dyDescent="0.3">
      <c r="A2454">
        <v>2020</v>
      </c>
      <c r="B2454">
        <v>9</v>
      </c>
      <c r="C2454" t="str">
        <f t="shared" si="76"/>
        <v>9/01/2020</v>
      </c>
      <c r="D2454" s="1" t="str">
        <f t="shared" si="77"/>
        <v>9/01/2020</v>
      </c>
      <c r="E2454" t="s">
        <v>37</v>
      </c>
      <c r="F2454" t="s">
        <v>54</v>
      </c>
      <c r="G2454" t="s">
        <v>42</v>
      </c>
      <c r="H2454">
        <v>39</v>
      </c>
      <c r="I2454">
        <v>27</v>
      </c>
      <c r="J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T2454">
        <v>0</v>
      </c>
      <c r="W2454" s="1">
        <v>44160</v>
      </c>
      <c r="X2454" t="s">
        <v>56</v>
      </c>
      <c r="AB2454" t="s">
        <v>40</v>
      </c>
      <c r="AC2454" t="s">
        <v>40</v>
      </c>
      <c r="AI2454" t="s">
        <v>40</v>
      </c>
      <c r="AJ2454" t="s">
        <v>40</v>
      </c>
      <c r="AL2454" t="s">
        <v>40</v>
      </c>
      <c r="AM2454" t="s">
        <v>40</v>
      </c>
    </row>
    <row r="2455" spans="1:39" x14ac:dyDescent="0.3">
      <c r="A2455">
        <v>2020</v>
      </c>
      <c r="B2455">
        <v>9</v>
      </c>
      <c r="C2455" t="str">
        <f t="shared" si="76"/>
        <v>9/01/2020</v>
      </c>
      <c r="D2455" s="1" t="str">
        <f t="shared" si="77"/>
        <v>9/01/2020</v>
      </c>
      <c r="E2455" t="s">
        <v>37</v>
      </c>
      <c r="F2455" t="s">
        <v>54</v>
      </c>
      <c r="G2455" t="s">
        <v>43</v>
      </c>
      <c r="H2455">
        <v>53</v>
      </c>
      <c r="I2455">
        <v>44</v>
      </c>
      <c r="J2455">
        <v>0</v>
      </c>
      <c r="M2455">
        <v>0</v>
      </c>
      <c r="O2455">
        <v>0</v>
      </c>
      <c r="Q2455">
        <v>0</v>
      </c>
      <c r="R2455">
        <v>14</v>
      </c>
      <c r="W2455" s="1">
        <v>44160</v>
      </c>
      <c r="X2455" t="s">
        <v>56</v>
      </c>
      <c r="AB2455" t="s">
        <v>40</v>
      </c>
      <c r="AC2455" t="s">
        <v>40</v>
      </c>
      <c r="AE2455" t="s">
        <v>40</v>
      </c>
      <c r="AG2455" t="s">
        <v>40</v>
      </c>
      <c r="AJ2455" t="s">
        <v>40</v>
      </c>
      <c r="AK2455" t="s">
        <v>40</v>
      </c>
      <c r="AL2455" t="s">
        <v>40</v>
      </c>
      <c r="AM2455" t="s">
        <v>40</v>
      </c>
    </row>
    <row r="2456" spans="1:39" x14ac:dyDescent="0.3">
      <c r="A2456">
        <v>2020</v>
      </c>
      <c r="B2456">
        <v>9</v>
      </c>
      <c r="C2456" t="str">
        <f t="shared" si="76"/>
        <v>9/01/2020</v>
      </c>
      <c r="D2456" s="1" t="str">
        <f t="shared" si="77"/>
        <v>9/01/2020</v>
      </c>
      <c r="E2456" t="s">
        <v>37</v>
      </c>
      <c r="F2456" t="s">
        <v>54</v>
      </c>
      <c r="G2456" t="s">
        <v>44</v>
      </c>
      <c r="H2456">
        <v>84</v>
      </c>
      <c r="I2456">
        <v>72</v>
      </c>
      <c r="K2456">
        <v>21</v>
      </c>
      <c r="M2456">
        <v>0</v>
      </c>
      <c r="N2456">
        <v>0</v>
      </c>
      <c r="Q2456">
        <v>0</v>
      </c>
      <c r="S2456">
        <v>12</v>
      </c>
      <c r="W2456" s="1">
        <v>44160</v>
      </c>
      <c r="X2456" t="s">
        <v>56</v>
      </c>
      <c r="AA2456" t="s">
        <v>40</v>
      </c>
      <c r="AC2456" t="s">
        <v>40</v>
      </c>
      <c r="AF2456" t="s">
        <v>40</v>
      </c>
      <c r="AG2456" t="s">
        <v>40</v>
      </c>
      <c r="AI2456" t="s">
        <v>40</v>
      </c>
      <c r="AK2456" t="s">
        <v>40</v>
      </c>
      <c r="AL2456" t="s">
        <v>40</v>
      </c>
      <c r="AM2456" t="s">
        <v>40</v>
      </c>
    </row>
    <row r="2457" spans="1:39" x14ac:dyDescent="0.3">
      <c r="A2457">
        <v>2020</v>
      </c>
      <c r="B2457">
        <v>9</v>
      </c>
      <c r="C2457" t="str">
        <f t="shared" si="76"/>
        <v>9/01/2020</v>
      </c>
      <c r="D2457" s="1" t="str">
        <f t="shared" si="77"/>
        <v>9/01/2020</v>
      </c>
      <c r="E2457" t="s">
        <v>37</v>
      </c>
      <c r="F2457" t="s">
        <v>54</v>
      </c>
      <c r="G2457" t="s">
        <v>45</v>
      </c>
      <c r="J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S2457">
        <v>0</v>
      </c>
      <c r="T2457">
        <v>0</v>
      </c>
      <c r="U2457">
        <v>0</v>
      </c>
      <c r="V2457">
        <v>0</v>
      </c>
      <c r="W2457" s="1">
        <v>44160</v>
      </c>
      <c r="X2457" t="s">
        <v>56</v>
      </c>
      <c r="Y2457" t="s">
        <v>40</v>
      </c>
      <c r="Z2457" t="s">
        <v>40</v>
      </c>
      <c r="AB2457" t="s">
        <v>40</v>
      </c>
      <c r="AI2457" t="s">
        <v>40</v>
      </c>
    </row>
    <row r="2458" spans="1:39" x14ac:dyDescent="0.3">
      <c r="A2458">
        <v>2020</v>
      </c>
      <c r="B2458">
        <v>9</v>
      </c>
      <c r="C2458" t="str">
        <f t="shared" si="76"/>
        <v>9/01/2020</v>
      </c>
      <c r="D2458" s="1" t="str">
        <f t="shared" si="77"/>
        <v>9/01/2020</v>
      </c>
      <c r="E2458" t="s">
        <v>37</v>
      </c>
      <c r="F2458" t="s">
        <v>54</v>
      </c>
      <c r="G2458" t="s">
        <v>46</v>
      </c>
      <c r="H2458">
        <v>141</v>
      </c>
      <c r="I2458">
        <v>134</v>
      </c>
      <c r="K2458">
        <v>36</v>
      </c>
      <c r="R2458">
        <v>11</v>
      </c>
      <c r="S2458">
        <v>22</v>
      </c>
      <c r="U2458">
        <v>12</v>
      </c>
      <c r="V2458">
        <v>12</v>
      </c>
      <c r="W2458" s="1">
        <v>44160</v>
      </c>
      <c r="X2458" t="s">
        <v>56</v>
      </c>
      <c r="AA2458" t="s">
        <v>40</v>
      </c>
      <c r="AC2458" t="s">
        <v>40</v>
      </c>
      <c r="AD2458" t="s">
        <v>40</v>
      </c>
      <c r="AE2458" t="s">
        <v>40</v>
      </c>
      <c r="AF2458" t="s">
        <v>40</v>
      </c>
      <c r="AG2458" t="s">
        <v>40</v>
      </c>
      <c r="AH2458" t="s">
        <v>40</v>
      </c>
      <c r="AK2458" t="s">
        <v>40</v>
      </c>
    </row>
    <row r="2459" spans="1:39" x14ac:dyDescent="0.3">
      <c r="A2459">
        <v>2020</v>
      </c>
      <c r="B2459">
        <v>9</v>
      </c>
      <c r="C2459" t="str">
        <f t="shared" si="76"/>
        <v>9/01/2020</v>
      </c>
      <c r="D2459" s="1" t="str">
        <f t="shared" si="77"/>
        <v>9/01/2020</v>
      </c>
      <c r="E2459" t="s">
        <v>37</v>
      </c>
      <c r="F2459" t="s">
        <v>54</v>
      </c>
      <c r="G2459" t="s">
        <v>47</v>
      </c>
      <c r="H2459">
        <v>194</v>
      </c>
      <c r="I2459">
        <v>189</v>
      </c>
      <c r="J2459">
        <v>0</v>
      </c>
      <c r="K2459">
        <v>57</v>
      </c>
      <c r="O2459">
        <v>11</v>
      </c>
      <c r="S2459">
        <v>35</v>
      </c>
      <c r="U2459">
        <v>22</v>
      </c>
      <c r="V2459">
        <v>20</v>
      </c>
      <c r="W2459" s="1">
        <v>44160</v>
      </c>
      <c r="X2459" t="s">
        <v>56</v>
      </c>
      <c r="AC2459" t="s">
        <v>40</v>
      </c>
      <c r="AD2459" t="s">
        <v>40</v>
      </c>
      <c r="AE2459" t="s">
        <v>40</v>
      </c>
      <c r="AG2459" t="s">
        <v>40</v>
      </c>
      <c r="AH2459" t="s">
        <v>40</v>
      </c>
      <c r="AI2459" t="s">
        <v>40</v>
      </c>
      <c r="AK2459" t="s">
        <v>40</v>
      </c>
    </row>
    <row r="2460" spans="1:39" x14ac:dyDescent="0.3">
      <c r="A2460">
        <v>2020</v>
      </c>
      <c r="B2460">
        <v>9</v>
      </c>
      <c r="C2460" t="str">
        <f t="shared" si="76"/>
        <v>9/01/2020</v>
      </c>
      <c r="D2460" s="1" t="str">
        <f t="shared" si="77"/>
        <v>9/01/2020</v>
      </c>
      <c r="E2460" t="s">
        <v>37</v>
      </c>
      <c r="F2460" t="s">
        <v>54</v>
      </c>
      <c r="G2460" t="s">
        <v>48</v>
      </c>
      <c r="H2460">
        <v>201</v>
      </c>
      <c r="I2460">
        <v>194</v>
      </c>
      <c r="K2460">
        <v>43</v>
      </c>
      <c r="S2460">
        <v>43</v>
      </c>
      <c r="T2460">
        <v>13</v>
      </c>
      <c r="U2460">
        <v>14</v>
      </c>
      <c r="V2460">
        <v>12</v>
      </c>
      <c r="W2460" s="1">
        <v>44160</v>
      </c>
      <c r="X2460" t="s">
        <v>56</v>
      </c>
      <c r="AA2460" t="s">
        <v>40</v>
      </c>
      <c r="AC2460" t="s">
        <v>40</v>
      </c>
      <c r="AD2460" t="s">
        <v>40</v>
      </c>
      <c r="AE2460" t="s">
        <v>40</v>
      </c>
      <c r="AF2460" t="s">
        <v>40</v>
      </c>
      <c r="AG2460" t="s">
        <v>40</v>
      </c>
      <c r="AH2460" t="s">
        <v>40</v>
      </c>
      <c r="AI2460" t="s">
        <v>40</v>
      </c>
    </row>
    <row r="2461" spans="1:39" x14ac:dyDescent="0.3">
      <c r="A2461">
        <v>2020</v>
      </c>
      <c r="B2461">
        <v>9</v>
      </c>
      <c r="C2461" t="str">
        <f t="shared" si="76"/>
        <v>9/01/2020</v>
      </c>
      <c r="D2461" s="1" t="str">
        <f t="shared" si="77"/>
        <v>9/01/2020</v>
      </c>
      <c r="E2461" t="s">
        <v>37</v>
      </c>
      <c r="F2461" t="s">
        <v>54</v>
      </c>
      <c r="G2461" t="s">
        <v>49</v>
      </c>
      <c r="H2461">
        <v>283</v>
      </c>
      <c r="I2461">
        <v>271</v>
      </c>
      <c r="K2461">
        <v>21</v>
      </c>
      <c r="L2461">
        <v>10</v>
      </c>
      <c r="M2461">
        <v>31</v>
      </c>
      <c r="S2461">
        <v>63</v>
      </c>
      <c r="T2461">
        <v>19</v>
      </c>
      <c r="U2461">
        <v>10</v>
      </c>
      <c r="W2461" s="1">
        <v>44160</v>
      </c>
      <c r="X2461" t="s">
        <v>56</v>
      </c>
      <c r="AA2461" t="s">
        <v>40</v>
      </c>
      <c r="AE2461" t="s">
        <v>40</v>
      </c>
      <c r="AF2461" t="s">
        <v>40</v>
      </c>
      <c r="AG2461" t="s">
        <v>40</v>
      </c>
      <c r="AH2461" t="s">
        <v>40</v>
      </c>
      <c r="AI2461" t="s">
        <v>40</v>
      </c>
      <c r="AM2461" t="s">
        <v>40</v>
      </c>
    </row>
    <row r="2462" spans="1:39" x14ac:dyDescent="0.3">
      <c r="A2462">
        <v>2020</v>
      </c>
      <c r="B2462">
        <v>9</v>
      </c>
      <c r="C2462" t="str">
        <f t="shared" si="76"/>
        <v>9/01/2020</v>
      </c>
      <c r="D2462" s="1" t="str">
        <f t="shared" si="77"/>
        <v>9/01/2020</v>
      </c>
      <c r="E2462" t="s">
        <v>55</v>
      </c>
      <c r="F2462" t="s">
        <v>38</v>
      </c>
      <c r="G2462" t="s">
        <v>39</v>
      </c>
      <c r="H2462">
        <v>234</v>
      </c>
      <c r="I2462">
        <v>215</v>
      </c>
      <c r="J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R2462">
        <v>30</v>
      </c>
      <c r="U2462">
        <v>0</v>
      </c>
      <c r="V2462">
        <v>0</v>
      </c>
      <c r="W2462" s="1">
        <v>44160</v>
      </c>
      <c r="X2462" t="s">
        <v>56</v>
      </c>
      <c r="AB2462" t="s">
        <v>40</v>
      </c>
      <c r="AH2462" t="s">
        <v>40</v>
      </c>
      <c r="AJ2462" t="s">
        <v>40</v>
      </c>
      <c r="AK2462" t="s">
        <v>40</v>
      </c>
    </row>
    <row r="2463" spans="1:39" x14ac:dyDescent="0.3">
      <c r="A2463">
        <v>2020</v>
      </c>
      <c r="B2463">
        <v>9</v>
      </c>
      <c r="C2463" t="str">
        <f t="shared" si="76"/>
        <v>9/01/2020</v>
      </c>
      <c r="D2463" s="1" t="str">
        <f t="shared" si="77"/>
        <v>9/01/2020</v>
      </c>
      <c r="E2463" t="s">
        <v>55</v>
      </c>
      <c r="F2463" t="s">
        <v>38</v>
      </c>
      <c r="G2463" t="s">
        <v>41</v>
      </c>
      <c r="H2463">
        <v>532</v>
      </c>
      <c r="I2463">
        <v>157</v>
      </c>
      <c r="J2463">
        <v>0</v>
      </c>
      <c r="K2463">
        <v>20</v>
      </c>
      <c r="L2463">
        <v>0</v>
      </c>
      <c r="M2463">
        <v>0</v>
      </c>
      <c r="O2463">
        <v>0</v>
      </c>
      <c r="Q2463">
        <v>0</v>
      </c>
      <c r="R2463">
        <v>98</v>
      </c>
      <c r="W2463" s="1">
        <v>44160</v>
      </c>
      <c r="X2463" t="s">
        <v>56</v>
      </c>
      <c r="AE2463" t="s">
        <v>40</v>
      </c>
      <c r="AG2463" t="s">
        <v>40</v>
      </c>
      <c r="AJ2463" t="s">
        <v>40</v>
      </c>
      <c r="AK2463" t="s">
        <v>40</v>
      </c>
      <c r="AL2463" t="s">
        <v>40</v>
      </c>
      <c r="AM2463" t="s">
        <v>40</v>
      </c>
    </row>
    <row r="2464" spans="1:39" x14ac:dyDescent="0.3">
      <c r="A2464">
        <v>2020</v>
      </c>
      <c r="B2464">
        <v>9</v>
      </c>
      <c r="C2464" t="str">
        <f t="shared" si="76"/>
        <v>9/01/2020</v>
      </c>
      <c r="D2464" s="1" t="str">
        <f t="shared" si="77"/>
        <v>9/01/2020</v>
      </c>
      <c r="E2464" t="s">
        <v>55</v>
      </c>
      <c r="F2464" t="s">
        <v>38</v>
      </c>
      <c r="G2464" t="s">
        <v>42</v>
      </c>
      <c r="H2464">
        <v>760</v>
      </c>
      <c r="I2464">
        <v>342</v>
      </c>
      <c r="K2464">
        <v>34</v>
      </c>
      <c r="M2464">
        <v>0</v>
      </c>
      <c r="R2464">
        <v>155</v>
      </c>
      <c r="S2464">
        <v>19</v>
      </c>
      <c r="U2464">
        <v>39</v>
      </c>
      <c r="V2464">
        <v>32</v>
      </c>
      <c r="W2464" s="1">
        <v>44160</v>
      </c>
      <c r="X2464" t="s">
        <v>56</v>
      </c>
      <c r="AA2464" t="s">
        <v>40</v>
      </c>
      <c r="AC2464" t="s">
        <v>40</v>
      </c>
      <c r="AE2464" t="s">
        <v>40</v>
      </c>
      <c r="AF2464" t="s">
        <v>40</v>
      </c>
      <c r="AG2464" t="s">
        <v>40</v>
      </c>
      <c r="AH2464" t="s">
        <v>40</v>
      </c>
      <c r="AK2464" t="s">
        <v>40</v>
      </c>
    </row>
    <row r="2465" spans="1:39" x14ac:dyDescent="0.3">
      <c r="A2465">
        <v>2020</v>
      </c>
      <c r="B2465">
        <v>9</v>
      </c>
      <c r="C2465" t="str">
        <f t="shared" si="76"/>
        <v>9/01/2020</v>
      </c>
      <c r="D2465" s="1" t="str">
        <f t="shared" si="77"/>
        <v>9/01/2020</v>
      </c>
      <c r="E2465" t="s">
        <v>55</v>
      </c>
      <c r="F2465" t="s">
        <v>38</v>
      </c>
      <c r="G2465" t="s">
        <v>43</v>
      </c>
      <c r="H2465">
        <v>898</v>
      </c>
      <c r="I2465">
        <v>603</v>
      </c>
      <c r="K2465">
        <v>54</v>
      </c>
      <c r="L2465">
        <v>12</v>
      </c>
      <c r="M2465">
        <v>0</v>
      </c>
      <c r="R2465">
        <v>168</v>
      </c>
      <c r="S2465">
        <v>68</v>
      </c>
      <c r="T2465">
        <v>24</v>
      </c>
      <c r="U2465">
        <v>95</v>
      </c>
      <c r="V2465">
        <v>88</v>
      </c>
      <c r="W2465" s="1">
        <v>44160</v>
      </c>
      <c r="X2465" t="s">
        <v>56</v>
      </c>
      <c r="AA2465" t="s">
        <v>40</v>
      </c>
      <c r="AE2465" t="s">
        <v>40</v>
      </c>
      <c r="AF2465" t="s">
        <v>40</v>
      </c>
      <c r="AG2465" t="s">
        <v>40</v>
      </c>
      <c r="AH2465" t="s">
        <v>40</v>
      </c>
    </row>
    <row r="2466" spans="1:39" x14ac:dyDescent="0.3">
      <c r="A2466">
        <v>2020</v>
      </c>
      <c r="B2466">
        <v>9</v>
      </c>
      <c r="C2466" t="str">
        <f t="shared" si="76"/>
        <v>9/01/2020</v>
      </c>
      <c r="D2466" s="1" t="str">
        <f t="shared" si="77"/>
        <v>9/01/2020</v>
      </c>
      <c r="E2466" t="s">
        <v>55</v>
      </c>
      <c r="F2466" t="s">
        <v>38</v>
      </c>
      <c r="G2466" t="s">
        <v>44</v>
      </c>
      <c r="H2466" s="2">
        <v>1397</v>
      </c>
      <c r="I2466" s="2">
        <v>1160</v>
      </c>
      <c r="J2466">
        <v>19</v>
      </c>
      <c r="K2466">
        <v>167</v>
      </c>
      <c r="L2466">
        <v>53</v>
      </c>
      <c r="N2466">
        <v>12</v>
      </c>
      <c r="Q2466">
        <v>14</v>
      </c>
      <c r="R2466">
        <v>130</v>
      </c>
      <c r="S2466">
        <v>173</v>
      </c>
      <c r="T2466">
        <v>46</v>
      </c>
      <c r="U2466">
        <v>277</v>
      </c>
      <c r="V2466">
        <v>257</v>
      </c>
      <c r="W2466" s="1">
        <v>44160</v>
      </c>
      <c r="X2466" t="s">
        <v>56</v>
      </c>
      <c r="AD2466" t="s">
        <v>40</v>
      </c>
      <c r="AF2466" t="s">
        <v>40</v>
      </c>
      <c r="AG2466" t="s">
        <v>40</v>
      </c>
    </row>
    <row r="2467" spans="1:39" x14ac:dyDescent="0.3">
      <c r="A2467">
        <v>2020</v>
      </c>
      <c r="B2467">
        <v>9</v>
      </c>
      <c r="C2467" t="str">
        <f t="shared" si="76"/>
        <v>9/01/2020</v>
      </c>
      <c r="D2467" s="1" t="str">
        <f t="shared" si="77"/>
        <v>9/01/2020</v>
      </c>
      <c r="E2467" t="s">
        <v>55</v>
      </c>
      <c r="F2467" t="s">
        <v>38</v>
      </c>
      <c r="G2467" t="s">
        <v>45</v>
      </c>
      <c r="H2467">
        <v>76</v>
      </c>
      <c r="I2467">
        <v>41</v>
      </c>
      <c r="J2467">
        <v>0</v>
      </c>
      <c r="K2467">
        <v>14</v>
      </c>
      <c r="L2467">
        <v>0</v>
      </c>
      <c r="M2467">
        <v>0</v>
      </c>
      <c r="N2467">
        <v>0</v>
      </c>
      <c r="O2467">
        <v>0</v>
      </c>
      <c r="Q2467">
        <v>0</v>
      </c>
      <c r="R2467">
        <v>10</v>
      </c>
      <c r="U2467">
        <v>0</v>
      </c>
      <c r="V2467">
        <v>0</v>
      </c>
      <c r="W2467" s="1">
        <v>44160</v>
      </c>
      <c r="X2467" t="s">
        <v>56</v>
      </c>
      <c r="AG2467" t="s">
        <v>40</v>
      </c>
      <c r="AJ2467" t="s">
        <v>40</v>
      </c>
      <c r="AK2467" t="s">
        <v>40</v>
      </c>
    </row>
    <row r="2468" spans="1:39" x14ac:dyDescent="0.3">
      <c r="A2468">
        <v>2020</v>
      </c>
      <c r="B2468">
        <v>9</v>
      </c>
      <c r="C2468" t="str">
        <f t="shared" si="76"/>
        <v>9/01/2020</v>
      </c>
      <c r="D2468" s="1" t="str">
        <f t="shared" si="77"/>
        <v>9/01/2020</v>
      </c>
      <c r="E2468" t="s">
        <v>55</v>
      </c>
      <c r="F2468" t="s">
        <v>38</v>
      </c>
      <c r="G2468" t="s">
        <v>46</v>
      </c>
      <c r="H2468" s="2">
        <v>2221</v>
      </c>
      <c r="I2468" s="2">
        <v>2043</v>
      </c>
      <c r="J2468">
        <v>28</v>
      </c>
      <c r="K2468">
        <v>380</v>
      </c>
      <c r="L2468">
        <v>113</v>
      </c>
      <c r="N2468">
        <v>25</v>
      </c>
      <c r="O2468">
        <v>15</v>
      </c>
      <c r="P2468">
        <v>24</v>
      </c>
      <c r="Q2468">
        <v>36</v>
      </c>
      <c r="R2468">
        <v>124</v>
      </c>
      <c r="S2468">
        <v>338</v>
      </c>
      <c r="T2468">
        <v>71</v>
      </c>
      <c r="U2468">
        <v>506</v>
      </c>
      <c r="V2468">
        <v>482</v>
      </c>
      <c r="W2468" s="1">
        <v>44160</v>
      </c>
      <c r="X2468" t="s">
        <v>56</v>
      </c>
      <c r="AD2468" t="s">
        <v>40</v>
      </c>
    </row>
    <row r="2469" spans="1:39" x14ac:dyDescent="0.3">
      <c r="A2469">
        <v>2020</v>
      </c>
      <c r="B2469">
        <v>9</v>
      </c>
      <c r="C2469" t="str">
        <f t="shared" si="76"/>
        <v>9/01/2020</v>
      </c>
      <c r="D2469" s="1" t="str">
        <f t="shared" si="77"/>
        <v>9/01/2020</v>
      </c>
      <c r="E2469" t="s">
        <v>55</v>
      </c>
      <c r="F2469" t="s">
        <v>38</v>
      </c>
      <c r="G2469" t="s">
        <v>47</v>
      </c>
      <c r="H2469" s="2">
        <v>2427</v>
      </c>
      <c r="I2469" s="2">
        <v>2352</v>
      </c>
      <c r="J2469">
        <v>25</v>
      </c>
      <c r="K2469">
        <v>489</v>
      </c>
      <c r="L2469">
        <v>132</v>
      </c>
      <c r="M2469">
        <v>17</v>
      </c>
      <c r="N2469">
        <v>35</v>
      </c>
      <c r="O2469">
        <v>35</v>
      </c>
      <c r="P2469">
        <v>41</v>
      </c>
      <c r="Q2469">
        <v>39</v>
      </c>
      <c r="R2469">
        <v>29</v>
      </c>
      <c r="S2469">
        <v>475</v>
      </c>
      <c r="T2469">
        <v>100</v>
      </c>
      <c r="U2469">
        <v>567</v>
      </c>
      <c r="V2469">
        <v>537</v>
      </c>
      <c r="W2469" s="1">
        <v>44160</v>
      </c>
      <c r="X2469" t="s">
        <v>56</v>
      </c>
    </row>
    <row r="2470" spans="1:39" x14ac:dyDescent="0.3">
      <c r="A2470">
        <v>2020</v>
      </c>
      <c r="B2470">
        <v>9</v>
      </c>
      <c r="C2470" t="str">
        <f t="shared" si="76"/>
        <v>9/01/2020</v>
      </c>
      <c r="D2470" s="1" t="str">
        <f t="shared" si="77"/>
        <v>9/01/2020</v>
      </c>
      <c r="E2470" t="s">
        <v>55</v>
      </c>
      <c r="F2470" t="s">
        <v>38</v>
      </c>
      <c r="G2470" t="s">
        <v>48</v>
      </c>
      <c r="H2470" s="2">
        <v>2190</v>
      </c>
      <c r="I2470" s="2">
        <v>2143</v>
      </c>
      <c r="J2470">
        <v>27</v>
      </c>
      <c r="K2470">
        <v>392</v>
      </c>
      <c r="L2470">
        <v>108</v>
      </c>
      <c r="M2470">
        <v>74</v>
      </c>
      <c r="N2470">
        <v>32</v>
      </c>
      <c r="O2470">
        <v>63</v>
      </c>
      <c r="P2470">
        <v>36</v>
      </c>
      <c r="Q2470">
        <v>40</v>
      </c>
      <c r="R2470">
        <v>22</v>
      </c>
      <c r="S2470">
        <v>427</v>
      </c>
      <c r="T2470">
        <v>124</v>
      </c>
      <c r="U2470">
        <v>418</v>
      </c>
      <c r="V2470">
        <v>385</v>
      </c>
      <c r="W2470" s="1">
        <v>44160</v>
      </c>
      <c r="X2470" t="s">
        <v>56</v>
      </c>
    </row>
    <row r="2471" spans="1:39" x14ac:dyDescent="0.3">
      <c r="A2471">
        <v>2020</v>
      </c>
      <c r="B2471">
        <v>9</v>
      </c>
      <c r="C2471" t="str">
        <f t="shared" si="76"/>
        <v>9/01/2020</v>
      </c>
      <c r="D2471" s="1" t="str">
        <f t="shared" si="77"/>
        <v>9/01/2020</v>
      </c>
      <c r="E2471" t="s">
        <v>55</v>
      </c>
      <c r="F2471" t="s">
        <v>38</v>
      </c>
      <c r="G2471" t="s">
        <v>49</v>
      </c>
      <c r="H2471" s="2">
        <v>1756</v>
      </c>
      <c r="I2471" s="2">
        <v>1711</v>
      </c>
      <c r="J2471">
        <v>25</v>
      </c>
      <c r="K2471">
        <v>191</v>
      </c>
      <c r="L2471">
        <v>68</v>
      </c>
      <c r="M2471">
        <v>120</v>
      </c>
      <c r="N2471">
        <v>35</v>
      </c>
      <c r="O2471">
        <v>57</v>
      </c>
      <c r="P2471">
        <v>29</v>
      </c>
      <c r="Q2471">
        <v>32</v>
      </c>
      <c r="R2471">
        <v>20</v>
      </c>
      <c r="S2471">
        <v>432</v>
      </c>
      <c r="T2471">
        <v>140</v>
      </c>
      <c r="U2471">
        <v>243</v>
      </c>
      <c r="V2471">
        <v>217</v>
      </c>
      <c r="W2471" s="1">
        <v>44160</v>
      </c>
      <c r="X2471" t="s">
        <v>56</v>
      </c>
    </row>
    <row r="2472" spans="1:39" x14ac:dyDescent="0.3">
      <c r="A2472">
        <v>2020</v>
      </c>
      <c r="B2472">
        <v>9</v>
      </c>
      <c r="C2472" t="str">
        <f t="shared" si="76"/>
        <v>9/01/2020</v>
      </c>
      <c r="D2472" s="1" t="str">
        <f t="shared" si="77"/>
        <v>9/01/2020</v>
      </c>
      <c r="E2472" t="s">
        <v>55</v>
      </c>
      <c r="F2472" t="s">
        <v>50</v>
      </c>
      <c r="G2472" t="s">
        <v>39</v>
      </c>
      <c r="J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S2472">
        <v>0</v>
      </c>
      <c r="T2472">
        <v>0</v>
      </c>
      <c r="U2472">
        <v>0</v>
      </c>
      <c r="V2472">
        <v>0</v>
      </c>
      <c r="W2472" s="1">
        <v>44160</v>
      </c>
      <c r="X2472" t="s">
        <v>56</v>
      </c>
      <c r="Y2472" t="s">
        <v>40</v>
      </c>
      <c r="Z2472" t="s">
        <v>40</v>
      </c>
      <c r="AB2472" t="s">
        <v>40</v>
      </c>
      <c r="AI2472" t="s">
        <v>40</v>
      </c>
    </row>
    <row r="2473" spans="1:39" x14ac:dyDescent="0.3">
      <c r="A2473">
        <v>2020</v>
      </c>
      <c r="B2473">
        <v>9</v>
      </c>
      <c r="C2473" t="str">
        <f t="shared" si="76"/>
        <v>9/01/2020</v>
      </c>
      <c r="D2473" s="1" t="str">
        <f t="shared" si="77"/>
        <v>9/01/2020</v>
      </c>
      <c r="E2473" t="s">
        <v>55</v>
      </c>
      <c r="F2473" t="s">
        <v>50</v>
      </c>
      <c r="G2473" t="s">
        <v>41</v>
      </c>
      <c r="H2473">
        <v>28</v>
      </c>
      <c r="J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S2473">
        <v>0</v>
      </c>
      <c r="T2473">
        <v>0</v>
      </c>
      <c r="U2473">
        <v>0</v>
      </c>
      <c r="V2473">
        <v>0</v>
      </c>
      <c r="W2473" s="1">
        <v>44160</v>
      </c>
      <c r="X2473" t="s">
        <v>56</v>
      </c>
      <c r="Z2473" t="s">
        <v>40</v>
      </c>
      <c r="AB2473" t="s">
        <v>40</v>
      </c>
      <c r="AC2473" t="s">
        <v>40</v>
      </c>
      <c r="AI2473" t="s">
        <v>40</v>
      </c>
    </row>
    <row r="2474" spans="1:39" x14ac:dyDescent="0.3">
      <c r="A2474">
        <v>2020</v>
      </c>
      <c r="B2474">
        <v>9</v>
      </c>
      <c r="C2474" t="str">
        <f t="shared" si="76"/>
        <v>9/01/2020</v>
      </c>
      <c r="D2474" s="1" t="str">
        <f t="shared" si="77"/>
        <v>9/01/2020</v>
      </c>
      <c r="E2474" t="s">
        <v>55</v>
      </c>
      <c r="F2474" t="s">
        <v>50</v>
      </c>
      <c r="G2474" t="s">
        <v>42</v>
      </c>
      <c r="H2474">
        <v>76</v>
      </c>
      <c r="I2474">
        <v>43</v>
      </c>
      <c r="J2474">
        <v>0</v>
      </c>
      <c r="M2474">
        <v>0</v>
      </c>
      <c r="O2474">
        <v>0</v>
      </c>
      <c r="P2474">
        <v>0</v>
      </c>
      <c r="Q2474">
        <v>0</v>
      </c>
      <c r="R2474">
        <v>18</v>
      </c>
      <c r="T2474">
        <v>0</v>
      </c>
      <c r="W2474" s="1">
        <v>44160</v>
      </c>
      <c r="X2474" t="s">
        <v>56</v>
      </c>
      <c r="AB2474" t="s">
        <v>40</v>
      </c>
      <c r="AC2474" t="s">
        <v>40</v>
      </c>
      <c r="AE2474" t="s">
        <v>40</v>
      </c>
      <c r="AJ2474" t="s">
        <v>40</v>
      </c>
      <c r="AL2474" t="s">
        <v>40</v>
      </c>
      <c r="AM2474" t="s">
        <v>40</v>
      </c>
    </row>
    <row r="2475" spans="1:39" x14ac:dyDescent="0.3">
      <c r="A2475">
        <v>2020</v>
      </c>
      <c r="B2475">
        <v>9</v>
      </c>
      <c r="C2475" t="str">
        <f t="shared" si="76"/>
        <v>9/01/2020</v>
      </c>
      <c r="D2475" s="1" t="str">
        <f t="shared" si="77"/>
        <v>9/01/2020</v>
      </c>
      <c r="E2475" t="s">
        <v>55</v>
      </c>
      <c r="F2475" t="s">
        <v>50</v>
      </c>
      <c r="G2475" t="s">
        <v>43</v>
      </c>
      <c r="H2475">
        <v>99</v>
      </c>
      <c r="I2475">
        <v>74</v>
      </c>
      <c r="J2475">
        <v>0</v>
      </c>
      <c r="M2475">
        <v>0</v>
      </c>
      <c r="O2475">
        <v>0</v>
      </c>
      <c r="R2475">
        <v>12</v>
      </c>
      <c r="W2475" s="1">
        <v>44160</v>
      </c>
      <c r="X2475" t="s">
        <v>56</v>
      </c>
      <c r="AB2475" t="s">
        <v>40</v>
      </c>
      <c r="AC2475" t="s">
        <v>40</v>
      </c>
      <c r="AE2475" t="s">
        <v>40</v>
      </c>
      <c r="AG2475" t="s">
        <v>40</v>
      </c>
      <c r="AH2475" t="s">
        <v>40</v>
      </c>
      <c r="AJ2475" t="s">
        <v>40</v>
      </c>
      <c r="AK2475" t="s">
        <v>40</v>
      </c>
      <c r="AL2475" t="s">
        <v>40</v>
      </c>
      <c r="AM2475" t="s">
        <v>40</v>
      </c>
    </row>
    <row r="2476" spans="1:39" x14ac:dyDescent="0.3">
      <c r="A2476">
        <v>2020</v>
      </c>
      <c r="B2476">
        <v>9</v>
      </c>
      <c r="C2476" t="str">
        <f t="shared" si="76"/>
        <v>9/01/2020</v>
      </c>
      <c r="D2476" s="1" t="str">
        <f t="shared" si="77"/>
        <v>9/01/2020</v>
      </c>
      <c r="E2476" t="s">
        <v>55</v>
      </c>
      <c r="F2476" t="s">
        <v>50</v>
      </c>
      <c r="G2476" t="s">
        <v>44</v>
      </c>
      <c r="H2476">
        <v>128</v>
      </c>
      <c r="I2476">
        <v>106</v>
      </c>
      <c r="M2476">
        <v>0</v>
      </c>
      <c r="O2476">
        <v>0</v>
      </c>
      <c r="P2476">
        <v>0</v>
      </c>
      <c r="S2476">
        <v>17</v>
      </c>
      <c r="U2476">
        <v>19</v>
      </c>
      <c r="V2476">
        <v>18</v>
      </c>
      <c r="W2476" s="1">
        <v>44160</v>
      </c>
      <c r="X2476" t="s">
        <v>56</v>
      </c>
      <c r="AA2476" t="s">
        <v>40</v>
      </c>
      <c r="AB2476" t="s">
        <v>40</v>
      </c>
      <c r="AC2476" t="s">
        <v>40</v>
      </c>
      <c r="AE2476" t="s">
        <v>40</v>
      </c>
      <c r="AH2476" t="s">
        <v>40</v>
      </c>
      <c r="AI2476" t="s">
        <v>40</v>
      </c>
      <c r="AK2476" t="s">
        <v>40</v>
      </c>
    </row>
    <row r="2477" spans="1:39" x14ac:dyDescent="0.3">
      <c r="A2477">
        <v>2020</v>
      </c>
      <c r="B2477">
        <v>9</v>
      </c>
      <c r="C2477" t="str">
        <f t="shared" si="76"/>
        <v>9/01/2020</v>
      </c>
      <c r="D2477" s="1" t="str">
        <f t="shared" si="77"/>
        <v>9/01/2020</v>
      </c>
      <c r="E2477" t="s">
        <v>55</v>
      </c>
      <c r="F2477" t="s">
        <v>50</v>
      </c>
      <c r="G2477" t="s">
        <v>45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 s="1">
        <v>44160</v>
      </c>
      <c r="X2477" t="s">
        <v>56</v>
      </c>
      <c r="Y2477" t="s">
        <v>40</v>
      </c>
      <c r="Z2477" t="s">
        <v>40</v>
      </c>
    </row>
    <row r="2478" spans="1:39" x14ac:dyDescent="0.3">
      <c r="A2478">
        <v>2020</v>
      </c>
      <c r="B2478">
        <v>9</v>
      </c>
      <c r="C2478" t="str">
        <f t="shared" si="76"/>
        <v>9/01/2020</v>
      </c>
      <c r="D2478" s="1" t="str">
        <f t="shared" si="77"/>
        <v>9/01/2020</v>
      </c>
      <c r="E2478" t="s">
        <v>55</v>
      </c>
      <c r="F2478" t="s">
        <v>50</v>
      </c>
      <c r="G2478" t="s">
        <v>46</v>
      </c>
      <c r="H2478">
        <v>183</v>
      </c>
      <c r="I2478">
        <v>170</v>
      </c>
      <c r="K2478">
        <v>36</v>
      </c>
      <c r="L2478">
        <v>12</v>
      </c>
      <c r="M2478">
        <v>0</v>
      </c>
      <c r="S2478">
        <v>28</v>
      </c>
      <c r="U2478">
        <v>22</v>
      </c>
      <c r="V2478">
        <v>19</v>
      </c>
      <c r="W2478" s="1">
        <v>44160</v>
      </c>
      <c r="X2478" t="s">
        <v>56</v>
      </c>
      <c r="AA2478" t="s">
        <v>40</v>
      </c>
      <c r="AE2478" t="s">
        <v>40</v>
      </c>
      <c r="AF2478" t="s">
        <v>40</v>
      </c>
      <c r="AG2478" t="s">
        <v>40</v>
      </c>
      <c r="AH2478" t="s">
        <v>40</v>
      </c>
      <c r="AI2478" t="s">
        <v>40</v>
      </c>
      <c r="AK2478" t="s">
        <v>40</v>
      </c>
    </row>
    <row r="2479" spans="1:39" x14ac:dyDescent="0.3">
      <c r="A2479">
        <v>2020</v>
      </c>
      <c r="B2479">
        <v>9</v>
      </c>
      <c r="C2479" t="str">
        <f t="shared" si="76"/>
        <v>9/01/2020</v>
      </c>
      <c r="D2479" s="1" t="str">
        <f t="shared" si="77"/>
        <v>9/01/2020</v>
      </c>
      <c r="E2479" t="s">
        <v>55</v>
      </c>
      <c r="F2479" t="s">
        <v>50</v>
      </c>
      <c r="G2479" t="s">
        <v>47</v>
      </c>
      <c r="H2479">
        <v>201</v>
      </c>
      <c r="I2479">
        <v>190</v>
      </c>
      <c r="K2479">
        <v>44</v>
      </c>
      <c r="S2479">
        <v>34</v>
      </c>
      <c r="U2479">
        <v>33</v>
      </c>
      <c r="V2479">
        <v>31</v>
      </c>
      <c r="W2479" s="1">
        <v>44160</v>
      </c>
      <c r="X2479" t="s">
        <v>56</v>
      </c>
      <c r="AA2479" t="s">
        <v>40</v>
      </c>
      <c r="AC2479" t="s">
        <v>40</v>
      </c>
      <c r="AD2479" t="s">
        <v>40</v>
      </c>
      <c r="AE2479" t="s">
        <v>40</v>
      </c>
      <c r="AF2479" t="s">
        <v>40</v>
      </c>
      <c r="AG2479" t="s">
        <v>40</v>
      </c>
      <c r="AH2479" t="s">
        <v>40</v>
      </c>
      <c r="AI2479" t="s">
        <v>40</v>
      </c>
      <c r="AK2479" t="s">
        <v>40</v>
      </c>
    </row>
    <row r="2480" spans="1:39" x14ac:dyDescent="0.3">
      <c r="A2480">
        <v>2020</v>
      </c>
      <c r="B2480">
        <v>9</v>
      </c>
      <c r="C2480" t="str">
        <f t="shared" si="76"/>
        <v>9/01/2020</v>
      </c>
      <c r="D2480" s="1" t="str">
        <f t="shared" si="77"/>
        <v>9/01/2020</v>
      </c>
      <c r="E2480" t="s">
        <v>55</v>
      </c>
      <c r="F2480" t="s">
        <v>50</v>
      </c>
      <c r="G2480" t="s">
        <v>48</v>
      </c>
      <c r="H2480">
        <v>132</v>
      </c>
      <c r="I2480">
        <v>125</v>
      </c>
      <c r="K2480">
        <v>18</v>
      </c>
      <c r="S2480">
        <v>28</v>
      </c>
      <c r="U2480">
        <v>26</v>
      </c>
      <c r="V2480">
        <v>23</v>
      </c>
      <c r="W2480" s="1">
        <v>44160</v>
      </c>
      <c r="X2480" t="s">
        <v>56</v>
      </c>
      <c r="AA2480" t="s">
        <v>40</v>
      </c>
      <c r="AC2480" t="s">
        <v>40</v>
      </c>
      <c r="AD2480" t="s">
        <v>40</v>
      </c>
      <c r="AE2480" t="s">
        <v>40</v>
      </c>
      <c r="AF2480" t="s">
        <v>40</v>
      </c>
      <c r="AG2480" t="s">
        <v>40</v>
      </c>
      <c r="AH2480" t="s">
        <v>40</v>
      </c>
      <c r="AI2480" t="s">
        <v>40</v>
      </c>
      <c r="AK2480" t="s">
        <v>40</v>
      </c>
    </row>
    <row r="2481" spans="1:39" x14ac:dyDescent="0.3">
      <c r="A2481">
        <v>2020</v>
      </c>
      <c r="B2481">
        <v>9</v>
      </c>
      <c r="C2481" t="str">
        <f t="shared" si="76"/>
        <v>9/01/2020</v>
      </c>
      <c r="D2481" s="1" t="str">
        <f t="shared" si="77"/>
        <v>9/01/2020</v>
      </c>
      <c r="E2481" t="s">
        <v>55</v>
      </c>
      <c r="F2481" t="s">
        <v>50</v>
      </c>
      <c r="G2481" t="s">
        <v>49</v>
      </c>
      <c r="H2481">
        <v>96</v>
      </c>
      <c r="I2481">
        <v>92</v>
      </c>
      <c r="K2481">
        <v>14</v>
      </c>
      <c r="S2481">
        <v>16</v>
      </c>
      <c r="U2481">
        <v>11</v>
      </c>
      <c r="V2481">
        <v>10</v>
      </c>
      <c r="W2481" s="1">
        <v>44160</v>
      </c>
      <c r="X2481" t="s">
        <v>56</v>
      </c>
      <c r="AA2481" t="s">
        <v>40</v>
      </c>
      <c r="AC2481" t="s">
        <v>40</v>
      </c>
      <c r="AD2481" t="s">
        <v>40</v>
      </c>
      <c r="AE2481" t="s">
        <v>40</v>
      </c>
      <c r="AF2481" t="s">
        <v>40</v>
      </c>
      <c r="AG2481" t="s">
        <v>40</v>
      </c>
      <c r="AH2481" t="s">
        <v>40</v>
      </c>
      <c r="AI2481" t="s">
        <v>40</v>
      </c>
      <c r="AK2481" t="s">
        <v>40</v>
      </c>
    </row>
    <row r="2482" spans="1:39" x14ac:dyDescent="0.3">
      <c r="A2482">
        <v>2020</v>
      </c>
      <c r="B2482">
        <v>9</v>
      </c>
      <c r="C2482" t="str">
        <f t="shared" si="76"/>
        <v>9/01/2020</v>
      </c>
      <c r="D2482" s="1" t="str">
        <f t="shared" si="77"/>
        <v>9/01/2020</v>
      </c>
      <c r="E2482" t="s">
        <v>55</v>
      </c>
      <c r="F2482" t="s">
        <v>51</v>
      </c>
      <c r="G2482" t="s">
        <v>39</v>
      </c>
      <c r="H2482">
        <v>25</v>
      </c>
      <c r="I2482">
        <v>23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T2482">
        <v>0</v>
      </c>
      <c r="U2482">
        <v>0</v>
      </c>
      <c r="V2482">
        <v>0</v>
      </c>
      <c r="W2482" s="1">
        <v>44160</v>
      </c>
      <c r="X2482" t="s">
        <v>56</v>
      </c>
      <c r="AI2482" t="s">
        <v>40</v>
      </c>
      <c r="AJ2482" t="s">
        <v>40</v>
      </c>
    </row>
    <row r="2483" spans="1:39" x14ac:dyDescent="0.3">
      <c r="A2483">
        <v>2020</v>
      </c>
      <c r="B2483">
        <v>9</v>
      </c>
      <c r="C2483" t="str">
        <f t="shared" si="76"/>
        <v>9/01/2020</v>
      </c>
      <c r="D2483" s="1" t="str">
        <f t="shared" si="77"/>
        <v>9/01/2020</v>
      </c>
      <c r="E2483" t="s">
        <v>55</v>
      </c>
      <c r="F2483" t="s">
        <v>51</v>
      </c>
      <c r="G2483" t="s">
        <v>41</v>
      </c>
      <c r="H2483">
        <v>61</v>
      </c>
      <c r="I2483">
        <v>25</v>
      </c>
      <c r="L2483">
        <v>0</v>
      </c>
      <c r="M2483">
        <v>0</v>
      </c>
      <c r="O2483">
        <v>0</v>
      </c>
      <c r="Q2483">
        <v>0</v>
      </c>
      <c r="R2483">
        <v>13</v>
      </c>
      <c r="T2483">
        <v>0</v>
      </c>
      <c r="U2483">
        <v>0</v>
      </c>
      <c r="V2483">
        <v>0</v>
      </c>
      <c r="W2483" s="1">
        <v>44160</v>
      </c>
      <c r="X2483" t="s">
        <v>56</v>
      </c>
      <c r="AA2483" t="s">
        <v>40</v>
      </c>
      <c r="AB2483" t="s">
        <v>40</v>
      </c>
      <c r="AE2483" t="s">
        <v>40</v>
      </c>
      <c r="AG2483" t="s">
        <v>40</v>
      </c>
      <c r="AJ2483" t="s">
        <v>40</v>
      </c>
    </row>
    <row r="2484" spans="1:39" x14ac:dyDescent="0.3">
      <c r="A2484">
        <v>2020</v>
      </c>
      <c r="B2484">
        <v>9</v>
      </c>
      <c r="C2484" t="str">
        <f t="shared" si="76"/>
        <v>9/01/2020</v>
      </c>
      <c r="D2484" s="1" t="str">
        <f t="shared" si="77"/>
        <v>9/01/2020</v>
      </c>
      <c r="E2484" t="s">
        <v>55</v>
      </c>
      <c r="F2484" t="s">
        <v>51</v>
      </c>
      <c r="G2484" t="s">
        <v>42</v>
      </c>
      <c r="H2484">
        <v>73</v>
      </c>
      <c r="I2484">
        <v>43</v>
      </c>
      <c r="J2484">
        <v>0</v>
      </c>
      <c r="M2484">
        <v>0</v>
      </c>
      <c r="N2484">
        <v>0</v>
      </c>
      <c r="P2484">
        <v>0</v>
      </c>
      <c r="R2484">
        <v>20</v>
      </c>
      <c r="T2484">
        <v>0</v>
      </c>
      <c r="W2484" s="1">
        <v>44160</v>
      </c>
      <c r="X2484" t="s">
        <v>56</v>
      </c>
      <c r="AB2484" t="s">
        <v>40</v>
      </c>
      <c r="AC2484" t="s">
        <v>40</v>
      </c>
      <c r="AF2484" t="s">
        <v>40</v>
      </c>
      <c r="AH2484" t="s">
        <v>40</v>
      </c>
      <c r="AJ2484" t="s">
        <v>40</v>
      </c>
      <c r="AL2484" t="s">
        <v>40</v>
      </c>
      <c r="AM2484" t="s">
        <v>40</v>
      </c>
    </row>
    <row r="2485" spans="1:39" x14ac:dyDescent="0.3">
      <c r="A2485">
        <v>2020</v>
      </c>
      <c r="B2485">
        <v>9</v>
      </c>
      <c r="C2485" t="str">
        <f t="shared" si="76"/>
        <v>9/01/2020</v>
      </c>
      <c r="D2485" s="1" t="str">
        <f t="shared" si="77"/>
        <v>9/01/2020</v>
      </c>
      <c r="E2485" t="s">
        <v>55</v>
      </c>
      <c r="F2485" t="s">
        <v>51</v>
      </c>
      <c r="G2485" t="s">
        <v>43</v>
      </c>
      <c r="H2485">
        <v>130</v>
      </c>
      <c r="I2485">
        <v>93</v>
      </c>
      <c r="J2485">
        <v>0</v>
      </c>
      <c r="K2485">
        <v>14</v>
      </c>
      <c r="M2485">
        <v>0</v>
      </c>
      <c r="N2485">
        <v>0</v>
      </c>
      <c r="O2485">
        <v>0</v>
      </c>
      <c r="Q2485">
        <v>0</v>
      </c>
      <c r="R2485">
        <v>21</v>
      </c>
      <c r="S2485">
        <v>25</v>
      </c>
      <c r="W2485" s="1">
        <v>44160</v>
      </c>
      <c r="X2485" t="s">
        <v>56</v>
      </c>
      <c r="AC2485" t="s">
        <v>40</v>
      </c>
      <c r="AG2485" t="s">
        <v>40</v>
      </c>
      <c r="AK2485" t="s">
        <v>40</v>
      </c>
      <c r="AL2485" t="s">
        <v>40</v>
      </c>
      <c r="AM2485" t="s">
        <v>40</v>
      </c>
    </row>
    <row r="2486" spans="1:39" x14ac:dyDescent="0.3">
      <c r="A2486">
        <v>2020</v>
      </c>
      <c r="B2486">
        <v>9</v>
      </c>
      <c r="C2486" t="str">
        <f t="shared" si="76"/>
        <v>9/01/2020</v>
      </c>
      <c r="D2486" s="1" t="str">
        <f t="shared" si="77"/>
        <v>9/01/2020</v>
      </c>
      <c r="E2486" t="s">
        <v>55</v>
      </c>
      <c r="F2486" t="s">
        <v>51</v>
      </c>
      <c r="G2486" t="s">
        <v>44</v>
      </c>
      <c r="H2486">
        <v>232</v>
      </c>
      <c r="I2486">
        <v>195</v>
      </c>
      <c r="K2486">
        <v>54</v>
      </c>
      <c r="M2486">
        <v>0</v>
      </c>
      <c r="N2486">
        <v>0</v>
      </c>
      <c r="R2486">
        <v>15</v>
      </c>
      <c r="S2486">
        <v>49</v>
      </c>
      <c r="T2486">
        <v>10</v>
      </c>
      <c r="U2486">
        <v>18</v>
      </c>
      <c r="V2486">
        <v>15</v>
      </c>
      <c r="W2486" s="1">
        <v>44160</v>
      </c>
      <c r="X2486" t="s">
        <v>56</v>
      </c>
      <c r="AA2486" t="s">
        <v>40</v>
      </c>
      <c r="AC2486" t="s">
        <v>40</v>
      </c>
      <c r="AF2486" t="s">
        <v>40</v>
      </c>
      <c r="AG2486" t="s">
        <v>40</v>
      </c>
      <c r="AH2486" t="s">
        <v>40</v>
      </c>
    </row>
    <row r="2487" spans="1:39" x14ac:dyDescent="0.3">
      <c r="A2487">
        <v>2020</v>
      </c>
      <c r="B2487">
        <v>9</v>
      </c>
      <c r="C2487" t="str">
        <f t="shared" si="76"/>
        <v>9/01/2020</v>
      </c>
      <c r="D2487" s="1" t="str">
        <f t="shared" si="77"/>
        <v>9/01/2020</v>
      </c>
      <c r="E2487" t="s">
        <v>55</v>
      </c>
      <c r="F2487" t="s">
        <v>51</v>
      </c>
      <c r="G2487" t="s">
        <v>45</v>
      </c>
      <c r="L2487">
        <v>0</v>
      </c>
      <c r="M2487">
        <v>0</v>
      </c>
      <c r="N2487">
        <v>0</v>
      </c>
      <c r="P2487">
        <v>0</v>
      </c>
      <c r="Q2487">
        <v>0</v>
      </c>
      <c r="R2487">
        <v>0</v>
      </c>
      <c r="T2487">
        <v>0</v>
      </c>
      <c r="U2487">
        <v>0</v>
      </c>
      <c r="V2487">
        <v>0</v>
      </c>
      <c r="W2487" s="1">
        <v>44160</v>
      </c>
      <c r="X2487" t="s">
        <v>56</v>
      </c>
      <c r="Y2487" t="s">
        <v>40</v>
      </c>
      <c r="Z2487" t="s">
        <v>40</v>
      </c>
      <c r="AA2487" t="s">
        <v>40</v>
      </c>
      <c r="AB2487" t="s">
        <v>40</v>
      </c>
      <c r="AF2487" t="s">
        <v>40</v>
      </c>
      <c r="AJ2487" t="s">
        <v>40</v>
      </c>
    </row>
    <row r="2488" spans="1:39" x14ac:dyDescent="0.3">
      <c r="A2488">
        <v>2020</v>
      </c>
      <c r="B2488">
        <v>9</v>
      </c>
      <c r="C2488" t="str">
        <f t="shared" si="76"/>
        <v>9/01/2020</v>
      </c>
      <c r="D2488" s="1" t="str">
        <f t="shared" si="77"/>
        <v>9/01/2020</v>
      </c>
      <c r="E2488" t="s">
        <v>55</v>
      </c>
      <c r="F2488" t="s">
        <v>51</v>
      </c>
      <c r="G2488" t="s">
        <v>46</v>
      </c>
      <c r="H2488">
        <v>443</v>
      </c>
      <c r="I2488">
        <v>412</v>
      </c>
      <c r="K2488">
        <v>148</v>
      </c>
      <c r="L2488">
        <v>23</v>
      </c>
      <c r="S2488">
        <v>85</v>
      </c>
      <c r="T2488">
        <v>21</v>
      </c>
      <c r="U2488">
        <v>53</v>
      </c>
      <c r="V2488">
        <v>52</v>
      </c>
      <c r="W2488" s="1">
        <v>44160</v>
      </c>
      <c r="X2488" t="s">
        <v>56</v>
      </c>
      <c r="AA2488" t="s">
        <v>40</v>
      </c>
      <c r="AD2488" t="s">
        <v>40</v>
      </c>
      <c r="AE2488" t="s">
        <v>40</v>
      </c>
      <c r="AF2488" t="s">
        <v>40</v>
      </c>
      <c r="AG2488" t="s">
        <v>40</v>
      </c>
      <c r="AH2488" t="s">
        <v>40</v>
      </c>
      <c r="AI2488" t="s">
        <v>40</v>
      </c>
    </row>
    <row r="2489" spans="1:39" x14ac:dyDescent="0.3">
      <c r="A2489">
        <v>2020</v>
      </c>
      <c r="B2489">
        <v>9</v>
      </c>
      <c r="C2489" t="str">
        <f t="shared" si="76"/>
        <v>9/01/2020</v>
      </c>
      <c r="D2489" s="1" t="str">
        <f t="shared" si="77"/>
        <v>9/01/2020</v>
      </c>
      <c r="E2489" t="s">
        <v>55</v>
      </c>
      <c r="F2489" t="s">
        <v>51</v>
      </c>
      <c r="G2489" t="s">
        <v>47</v>
      </c>
      <c r="H2489">
        <v>702</v>
      </c>
      <c r="I2489">
        <v>676</v>
      </c>
      <c r="J2489">
        <v>11</v>
      </c>
      <c r="K2489">
        <v>231</v>
      </c>
      <c r="L2489">
        <v>46</v>
      </c>
      <c r="N2489">
        <v>10</v>
      </c>
      <c r="O2489">
        <v>18</v>
      </c>
      <c r="P2489">
        <v>10</v>
      </c>
      <c r="Q2489">
        <v>15</v>
      </c>
      <c r="R2489">
        <v>12</v>
      </c>
      <c r="S2489">
        <v>114</v>
      </c>
      <c r="T2489">
        <v>41</v>
      </c>
      <c r="U2489">
        <v>72</v>
      </c>
      <c r="V2489">
        <v>70</v>
      </c>
      <c r="W2489" s="1">
        <v>44160</v>
      </c>
      <c r="X2489" t="s">
        <v>56</v>
      </c>
      <c r="AD2489" t="s">
        <v>40</v>
      </c>
    </row>
    <row r="2490" spans="1:39" x14ac:dyDescent="0.3">
      <c r="A2490">
        <v>2020</v>
      </c>
      <c r="B2490">
        <v>9</v>
      </c>
      <c r="C2490" t="str">
        <f t="shared" si="76"/>
        <v>9/01/2020</v>
      </c>
      <c r="D2490" s="1" t="str">
        <f t="shared" si="77"/>
        <v>9/01/2020</v>
      </c>
      <c r="E2490" t="s">
        <v>55</v>
      </c>
      <c r="F2490" t="s">
        <v>51</v>
      </c>
      <c r="G2490" t="s">
        <v>48</v>
      </c>
      <c r="H2490">
        <v>845</v>
      </c>
      <c r="I2490">
        <v>826</v>
      </c>
      <c r="J2490">
        <v>12</v>
      </c>
      <c r="K2490">
        <v>212</v>
      </c>
      <c r="L2490">
        <v>49</v>
      </c>
      <c r="M2490">
        <v>19</v>
      </c>
      <c r="N2490">
        <v>21</v>
      </c>
      <c r="O2490">
        <v>23</v>
      </c>
      <c r="P2490">
        <v>16</v>
      </c>
      <c r="Q2490">
        <v>17</v>
      </c>
      <c r="R2490">
        <v>13</v>
      </c>
      <c r="S2490">
        <v>157</v>
      </c>
      <c r="T2490">
        <v>59</v>
      </c>
      <c r="U2490">
        <v>92</v>
      </c>
      <c r="V2490">
        <v>82</v>
      </c>
      <c r="W2490" s="1">
        <v>44160</v>
      </c>
      <c r="X2490" t="s">
        <v>56</v>
      </c>
    </row>
    <row r="2491" spans="1:39" x14ac:dyDescent="0.3">
      <c r="A2491">
        <v>2020</v>
      </c>
      <c r="B2491">
        <v>9</v>
      </c>
      <c r="C2491" t="str">
        <f t="shared" si="76"/>
        <v>9/01/2020</v>
      </c>
      <c r="D2491" s="1" t="str">
        <f t="shared" si="77"/>
        <v>9/01/2020</v>
      </c>
      <c r="E2491" t="s">
        <v>55</v>
      </c>
      <c r="F2491" t="s">
        <v>51</v>
      </c>
      <c r="G2491" t="s">
        <v>49</v>
      </c>
      <c r="H2491">
        <v>857</v>
      </c>
      <c r="I2491">
        <v>829</v>
      </c>
      <c r="K2491">
        <v>135</v>
      </c>
      <c r="L2491">
        <v>18</v>
      </c>
      <c r="M2491">
        <v>43</v>
      </c>
      <c r="N2491">
        <v>27</v>
      </c>
      <c r="O2491">
        <v>38</v>
      </c>
      <c r="P2491">
        <v>12</v>
      </c>
      <c r="Q2491">
        <v>17</v>
      </c>
      <c r="R2491">
        <v>11</v>
      </c>
      <c r="S2491">
        <v>190</v>
      </c>
      <c r="T2491">
        <v>64</v>
      </c>
      <c r="U2491">
        <v>94</v>
      </c>
      <c r="V2491">
        <v>86</v>
      </c>
      <c r="W2491" s="1">
        <v>44160</v>
      </c>
      <c r="X2491" t="s">
        <v>56</v>
      </c>
      <c r="AA2491" t="s">
        <v>40</v>
      </c>
    </row>
    <row r="2492" spans="1:39" x14ac:dyDescent="0.3">
      <c r="A2492">
        <v>2020</v>
      </c>
      <c r="B2492">
        <v>9</v>
      </c>
      <c r="C2492" t="str">
        <f t="shared" si="76"/>
        <v>9/01/2020</v>
      </c>
      <c r="D2492" s="1" t="str">
        <f t="shared" si="77"/>
        <v>9/01/2020</v>
      </c>
      <c r="E2492" t="s">
        <v>55</v>
      </c>
      <c r="F2492" t="s">
        <v>52</v>
      </c>
      <c r="G2492" t="s">
        <v>39</v>
      </c>
      <c r="H2492">
        <v>267</v>
      </c>
      <c r="I2492">
        <v>238</v>
      </c>
      <c r="L2492">
        <v>0</v>
      </c>
      <c r="M2492">
        <v>0</v>
      </c>
      <c r="O2492">
        <v>0</v>
      </c>
      <c r="R2492">
        <v>52</v>
      </c>
      <c r="V2492">
        <v>0</v>
      </c>
      <c r="W2492" s="1">
        <v>44160</v>
      </c>
      <c r="X2492" t="s">
        <v>56</v>
      </c>
      <c r="AA2492" t="s">
        <v>40</v>
      </c>
      <c r="AB2492" t="s">
        <v>40</v>
      </c>
      <c r="AE2492" t="s">
        <v>40</v>
      </c>
      <c r="AG2492" t="s">
        <v>40</v>
      </c>
      <c r="AH2492" t="s">
        <v>40</v>
      </c>
      <c r="AJ2492" t="s">
        <v>40</v>
      </c>
      <c r="AK2492" t="s">
        <v>40</v>
      </c>
      <c r="AL2492" t="s">
        <v>40</v>
      </c>
    </row>
    <row r="2493" spans="1:39" x14ac:dyDescent="0.3">
      <c r="A2493">
        <v>2020</v>
      </c>
      <c r="B2493">
        <v>9</v>
      </c>
      <c r="C2493" t="str">
        <f t="shared" si="76"/>
        <v>9/01/2020</v>
      </c>
      <c r="D2493" s="1" t="str">
        <f t="shared" si="77"/>
        <v>9/01/2020</v>
      </c>
      <c r="E2493" t="s">
        <v>55</v>
      </c>
      <c r="F2493" t="s">
        <v>52</v>
      </c>
      <c r="G2493" t="s">
        <v>41</v>
      </c>
      <c r="H2493">
        <v>630</v>
      </c>
      <c r="I2493">
        <v>130</v>
      </c>
      <c r="K2493">
        <v>11</v>
      </c>
      <c r="M2493">
        <v>0</v>
      </c>
      <c r="N2493">
        <v>0</v>
      </c>
      <c r="R2493">
        <v>68</v>
      </c>
      <c r="T2493">
        <v>0</v>
      </c>
      <c r="W2493" s="1">
        <v>44160</v>
      </c>
      <c r="X2493" t="s">
        <v>56</v>
      </c>
      <c r="AA2493" t="s">
        <v>40</v>
      </c>
      <c r="AC2493" t="s">
        <v>40</v>
      </c>
      <c r="AF2493" t="s">
        <v>40</v>
      </c>
      <c r="AG2493" t="s">
        <v>40</v>
      </c>
      <c r="AH2493" t="s">
        <v>40</v>
      </c>
      <c r="AJ2493" t="s">
        <v>40</v>
      </c>
      <c r="AL2493" t="s">
        <v>40</v>
      </c>
      <c r="AM2493" t="s">
        <v>40</v>
      </c>
    </row>
    <row r="2494" spans="1:39" x14ac:dyDescent="0.3">
      <c r="A2494">
        <v>2020</v>
      </c>
      <c r="B2494">
        <v>9</v>
      </c>
      <c r="C2494" t="str">
        <f t="shared" si="76"/>
        <v>9/01/2020</v>
      </c>
      <c r="D2494" s="1" t="str">
        <f t="shared" si="77"/>
        <v>9/01/2020</v>
      </c>
      <c r="E2494" t="s">
        <v>55</v>
      </c>
      <c r="F2494" t="s">
        <v>52</v>
      </c>
      <c r="G2494" t="s">
        <v>42</v>
      </c>
      <c r="H2494">
        <v>937</v>
      </c>
      <c r="I2494">
        <v>320</v>
      </c>
      <c r="J2494">
        <v>0</v>
      </c>
      <c r="K2494">
        <v>18</v>
      </c>
      <c r="L2494">
        <v>12</v>
      </c>
      <c r="M2494">
        <v>0</v>
      </c>
      <c r="N2494">
        <v>0</v>
      </c>
      <c r="R2494">
        <v>145</v>
      </c>
      <c r="S2494">
        <v>39</v>
      </c>
      <c r="U2494">
        <v>16</v>
      </c>
      <c r="V2494">
        <v>14</v>
      </c>
      <c r="W2494" s="1">
        <v>44160</v>
      </c>
      <c r="X2494" t="s">
        <v>56</v>
      </c>
      <c r="AF2494" t="s">
        <v>40</v>
      </c>
      <c r="AG2494" t="s">
        <v>40</v>
      </c>
      <c r="AH2494" t="s">
        <v>40</v>
      </c>
      <c r="AK2494" t="s">
        <v>40</v>
      </c>
    </row>
    <row r="2495" spans="1:39" x14ac:dyDescent="0.3">
      <c r="A2495">
        <v>2020</v>
      </c>
      <c r="B2495">
        <v>9</v>
      </c>
      <c r="C2495" t="str">
        <f t="shared" si="76"/>
        <v>9/01/2020</v>
      </c>
      <c r="D2495" s="1" t="str">
        <f t="shared" si="77"/>
        <v>9/01/2020</v>
      </c>
      <c r="E2495" t="s">
        <v>55</v>
      </c>
      <c r="F2495" t="s">
        <v>52</v>
      </c>
      <c r="G2495" t="s">
        <v>43</v>
      </c>
      <c r="H2495" s="2">
        <v>1070</v>
      </c>
      <c r="I2495">
        <v>632</v>
      </c>
      <c r="J2495">
        <v>12</v>
      </c>
      <c r="K2495">
        <v>52</v>
      </c>
      <c r="L2495">
        <v>43</v>
      </c>
      <c r="M2495">
        <v>0</v>
      </c>
      <c r="Q2495">
        <v>12</v>
      </c>
      <c r="R2495">
        <v>147</v>
      </c>
      <c r="S2495">
        <v>138</v>
      </c>
      <c r="T2495">
        <v>22</v>
      </c>
      <c r="U2495">
        <v>39</v>
      </c>
      <c r="V2495">
        <v>33</v>
      </c>
      <c r="W2495" s="1">
        <v>44160</v>
      </c>
      <c r="X2495" t="s">
        <v>56</v>
      </c>
      <c r="AE2495" t="s">
        <v>40</v>
      </c>
      <c r="AF2495" t="s">
        <v>40</v>
      </c>
      <c r="AG2495" t="s">
        <v>40</v>
      </c>
    </row>
    <row r="2496" spans="1:39" x14ac:dyDescent="0.3">
      <c r="A2496">
        <v>2020</v>
      </c>
      <c r="B2496">
        <v>9</v>
      </c>
      <c r="C2496" t="str">
        <f t="shared" si="76"/>
        <v>9/01/2020</v>
      </c>
      <c r="D2496" s="1" t="str">
        <f t="shared" si="77"/>
        <v>9/01/2020</v>
      </c>
      <c r="E2496" t="s">
        <v>55</v>
      </c>
      <c r="F2496" t="s">
        <v>52</v>
      </c>
      <c r="G2496" t="s">
        <v>44</v>
      </c>
      <c r="H2496" s="2">
        <v>1584</v>
      </c>
      <c r="I2496" s="2">
        <v>1285</v>
      </c>
      <c r="J2496">
        <v>18</v>
      </c>
      <c r="K2496">
        <v>145</v>
      </c>
      <c r="L2496">
        <v>66</v>
      </c>
      <c r="M2496">
        <v>0</v>
      </c>
      <c r="N2496">
        <v>17</v>
      </c>
      <c r="O2496">
        <v>17</v>
      </c>
      <c r="P2496">
        <v>13</v>
      </c>
      <c r="Q2496">
        <v>45</v>
      </c>
      <c r="R2496">
        <v>153</v>
      </c>
      <c r="S2496">
        <v>392</v>
      </c>
      <c r="T2496">
        <v>62</v>
      </c>
      <c r="U2496">
        <v>95</v>
      </c>
      <c r="V2496">
        <v>81</v>
      </c>
      <c r="W2496" s="1">
        <v>44160</v>
      </c>
      <c r="X2496" t="s">
        <v>56</v>
      </c>
    </row>
    <row r="2497" spans="1:39" x14ac:dyDescent="0.3">
      <c r="A2497">
        <v>2020</v>
      </c>
      <c r="B2497">
        <v>9</v>
      </c>
      <c r="C2497" t="str">
        <f t="shared" si="76"/>
        <v>9/01/2020</v>
      </c>
      <c r="D2497" s="1" t="str">
        <f t="shared" si="77"/>
        <v>9/01/2020</v>
      </c>
      <c r="E2497" t="s">
        <v>55</v>
      </c>
      <c r="F2497" t="s">
        <v>52</v>
      </c>
      <c r="G2497" t="s">
        <v>45</v>
      </c>
      <c r="H2497">
        <v>69</v>
      </c>
      <c r="I2497">
        <v>27</v>
      </c>
      <c r="J2497">
        <v>0</v>
      </c>
      <c r="L2497">
        <v>0</v>
      </c>
      <c r="M2497">
        <v>0</v>
      </c>
      <c r="N2497">
        <v>0</v>
      </c>
      <c r="P2497">
        <v>0</v>
      </c>
      <c r="Q2497">
        <v>0</v>
      </c>
      <c r="U2497">
        <v>0</v>
      </c>
      <c r="V2497">
        <v>0</v>
      </c>
      <c r="W2497" s="1">
        <v>44160</v>
      </c>
      <c r="X2497" t="s">
        <v>56</v>
      </c>
      <c r="AB2497" t="s">
        <v>40</v>
      </c>
      <c r="AF2497" t="s">
        <v>40</v>
      </c>
      <c r="AI2497" t="s">
        <v>40</v>
      </c>
      <c r="AJ2497" t="s">
        <v>40</v>
      </c>
      <c r="AK2497" t="s">
        <v>40</v>
      </c>
    </row>
    <row r="2498" spans="1:39" x14ac:dyDescent="0.3">
      <c r="A2498">
        <v>2020</v>
      </c>
      <c r="B2498">
        <v>9</v>
      </c>
      <c r="C2498" t="str">
        <f t="shared" si="76"/>
        <v>9/01/2020</v>
      </c>
      <c r="D2498" s="1" t="str">
        <f t="shared" si="77"/>
        <v>9/01/2020</v>
      </c>
      <c r="E2498" t="s">
        <v>55</v>
      </c>
      <c r="F2498" t="s">
        <v>52</v>
      </c>
      <c r="G2498" t="s">
        <v>46</v>
      </c>
      <c r="H2498" s="2">
        <v>3384</v>
      </c>
      <c r="I2498" s="2">
        <v>3079</v>
      </c>
      <c r="J2498">
        <v>53</v>
      </c>
      <c r="K2498">
        <v>651</v>
      </c>
      <c r="L2498">
        <v>163</v>
      </c>
      <c r="N2498">
        <v>47</v>
      </c>
      <c r="O2498">
        <v>86</v>
      </c>
      <c r="P2498">
        <v>39</v>
      </c>
      <c r="Q2498">
        <v>78</v>
      </c>
      <c r="R2498">
        <v>207</v>
      </c>
      <c r="S2498">
        <v>794</v>
      </c>
      <c r="T2498">
        <v>137</v>
      </c>
      <c r="U2498">
        <v>284</v>
      </c>
      <c r="V2498">
        <v>248</v>
      </c>
      <c r="W2498" s="1">
        <v>44160</v>
      </c>
      <c r="X2498" t="s">
        <v>56</v>
      </c>
      <c r="AD2498" t="s">
        <v>40</v>
      </c>
    </row>
    <row r="2499" spans="1:39" x14ac:dyDescent="0.3">
      <c r="A2499">
        <v>2020</v>
      </c>
      <c r="B2499">
        <v>9</v>
      </c>
      <c r="C2499" t="str">
        <f t="shared" ref="C2499:C2562" si="78">CONCATENATE(B2499,"/01/",A2499)</f>
        <v>9/01/2020</v>
      </c>
      <c r="D2499" s="1" t="str">
        <f t="shared" ref="D2499:D2562" si="79">C2499</f>
        <v>9/01/2020</v>
      </c>
      <c r="E2499" t="s">
        <v>55</v>
      </c>
      <c r="F2499" t="s">
        <v>52</v>
      </c>
      <c r="G2499" t="s">
        <v>47</v>
      </c>
      <c r="H2499" s="2">
        <v>4010</v>
      </c>
      <c r="I2499" s="2">
        <v>3864</v>
      </c>
      <c r="J2499">
        <v>69</v>
      </c>
      <c r="K2499">
        <v>900</v>
      </c>
      <c r="L2499">
        <v>172</v>
      </c>
      <c r="M2499">
        <v>31</v>
      </c>
      <c r="N2499">
        <v>70</v>
      </c>
      <c r="O2499">
        <v>142</v>
      </c>
      <c r="P2499">
        <v>45</v>
      </c>
      <c r="Q2499">
        <v>89</v>
      </c>
      <c r="R2499">
        <v>111</v>
      </c>
      <c r="S2499">
        <v>935</v>
      </c>
      <c r="T2499">
        <v>226</v>
      </c>
      <c r="U2499">
        <v>436</v>
      </c>
      <c r="V2499">
        <v>399</v>
      </c>
      <c r="W2499" s="1">
        <v>44160</v>
      </c>
      <c r="X2499" t="s">
        <v>56</v>
      </c>
    </row>
    <row r="2500" spans="1:39" x14ac:dyDescent="0.3">
      <c r="A2500">
        <v>2020</v>
      </c>
      <c r="B2500">
        <v>9</v>
      </c>
      <c r="C2500" t="str">
        <f t="shared" si="78"/>
        <v>9/01/2020</v>
      </c>
      <c r="D2500" s="1" t="str">
        <f t="shared" si="79"/>
        <v>9/01/2020</v>
      </c>
      <c r="E2500" t="s">
        <v>55</v>
      </c>
      <c r="F2500" t="s">
        <v>52</v>
      </c>
      <c r="G2500" t="s">
        <v>48</v>
      </c>
      <c r="H2500" s="2">
        <v>2703</v>
      </c>
      <c r="I2500" s="2">
        <v>2638</v>
      </c>
      <c r="J2500">
        <v>43</v>
      </c>
      <c r="K2500">
        <v>556</v>
      </c>
      <c r="L2500">
        <v>142</v>
      </c>
      <c r="M2500">
        <v>70</v>
      </c>
      <c r="N2500">
        <v>41</v>
      </c>
      <c r="O2500">
        <v>110</v>
      </c>
      <c r="P2500">
        <v>35</v>
      </c>
      <c r="Q2500">
        <v>72</v>
      </c>
      <c r="R2500">
        <v>30</v>
      </c>
      <c r="S2500">
        <v>608</v>
      </c>
      <c r="T2500">
        <v>170</v>
      </c>
      <c r="U2500">
        <v>308</v>
      </c>
      <c r="V2500">
        <v>280</v>
      </c>
      <c r="W2500" s="1">
        <v>44160</v>
      </c>
      <c r="X2500" t="s">
        <v>56</v>
      </c>
    </row>
    <row r="2501" spans="1:39" x14ac:dyDescent="0.3">
      <c r="A2501">
        <v>2020</v>
      </c>
      <c r="B2501">
        <v>9</v>
      </c>
      <c r="C2501" t="str">
        <f t="shared" si="78"/>
        <v>9/01/2020</v>
      </c>
      <c r="D2501" s="1" t="str">
        <f t="shared" si="79"/>
        <v>9/01/2020</v>
      </c>
      <c r="E2501" t="s">
        <v>55</v>
      </c>
      <c r="F2501" t="s">
        <v>52</v>
      </c>
      <c r="G2501" t="s">
        <v>49</v>
      </c>
      <c r="H2501" s="2">
        <v>1665</v>
      </c>
      <c r="I2501" s="2">
        <v>1624</v>
      </c>
      <c r="J2501">
        <v>27</v>
      </c>
      <c r="K2501">
        <v>258</v>
      </c>
      <c r="L2501">
        <v>59</v>
      </c>
      <c r="M2501">
        <v>89</v>
      </c>
      <c r="N2501">
        <v>32</v>
      </c>
      <c r="O2501">
        <v>47</v>
      </c>
      <c r="P2501">
        <v>19</v>
      </c>
      <c r="Q2501">
        <v>53</v>
      </c>
      <c r="R2501">
        <v>26</v>
      </c>
      <c r="S2501">
        <v>372</v>
      </c>
      <c r="T2501">
        <v>116</v>
      </c>
      <c r="U2501">
        <v>174</v>
      </c>
      <c r="V2501">
        <v>155</v>
      </c>
      <c r="W2501" s="1">
        <v>44160</v>
      </c>
      <c r="X2501" t="s">
        <v>56</v>
      </c>
    </row>
    <row r="2502" spans="1:39" x14ac:dyDescent="0.3">
      <c r="A2502">
        <v>2020</v>
      </c>
      <c r="B2502">
        <v>9</v>
      </c>
      <c r="C2502" t="str">
        <f t="shared" si="78"/>
        <v>9/01/2020</v>
      </c>
      <c r="D2502" s="1" t="str">
        <f t="shared" si="79"/>
        <v>9/01/2020</v>
      </c>
      <c r="E2502" t="s">
        <v>55</v>
      </c>
      <c r="F2502" t="s">
        <v>53</v>
      </c>
      <c r="G2502" t="s">
        <v>39</v>
      </c>
      <c r="H2502">
        <v>364</v>
      </c>
      <c r="I2502">
        <v>318</v>
      </c>
      <c r="J2502">
        <v>0</v>
      </c>
      <c r="L2502">
        <v>0</v>
      </c>
      <c r="M2502">
        <v>0</v>
      </c>
      <c r="O2502">
        <v>0</v>
      </c>
      <c r="Q2502">
        <v>0</v>
      </c>
      <c r="R2502">
        <v>69</v>
      </c>
      <c r="W2502" s="1">
        <v>44160</v>
      </c>
      <c r="X2502" t="s">
        <v>56</v>
      </c>
      <c r="AB2502" t="s">
        <v>40</v>
      </c>
      <c r="AE2502" t="s">
        <v>40</v>
      </c>
      <c r="AG2502" t="s">
        <v>40</v>
      </c>
      <c r="AJ2502" t="s">
        <v>40</v>
      </c>
      <c r="AK2502" t="s">
        <v>40</v>
      </c>
      <c r="AL2502" t="s">
        <v>40</v>
      </c>
      <c r="AM2502" t="s">
        <v>40</v>
      </c>
    </row>
    <row r="2503" spans="1:39" x14ac:dyDescent="0.3">
      <c r="A2503">
        <v>2020</v>
      </c>
      <c r="B2503">
        <v>9</v>
      </c>
      <c r="C2503" t="str">
        <f t="shared" si="78"/>
        <v>9/01/2020</v>
      </c>
      <c r="D2503" s="1" t="str">
        <f t="shared" si="79"/>
        <v>9/01/2020</v>
      </c>
      <c r="E2503" t="s">
        <v>55</v>
      </c>
      <c r="F2503" t="s">
        <v>53</v>
      </c>
      <c r="G2503" t="s">
        <v>41</v>
      </c>
      <c r="H2503">
        <v>904</v>
      </c>
      <c r="I2503">
        <v>239</v>
      </c>
      <c r="K2503">
        <v>21</v>
      </c>
      <c r="M2503">
        <v>0</v>
      </c>
      <c r="P2503">
        <v>0</v>
      </c>
      <c r="R2503">
        <v>145</v>
      </c>
      <c r="S2503">
        <v>10</v>
      </c>
      <c r="V2503">
        <v>0</v>
      </c>
      <c r="W2503" s="1">
        <v>44160</v>
      </c>
      <c r="X2503" t="s">
        <v>56</v>
      </c>
      <c r="AA2503" t="s">
        <v>40</v>
      </c>
      <c r="AC2503" t="s">
        <v>40</v>
      </c>
      <c r="AE2503" t="s">
        <v>40</v>
      </c>
      <c r="AF2503" t="s">
        <v>40</v>
      </c>
      <c r="AH2503" t="s">
        <v>40</v>
      </c>
      <c r="AK2503" t="s">
        <v>40</v>
      </c>
      <c r="AL2503" t="s">
        <v>40</v>
      </c>
    </row>
    <row r="2504" spans="1:39" x14ac:dyDescent="0.3">
      <c r="A2504">
        <v>2020</v>
      </c>
      <c r="B2504">
        <v>9</v>
      </c>
      <c r="C2504" t="str">
        <f t="shared" si="78"/>
        <v>9/01/2020</v>
      </c>
      <c r="D2504" s="1" t="str">
        <f t="shared" si="79"/>
        <v>9/01/2020</v>
      </c>
      <c r="E2504" t="s">
        <v>55</v>
      </c>
      <c r="F2504" t="s">
        <v>53</v>
      </c>
      <c r="G2504" t="s">
        <v>42</v>
      </c>
      <c r="H2504" s="2">
        <v>2126</v>
      </c>
      <c r="I2504">
        <v>939</v>
      </c>
      <c r="K2504">
        <v>95</v>
      </c>
      <c r="L2504">
        <v>20</v>
      </c>
      <c r="M2504">
        <v>0</v>
      </c>
      <c r="R2504">
        <v>450</v>
      </c>
      <c r="S2504">
        <v>88</v>
      </c>
      <c r="U2504">
        <v>24</v>
      </c>
      <c r="V2504">
        <v>19</v>
      </c>
      <c r="W2504" s="1">
        <v>44160</v>
      </c>
      <c r="X2504" t="s">
        <v>56</v>
      </c>
      <c r="AA2504" t="s">
        <v>40</v>
      </c>
      <c r="AE2504" t="s">
        <v>40</v>
      </c>
      <c r="AF2504" t="s">
        <v>40</v>
      </c>
      <c r="AG2504" t="s">
        <v>40</v>
      </c>
      <c r="AH2504" t="s">
        <v>40</v>
      </c>
      <c r="AK2504" t="s">
        <v>40</v>
      </c>
    </row>
    <row r="2505" spans="1:39" x14ac:dyDescent="0.3">
      <c r="A2505">
        <v>2020</v>
      </c>
      <c r="B2505">
        <v>9</v>
      </c>
      <c r="C2505" t="str">
        <f t="shared" si="78"/>
        <v>9/01/2020</v>
      </c>
      <c r="D2505" s="1" t="str">
        <f t="shared" si="79"/>
        <v>9/01/2020</v>
      </c>
      <c r="E2505" t="s">
        <v>55</v>
      </c>
      <c r="F2505" t="s">
        <v>53</v>
      </c>
      <c r="G2505" t="s">
        <v>43</v>
      </c>
      <c r="H2505" s="2">
        <v>2959</v>
      </c>
      <c r="I2505" s="2">
        <v>1741</v>
      </c>
      <c r="J2505">
        <v>28</v>
      </c>
      <c r="K2505">
        <v>201</v>
      </c>
      <c r="L2505">
        <v>58</v>
      </c>
      <c r="M2505">
        <v>0</v>
      </c>
      <c r="N2505">
        <v>12</v>
      </c>
      <c r="O2505">
        <v>10</v>
      </c>
      <c r="P2505">
        <v>18</v>
      </c>
      <c r="Q2505">
        <v>16</v>
      </c>
      <c r="R2505">
        <v>529</v>
      </c>
      <c r="S2505">
        <v>283</v>
      </c>
      <c r="T2505">
        <v>32</v>
      </c>
      <c r="U2505">
        <v>56</v>
      </c>
      <c r="V2505">
        <v>40</v>
      </c>
      <c r="W2505" s="1">
        <v>44160</v>
      </c>
      <c r="X2505" t="s">
        <v>56</v>
      </c>
    </row>
    <row r="2506" spans="1:39" x14ac:dyDescent="0.3">
      <c r="A2506">
        <v>2020</v>
      </c>
      <c r="B2506">
        <v>9</v>
      </c>
      <c r="C2506" t="str">
        <f t="shared" si="78"/>
        <v>9/01/2020</v>
      </c>
      <c r="D2506" s="1" t="str">
        <f t="shared" si="79"/>
        <v>9/01/2020</v>
      </c>
      <c r="E2506" t="s">
        <v>55</v>
      </c>
      <c r="F2506" t="s">
        <v>53</v>
      </c>
      <c r="G2506" t="s">
        <v>44</v>
      </c>
      <c r="H2506" s="2">
        <v>5520</v>
      </c>
      <c r="I2506" s="2">
        <v>4357</v>
      </c>
      <c r="J2506">
        <v>63</v>
      </c>
      <c r="K2506">
        <v>902</v>
      </c>
      <c r="L2506">
        <v>176</v>
      </c>
      <c r="N2506">
        <v>42</v>
      </c>
      <c r="O2506">
        <v>93</v>
      </c>
      <c r="P2506">
        <v>45</v>
      </c>
      <c r="Q2506">
        <v>54</v>
      </c>
      <c r="R2506">
        <v>546</v>
      </c>
      <c r="S2506" s="2">
        <v>1037</v>
      </c>
      <c r="T2506">
        <v>116</v>
      </c>
      <c r="U2506">
        <v>176</v>
      </c>
      <c r="V2506">
        <v>150</v>
      </c>
      <c r="W2506" s="1">
        <v>44160</v>
      </c>
      <c r="X2506" t="s">
        <v>56</v>
      </c>
      <c r="AD2506" t="s">
        <v>40</v>
      </c>
    </row>
    <row r="2507" spans="1:39" x14ac:dyDescent="0.3">
      <c r="A2507">
        <v>2020</v>
      </c>
      <c r="B2507">
        <v>9</v>
      </c>
      <c r="C2507" t="str">
        <f t="shared" si="78"/>
        <v>9/01/2020</v>
      </c>
      <c r="D2507" s="1" t="str">
        <f t="shared" si="79"/>
        <v>9/01/2020</v>
      </c>
      <c r="E2507" t="s">
        <v>55</v>
      </c>
      <c r="F2507" t="s">
        <v>53</v>
      </c>
      <c r="G2507" t="s">
        <v>45</v>
      </c>
      <c r="H2507">
        <v>112</v>
      </c>
      <c r="I2507">
        <v>56</v>
      </c>
      <c r="J2507">
        <v>0</v>
      </c>
      <c r="K2507">
        <v>16</v>
      </c>
      <c r="L2507">
        <v>0</v>
      </c>
      <c r="M2507">
        <v>0</v>
      </c>
      <c r="N2507">
        <v>0</v>
      </c>
      <c r="R2507">
        <v>10</v>
      </c>
      <c r="W2507" s="1">
        <v>44160</v>
      </c>
      <c r="X2507" t="s">
        <v>56</v>
      </c>
      <c r="AF2507" t="s">
        <v>40</v>
      </c>
      <c r="AG2507" t="s">
        <v>40</v>
      </c>
      <c r="AH2507" t="s">
        <v>40</v>
      </c>
      <c r="AJ2507" t="s">
        <v>40</v>
      </c>
      <c r="AK2507" t="s">
        <v>40</v>
      </c>
      <c r="AL2507" t="s">
        <v>40</v>
      </c>
      <c r="AM2507" t="s">
        <v>40</v>
      </c>
    </row>
    <row r="2508" spans="1:39" x14ac:dyDescent="0.3">
      <c r="A2508">
        <v>2020</v>
      </c>
      <c r="B2508">
        <v>9</v>
      </c>
      <c r="C2508" t="str">
        <f t="shared" si="78"/>
        <v>9/01/2020</v>
      </c>
      <c r="D2508" s="1" t="str">
        <f t="shared" si="79"/>
        <v>9/01/2020</v>
      </c>
      <c r="E2508" t="s">
        <v>55</v>
      </c>
      <c r="F2508" t="s">
        <v>53</v>
      </c>
      <c r="G2508" t="s">
        <v>46</v>
      </c>
      <c r="H2508" s="2">
        <v>13444</v>
      </c>
      <c r="I2508" s="2">
        <v>12125</v>
      </c>
      <c r="J2508">
        <v>172</v>
      </c>
      <c r="K2508" s="2">
        <v>3409</v>
      </c>
      <c r="L2508">
        <v>492</v>
      </c>
      <c r="M2508">
        <v>27</v>
      </c>
      <c r="N2508">
        <v>135</v>
      </c>
      <c r="O2508">
        <v>542</v>
      </c>
      <c r="P2508">
        <v>136</v>
      </c>
      <c r="Q2508">
        <v>134</v>
      </c>
      <c r="R2508">
        <v>582</v>
      </c>
      <c r="S2508" s="2">
        <v>3051</v>
      </c>
      <c r="T2508">
        <v>327</v>
      </c>
      <c r="U2508">
        <v>593</v>
      </c>
      <c r="V2508">
        <v>537</v>
      </c>
      <c r="W2508" s="1">
        <v>44160</v>
      </c>
      <c r="X2508" t="s">
        <v>56</v>
      </c>
    </row>
    <row r="2509" spans="1:39" x14ac:dyDescent="0.3">
      <c r="A2509">
        <v>2020</v>
      </c>
      <c r="B2509">
        <v>9</v>
      </c>
      <c r="C2509" t="str">
        <f t="shared" si="78"/>
        <v>9/01/2020</v>
      </c>
      <c r="D2509" s="1" t="str">
        <f t="shared" si="79"/>
        <v>9/01/2020</v>
      </c>
      <c r="E2509" t="s">
        <v>55</v>
      </c>
      <c r="F2509" t="s">
        <v>53</v>
      </c>
      <c r="G2509" t="s">
        <v>47</v>
      </c>
      <c r="H2509" s="2">
        <v>20902</v>
      </c>
      <c r="I2509" s="2">
        <v>19935</v>
      </c>
      <c r="J2509">
        <v>253</v>
      </c>
      <c r="K2509" s="2">
        <v>5894</v>
      </c>
      <c r="L2509">
        <v>784</v>
      </c>
      <c r="M2509">
        <v>244</v>
      </c>
      <c r="N2509">
        <v>220</v>
      </c>
      <c r="O2509" s="2">
        <v>1179</v>
      </c>
      <c r="P2509">
        <v>321</v>
      </c>
      <c r="Q2509">
        <v>296</v>
      </c>
      <c r="R2509">
        <v>446</v>
      </c>
      <c r="S2509" s="2">
        <v>4664</v>
      </c>
      <c r="T2509">
        <v>735</v>
      </c>
      <c r="U2509" s="2">
        <v>1269</v>
      </c>
      <c r="V2509" s="2">
        <v>1139</v>
      </c>
      <c r="W2509" s="1">
        <v>44160</v>
      </c>
      <c r="X2509" t="s">
        <v>56</v>
      </c>
    </row>
    <row r="2510" spans="1:39" x14ac:dyDescent="0.3">
      <c r="A2510">
        <v>2020</v>
      </c>
      <c r="B2510">
        <v>9</v>
      </c>
      <c r="C2510" t="str">
        <f t="shared" si="78"/>
        <v>9/01/2020</v>
      </c>
      <c r="D2510" s="1" t="str">
        <f t="shared" si="79"/>
        <v>9/01/2020</v>
      </c>
      <c r="E2510" t="s">
        <v>55</v>
      </c>
      <c r="F2510" t="s">
        <v>53</v>
      </c>
      <c r="G2510" t="s">
        <v>48</v>
      </c>
      <c r="H2510" s="2">
        <v>24501</v>
      </c>
      <c r="I2510" s="2">
        <v>23601</v>
      </c>
      <c r="J2510">
        <v>270</v>
      </c>
      <c r="K2510" s="2">
        <v>5641</v>
      </c>
      <c r="L2510">
        <v>713</v>
      </c>
      <c r="M2510">
        <v>820</v>
      </c>
      <c r="N2510">
        <v>326</v>
      </c>
      <c r="O2510" s="2">
        <v>1485</v>
      </c>
      <c r="P2510">
        <v>441</v>
      </c>
      <c r="Q2510">
        <v>409</v>
      </c>
      <c r="R2510">
        <v>239</v>
      </c>
      <c r="S2510" s="2">
        <v>5665</v>
      </c>
      <c r="T2510" s="2">
        <v>1182</v>
      </c>
      <c r="U2510" s="2">
        <v>1895</v>
      </c>
      <c r="V2510" s="2">
        <v>1651</v>
      </c>
      <c r="W2510" s="1">
        <v>44160</v>
      </c>
      <c r="X2510" t="s">
        <v>56</v>
      </c>
    </row>
    <row r="2511" spans="1:39" x14ac:dyDescent="0.3">
      <c r="A2511">
        <v>2020</v>
      </c>
      <c r="B2511">
        <v>9</v>
      </c>
      <c r="C2511" t="str">
        <f t="shared" si="78"/>
        <v>9/01/2020</v>
      </c>
      <c r="D2511" s="1" t="str">
        <f t="shared" si="79"/>
        <v>9/01/2020</v>
      </c>
      <c r="E2511" t="s">
        <v>55</v>
      </c>
      <c r="F2511" t="s">
        <v>53</v>
      </c>
      <c r="G2511" t="s">
        <v>49</v>
      </c>
      <c r="H2511" s="2">
        <v>23445</v>
      </c>
      <c r="I2511" s="2">
        <v>22623</v>
      </c>
      <c r="J2511">
        <v>242</v>
      </c>
      <c r="K2511" s="2">
        <v>3422</v>
      </c>
      <c r="L2511">
        <v>511</v>
      </c>
      <c r="M2511" s="2">
        <v>1447</v>
      </c>
      <c r="N2511">
        <v>387</v>
      </c>
      <c r="O2511" s="2">
        <v>1034</v>
      </c>
      <c r="P2511">
        <v>310</v>
      </c>
      <c r="Q2511">
        <v>444</v>
      </c>
      <c r="R2511">
        <v>299</v>
      </c>
      <c r="S2511" s="2">
        <v>6510</v>
      </c>
      <c r="T2511" s="2">
        <v>1399</v>
      </c>
      <c r="U2511" s="2">
        <v>1654</v>
      </c>
      <c r="V2511" s="2">
        <v>1421</v>
      </c>
      <c r="W2511" s="1">
        <v>44160</v>
      </c>
      <c r="X2511" t="s">
        <v>56</v>
      </c>
    </row>
    <row r="2512" spans="1:39" x14ac:dyDescent="0.3">
      <c r="A2512">
        <v>2020</v>
      </c>
      <c r="B2512">
        <v>9</v>
      </c>
      <c r="C2512" t="str">
        <f t="shared" si="78"/>
        <v>9/01/2020</v>
      </c>
      <c r="D2512" s="1" t="str">
        <f t="shared" si="79"/>
        <v>9/01/2020</v>
      </c>
      <c r="E2512" t="s">
        <v>55</v>
      </c>
      <c r="F2512" t="s">
        <v>54</v>
      </c>
      <c r="G2512" t="s">
        <v>39</v>
      </c>
      <c r="H2512">
        <v>45</v>
      </c>
      <c r="I2512">
        <v>38</v>
      </c>
      <c r="J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T2512">
        <v>0</v>
      </c>
      <c r="U2512">
        <v>0</v>
      </c>
      <c r="V2512">
        <v>0</v>
      </c>
      <c r="W2512" s="1">
        <v>44160</v>
      </c>
      <c r="X2512" t="s">
        <v>56</v>
      </c>
      <c r="AB2512" t="s">
        <v>40</v>
      </c>
      <c r="AI2512" t="s">
        <v>40</v>
      </c>
      <c r="AJ2512" t="s">
        <v>40</v>
      </c>
    </row>
    <row r="2513" spans="1:39" x14ac:dyDescent="0.3">
      <c r="A2513">
        <v>2020</v>
      </c>
      <c r="B2513">
        <v>9</v>
      </c>
      <c r="C2513" t="str">
        <f t="shared" si="78"/>
        <v>9/01/2020</v>
      </c>
      <c r="D2513" s="1" t="str">
        <f t="shared" si="79"/>
        <v>9/01/2020</v>
      </c>
      <c r="E2513" t="s">
        <v>55</v>
      </c>
      <c r="F2513" t="s">
        <v>54</v>
      </c>
      <c r="G2513" t="s">
        <v>41</v>
      </c>
      <c r="H2513">
        <v>43</v>
      </c>
      <c r="I2513">
        <v>13</v>
      </c>
      <c r="J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S2513">
        <v>0</v>
      </c>
      <c r="T2513">
        <v>0</v>
      </c>
      <c r="U2513">
        <v>0</v>
      </c>
      <c r="V2513">
        <v>0</v>
      </c>
      <c r="W2513" s="1">
        <v>44160</v>
      </c>
      <c r="X2513" t="s">
        <v>56</v>
      </c>
      <c r="AB2513" t="s">
        <v>40</v>
      </c>
      <c r="AI2513" t="s">
        <v>40</v>
      </c>
    </row>
    <row r="2514" spans="1:39" x14ac:dyDescent="0.3">
      <c r="A2514">
        <v>2020</v>
      </c>
      <c r="B2514">
        <v>9</v>
      </c>
      <c r="C2514" t="str">
        <f t="shared" si="78"/>
        <v>9/01/2020</v>
      </c>
      <c r="D2514" s="1" t="str">
        <f t="shared" si="79"/>
        <v>9/01/2020</v>
      </c>
      <c r="E2514" t="s">
        <v>55</v>
      </c>
      <c r="F2514" t="s">
        <v>54</v>
      </c>
      <c r="G2514" t="s">
        <v>42</v>
      </c>
      <c r="H2514">
        <v>88</v>
      </c>
      <c r="I2514">
        <v>33</v>
      </c>
      <c r="M2514">
        <v>0</v>
      </c>
      <c r="N2514">
        <v>0</v>
      </c>
      <c r="O2514">
        <v>0</v>
      </c>
      <c r="P2514">
        <v>0</v>
      </c>
      <c r="R2514">
        <v>15</v>
      </c>
      <c r="W2514" s="1">
        <v>44160</v>
      </c>
      <c r="X2514" t="s">
        <v>56</v>
      </c>
      <c r="AA2514" t="s">
        <v>40</v>
      </c>
      <c r="AB2514" t="s">
        <v>40</v>
      </c>
      <c r="AC2514" t="s">
        <v>40</v>
      </c>
      <c r="AH2514" t="s">
        <v>40</v>
      </c>
      <c r="AJ2514" t="s">
        <v>40</v>
      </c>
      <c r="AK2514" t="s">
        <v>40</v>
      </c>
      <c r="AL2514" t="s">
        <v>40</v>
      </c>
      <c r="AM2514" t="s">
        <v>40</v>
      </c>
    </row>
    <row r="2515" spans="1:39" x14ac:dyDescent="0.3">
      <c r="A2515">
        <v>2020</v>
      </c>
      <c r="B2515">
        <v>9</v>
      </c>
      <c r="C2515" t="str">
        <f t="shared" si="78"/>
        <v>9/01/2020</v>
      </c>
      <c r="D2515" s="1" t="str">
        <f t="shared" si="79"/>
        <v>9/01/2020</v>
      </c>
      <c r="E2515" t="s">
        <v>55</v>
      </c>
      <c r="F2515" t="s">
        <v>54</v>
      </c>
      <c r="G2515" t="s">
        <v>43</v>
      </c>
      <c r="H2515">
        <v>78</v>
      </c>
      <c r="I2515">
        <v>59</v>
      </c>
      <c r="M2515">
        <v>0</v>
      </c>
      <c r="O2515">
        <v>0</v>
      </c>
      <c r="Q2515">
        <v>0</v>
      </c>
      <c r="R2515">
        <v>24</v>
      </c>
      <c r="T2515">
        <v>0</v>
      </c>
      <c r="W2515" s="1">
        <v>44160</v>
      </c>
      <c r="X2515" t="s">
        <v>56</v>
      </c>
      <c r="AA2515" t="s">
        <v>40</v>
      </c>
      <c r="AB2515" t="s">
        <v>40</v>
      </c>
      <c r="AC2515" t="s">
        <v>40</v>
      </c>
      <c r="AE2515" t="s">
        <v>40</v>
      </c>
      <c r="AG2515" t="s">
        <v>40</v>
      </c>
      <c r="AJ2515" t="s">
        <v>40</v>
      </c>
      <c r="AL2515" t="s">
        <v>40</v>
      </c>
      <c r="AM2515" t="s">
        <v>40</v>
      </c>
    </row>
    <row r="2516" spans="1:39" x14ac:dyDescent="0.3">
      <c r="A2516">
        <v>2020</v>
      </c>
      <c r="B2516">
        <v>9</v>
      </c>
      <c r="C2516" t="str">
        <f t="shared" si="78"/>
        <v>9/01/2020</v>
      </c>
      <c r="D2516" s="1" t="str">
        <f t="shared" si="79"/>
        <v>9/01/2020</v>
      </c>
      <c r="E2516" t="s">
        <v>55</v>
      </c>
      <c r="F2516" t="s">
        <v>54</v>
      </c>
      <c r="G2516" t="s">
        <v>44</v>
      </c>
      <c r="H2516">
        <v>141</v>
      </c>
      <c r="I2516">
        <v>119</v>
      </c>
      <c r="K2516">
        <v>18</v>
      </c>
      <c r="M2516">
        <v>0</v>
      </c>
      <c r="R2516">
        <v>21</v>
      </c>
      <c r="S2516">
        <v>19</v>
      </c>
      <c r="U2516">
        <v>12</v>
      </c>
      <c r="V2516">
        <v>12</v>
      </c>
      <c r="W2516" s="1">
        <v>44160</v>
      </c>
      <c r="X2516" t="s">
        <v>56</v>
      </c>
      <c r="AA2516" t="s">
        <v>40</v>
      </c>
      <c r="AC2516" t="s">
        <v>40</v>
      </c>
      <c r="AE2516" t="s">
        <v>40</v>
      </c>
      <c r="AF2516" t="s">
        <v>40</v>
      </c>
      <c r="AG2516" t="s">
        <v>40</v>
      </c>
      <c r="AH2516" t="s">
        <v>40</v>
      </c>
      <c r="AK2516" t="s">
        <v>40</v>
      </c>
    </row>
    <row r="2517" spans="1:39" x14ac:dyDescent="0.3">
      <c r="A2517">
        <v>2020</v>
      </c>
      <c r="B2517">
        <v>9</v>
      </c>
      <c r="C2517" t="str">
        <f t="shared" si="78"/>
        <v>9/01/2020</v>
      </c>
      <c r="D2517" s="1" t="str">
        <f t="shared" si="79"/>
        <v>9/01/2020</v>
      </c>
      <c r="E2517" t="s">
        <v>55</v>
      </c>
      <c r="F2517" t="s">
        <v>54</v>
      </c>
      <c r="G2517" t="s">
        <v>45</v>
      </c>
      <c r="H2517">
        <v>10</v>
      </c>
      <c r="J2517">
        <v>0</v>
      </c>
      <c r="L2517">
        <v>0</v>
      </c>
      <c r="M2517">
        <v>0</v>
      </c>
      <c r="N2517">
        <v>0</v>
      </c>
      <c r="O2517">
        <v>0</v>
      </c>
      <c r="Q2517">
        <v>0</v>
      </c>
      <c r="S2517">
        <v>0</v>
      </c>
      <c r="T2517">
        <v>0</v>
      </c>
      <c r="U2517">
        <v>0</v>
      </c>
      <c r="V2517">
        <v>0</v>
      </c>
      <c r="W2517" s="1">
        <v>44160</v>
      </c>
      <c r="X2517" t="s">
        <v>56</v>
      </c>
      <c r="Z2517" t="s">
        <v>40</v>
      </c>
      <c r="AB2517" t="s">
        <v>40</v>
      </c>
      <c r="AG2517" t="s">
        <v>40</v>
      </c>
      <c r="AI2517" t="s">
        <v>40</v>
      </c>
    </row>
    <row r="2518" spans="1:39" x14ac:dyDescent="0.3">
      <c r="A2518">
        <v>2020</v>
      </c>
      <c r="B2518">
        <v>9</v>
      </c>
      <c r="C2518" t="str">
        <f t="shared" si="78"/>
        <v>9/01/2020</v>
      </c>
      <c r="D2518" s="1" t="str">
        <f t="shared" si="79"/>
        <v>9/01/2020</v>
      </c>
      <c r="E2518" t="s">
        <v>55</v>
      </c>
      <c r="F2518" t="s">
        <v>54</v>
      </c>
      <c r="G2518" t="s">
        <v>46</v>
      </c>
      <c r="H2518">
        <v>252</v>
      </c>
      <c r="I2518">
        <v>232</v>
      </c>
      <c r="K2518">
        <v>42</v>
      </c>
      <c r="L2518">
        <v>11</v>
      </c>
      <c r="M2518">
        <v>0</v>
      </c>
      <c r="O2518">
        <v>11</v>
      </c>
      <c r="R2518">
        <v>25</v>
      </c>
      <c r="S2518">
        <v>55</v>
      </c>
      <c r="U2518">
        <v>26</v>
      </c>
      <c r="V2518">
        <v>25</v>
      </c>
      <c r="W2518" s="1">
        <v>44160</v>
      </c>
      <c r="X2518" t="s">
        <v>56</v>
      </c>
      <c r="AA2518" t="s">
        <v>40</v>
      </c>
      <c r="AE2518" t="s">
        <v>40</v>
      </c>
      <c r="AG2518" t="s">
        <v>40</v>
      </c>
      <c r="AH2518" t="s">
        <v>40</v>
      </c>
      <c r="AK2518" t="s">
        <v>40</v>
      </c>
    </row>
    <row r="2519" spans="1:39" x14ac:dyDescent="0.3">
      <c r="A2519">
        <v>2020</v>
      </c>
      <c r="B2519">
        <v>9</v>
      </c>
      <c r="C2519" t="str">
        <f t="shared" si="78"/>
        <v>9/01/2020</v>
      </c>
      <c r="D2519" s="1" t="str">
        <f t="shared" si="79"/>
        <v>9/01/2020</v>
      </c>
      <c r="E2519" t="s">
        <v>55</v>
      </c>
      <c r="F2519" t="s">
        <v>54</v>
      </c>
      <c r="G2519" t="s">
        <v>47</v>
      </c>
      <c r="H2519">
        <v>313</v>
      </c>
      <c r="I2519">
        <v>301</v>
      </c>
      <c r="K2519">
        <v>76</v>
      </c>
      <c r="L2519">
        <v>16</v>
      </c>
      <c r="O2519">
        <v>18</v>
      </c>
      <c r="S2519">
        <v>76</v>
      </c>
      <c r="T2519">
        <v>16</v>
      </c>
      <c r="U2519">
        <v>27</v>
      </c>
      <c r="V2519">
        <v>26</v>
      </c>
      <c r="W2519" s="1">
        <v>44160</v>
      </c>
      <c r="X2519" t="s">
        <v>56</v>
      </c>
      <c r="AA2519" t="s">
        <v>40</v>
      </c>
      <c r="AD2519" t="s">
        <v>40</v>
      </c>
      <c r="AE2519" t="s">
        <v>40</v>
      </c>
      <c r="AG2519" t="s">
        <v>40</v>
      </c>
      <c r="AH2519" t="s">
        <v>40</v>
      </c>
      <c r="AI2519" t="s">
        <v>40</v>
      </c>
    </row>
    <row r="2520" spans="1:39" x14ac:dyDescent="0.3">
      <c r="A2520">
        <v>2020</v>
      </c>
      <c r="B2520">
        <v>9</v>
      </c>
      <c r="C2520" t="str">
        <f t="shared" si="78"/>
        <v>9/01/2020</v>
      </c>
      <c r="D2520" s="1" t="str">
        <f t="shared" si="79"/>
        <v>9/01/2020</v>
      </c>
      <c r="E2520" t="s">
        <v>55</v>
      </c>
      <c r="F2520" t="s">
        <v>54</v>
      </c>
      <c r="G2520" t="s">
        <v>48</v>
      </c>
      <c r="H2520">
        <v>250</v>
      </c>
      <c r="I2520">
        <v>245</v>
      </c>
      <c r="K2520">
        <v>61</v>
      </c>
      <c r="O2520">
        <v>12</v>
      </c>
      <c r="S2520">
        <v>68</v>
      </c>
      <c r="T2520">
        <v>12</v>
      </c>
      <c r="U2520">
        <v>14</v>
      </c>
      <c r="V2520">
        <v>12</v>
      </c>
      <c r="W2520" s="1">
        <v>44160</v>
      </c>
      <c r="X2520" t="s">
        <v>56</v>
      </c>
      <c r="AA2520" t="s">
        <v>40</v>
      </c>
      <c r="AC2520" t="s">
        <v>40</v>
      </c>
      <c r="AD2520" t="s">
        <v>40</v>
      </c>
      <c r="AE2520" t="s">
        <v>40</v>
      </c>
      <c r="AG2520" t="s">
        <v>40</v>
      </c>
      <c r="AH2520" t="s">
        <v>40</v>
      </c>
      <c r="AI2520" t="s">
        <v>40</v>
      </c>
    </row>
    <row r="2521" spans="1:39" x14ac:dyDescent="0.3">
      <c r="A2521">
        <v>2020</v>
      </c>
      <c r="B2521">
        <v>9</v>
      </c>
      <c r="C2521" t="str">
        <f t="shared" si="78"/>
        <v>9/01/2020</v>
      </c>
      <c r="D2521" s="1" t="str">
        <f t="shared" si="79"/>
        <v>9/01/2020</v>
      </c>
      <c r="E2521" t="s">
        <v>55</v>
      </c>
      <c r="F2521" t="s">
        <v>54</v>
      </c>
      <c r="G2521" t="s">
        <v>49</v>
      </c>
      <c r="H2521">
        <v>160</v>
      </c>
      <c r="I2521">
        <v>152</v>
      </c>
      <c r="K2521">
        <v>22</v>
      </c>
      <c r="M2521">
        <v>12</v>
      </c>
      <c r="R2521">
        <v>0</v>
      </c>
      <c r="S2521">
        <v>47</v>
      </c>
      <c r="T2521">
        <v>11</v>
      </c>
      <c r="U2521">
        <v>10</v>
      </c>
      <c r="W2521" s="1">
        <v>44160</v>
      </c>
      <c r="X2521" t="s">
        <v>56</v>
      </c>
      <c r="AA2521" t="s">
        <v>40</v>
      </c>
      <c r="AC2521" t="s">
        <v>40</v>
      </c>
      <c r="AE2521" t="s">
        <v>40</v>
      </c>
      <c r="AF2521" t="s">
        <v>40</v>
      </c>
      <c r="AG2521" t="s">
        <v>40</v>
      </c>
      <c r="AH2521" t="s">
        <v>40</v>
      </c>
      <c r="AM2521" t="s">
        <v>40</v>
      </c>
    </row>
    <row r="2522" spans="1:39" x14ac:dyDescent="0.3">
      <c r="A2522">
        <v>2020</v>
      </c>
      <c r="B2522">
        <v>10</v>
      </c>
      <c r="C2522" t="str">
        <f t="shared" si="78"/>
        <v>10/01/2020</v>
      </c>
      <c r="D2522" s="1" t="str">
        <f t="shared" si="79"/>
        <v>10/01/2020</v>
      </c>
      <c r="E2522" t="s">
        <v>37</v>
      </c>
      <c r="F2522" t="s">
        <v>38</v>
      </c>
      <c r="G2522" t="s">
        <v>39</v>
      </c>
      <c r="H2522">
        <v>164</v>
      </c>
      <c r="I2522">
        <v>152</v>
      </c>
      <c r="L2522">
        <v>0</v>
      </c>
      <c r="M2522">
        <v>0</v>
      </c>
      <c r="N2522">
        <v>0</v>
      </c>
      <c r="O2522">
        <v>0</v>
      </c>
      <c r="R2522">
        <v>28</v>
      </c>
      <c r="U2522">
        <v>0</v>
      </c>
      <c r="V2522">
        <v>0</v>
      </c>
      <c r="W2522" s="1">
        <v>44160</v>
      </c>
      <c r="X2522" t="s">
        <v>56</v>
      </c>
      <c r="AA2522" t="s">
        <v>40</v>
      </c>
      <c r="AB2522" t="s">
        <v>40</v>
      </c>
      <c r="AG2522" t="s">
        <v>40</v>
      </c>
      <c r="AH2522" t="s">
        <v>40</v>
      </c>
      <c r="AJ2522" t="s">
        <v>40</v>
      </c>
      <c r="AK2522" t="s">
        <v>40</v>
      </c>
    </row>
    <row r="2523" spans="1:39" x14ac:dyDescent="0.3">
      <c r="A2523">
        <v>2020</v>
      </c>
      <c r="B2523">
        <v>10</v>
      </c>
      <c r="C2523" t="str">
        <f t="shared" si="78"/>
        <v>10/01/2020</v>
      </c>
      <c r="D2523" s="1" t="str">
        <f t="shared" si="79"/>
        <v>10/01/2020</v>
      </c>
      <c r="E2523" t="s">
        <v>37</v>
      </c>
      <c r="F2523" t="s">
        <v>38</v>
      </c>
      <c r="G2523" t="s">
        <v>41</v>
      </c>
      <c r="H2523">
        <v>141</v>
      </c>
      <c r="I2523">
        <v>64</v>
      </c>
      <c r="J2523">
        <v>0</v>
      </c>
      <c r="K2523">
        <v>13</v>
      </c>
      <c r="L2523">
        <v>0</v>
      </c>
      <c r="M2523">
        <v>0</v>
      </c>
      <c r="N2523">
        <v>0</v>
      </c>
      <c r="O2523">
        <v>0</v>
      </c>
      <c r="Q2523">
        <v>0</v>
      </c>
      <c r="R2523">
        <v>35</v>
      </c>
      <c r="W2523" s="1">
        <v>44160</v>
      </c>
      <c r="X2523" t="s">
        <v>56</v>
      </c>
      <c r="AG2523" t="s">
        <v>40</v>
      </c>
      <c r="AJ2523" t="s">
        <v>40</v>
      </c>
      <c r="AK2523" t="s">
        <v>40</v>
      </c>
      <c r="AL2523" t="s">
        <v>40</v>
      </c>
      <c r="AM2523" t="s">
        <v>40</v>
      </c>
    </row>
    <row r="2524" spans="1:39" x14ac:dyDescent="0.3">
      <c r="A2524">
        <v>2020</v>
      </c>
      <c r="B2524">
        <v>10</v>
      </c>
      <c r="C2524" t="str">
        <f t="shared" si="78"/>
        <v>10/01/2020</v>
      </c>
      <c r="D2524" s="1" t="str">
        <f t="shared" si="79"/>
        <v>10/01/2020</v>
      </c>
      <c r="E2524" t="s">
        <v>37</v>
      </c>
      <c r="F2524" t="s">
        <v>38</v>
      </c>
      <c r="G2524" t="s">
        <v>42</v>
      </c>
      <c r="H2524">
        <v>229</v>
      </c>
      <c r="I2524">
        <v>163</v>
      </c>
      <c r="K2524">
        <v>23</v>
      </c>
      <c r="M2524">
        <v>0</v>
      </c>
      <c r="O2524">
        <v>0</v>
      </c>
      <c r="R2524">
        <v>52</v>
      </c>
      <c r="U2524">
        <v>21</v>
      </c>
      <c r="V2524">
        <v>19</v>
      </c>
      <c r="W2524" s="1">
        <v>44160</v>
      </c>
      <c r="X2524" t="s">
        <v>56</v>
      </c>
      <c r="AA2524" t="s">
        <v>40</v>
      </c>
      <c r="AC2524" t="s">
        <v>40</v>
      </c>
      <c r="AE2524" t="s">
        <v>40</v>
      </c>
      <c r="AG2524" t="s">
        <v>40</v>
      </c>
      <c r="AH2524" t="s">
        <v>40</v>
      </c>
      <c r="AJ2524" t="s">
        <v>40</v>
      </c>
      <c r="AK2524" t="s">
        <v>40</v>
      </c>
    </row>
    <row r="2525" spans="1:39" x14ac:dyDescent="0.3">
      <c r="A2525">
        <v>2020</v>
      </c>
      <c r="B2525">
        <v>10</v>
      </c>
      <c r="C2525" t="str">
        <f t="shared" si="78"/>
        <v>10/01/2020</v>
      </c>
      <c r="D2525" s="1" t="str">
        <f t="shared" si="79"/>
        <v>10/01/2020</v>
      </c>
      <c r="E2525" t="s">
        <v>37</v>
      </c>
      <c r="F2525" t="s">
        <v>38</v>
      </c>
      <c r="G2525" t="s">
        <v>43</v>
      </c>
      <c r="H2525">
        <v>342</v>
      </c>
      <c r="I2525">
        <v>288</v>
      </c>
      <c r="K2525">
        <v>73</v>
      </c>
      <c r="M2525">
        <v>0</v>
      </c>
      <c r="R2525">
        <v>59</v>
      </c>
      <c r="S2525">
        <v>17</v>
      </c>
      <c r="U2525">
        <v>44</v>
      </c>
      <c r="V2525">
        <v>40</v>
      </c>
      <c r="W2525" s="1">
        <v>44160</v>
      </c>
      <c r="X2525" t="s">
        <v>56</v>
      </c>
      <c r="AA2525" t="s">
        <v>40</v>
      </c>
      <c r="AC2525" t="s">
        <v>40</v>
      </c>
      <c r="AE2525" t="s">
        <v>40</v>
      </c>
      <c r="AF2525" t="s">
        <v>40</v>
      </c>
      <c r="AG2525" t="s">
        <v>40</v>
      </c>
      <c r="AH2525" t="s">
        <v>40</v>
      </c>
      <c r="AK2525" t="s">
        <v>40</v>
      </c>
    </row>
    <row r="2526" spans="1:39" x14ac:dyDescent="0.3">
      <c r="A2526">
        <v>2020</v>
      </c>
      <c r="B2526">
        <v>10</v>
      </c>
      <c r="C2526" t="str">
        <f t="shared" si="78"/>
        <v>10/01/2020</v>
      </c>
      <c r="D2526" s="1" t="str">
        <f t="shared" si="79"/>
        <v>10/01/2020</v>
      </c>
      <c r="E2526" t="s">
        <v>37</v>
      </c>
      <c r="F2526" t="s">
        <v>38</v>
      </c>
      <c r="G2526" t="s">
        <v>44</v>
      </c>
      <c r="H2526">
        <v>629</v>
      </c>
      <c r="I2526">
        <v>588</v>
      </c>
      <c r="J2526">
        <v>13</v>
      </c>
      <c r="K2526">
        <v>207</v>
      </c>
      <c r="L2526">
        <v>27</v>
      </c>
      <c r="M2526">
        <v>0</v>
      </c>
      <c r="Q2526">
        <v>11</v>
      </c>
      <c r="R2526">
        <v>55</v>
      </c>
      <c r="S2526">
        <v>38</v>
      </c>
      <c r="T2526">
        <v>27</v>
      </c>
      <c r="U2526">
        <v>81</v>
      </c>
      <c r="V2526">
        <v>73</v>
      </c>
      <c r="W2526" s="1">
        <v>44160</v>
      </c>
      <c r="X2526" t="s">
        <v>56</v>
      </c>
      <c r="AE2526" t="s">
        <v>40</v>
      </c>
      <c r="AF2526" t="s">
        <v>40</v>
      </c>
      <c r="AG2526" t="s">
        <v>40</v>
      </c>
    </row>
    <row r="2527" spans="1:39" x14ac:dyDescent="0.3">
      <c r="A2527">
        <v>2020</v>
      </c>
      <c r="B2527">
        <v>10</v>
      </c>
      <c r="C2527" t="str">
        <f t="shared" si="78"/>
        <v>10/01/2020</v>
      </c>
      <c r="D2527" s="1" t="str">
        <f t="shared" si="79"/>
        <v>10/01/2020</v>
      </c>
      <c r="E2527" t="s">
        <v>37</v>
      </c>
      <c r="F2527" t="s">
        <v>38</v>
      </c>
      <c r="G2527" t="s">
        <v>45</v>
      </c>
      <c r="H2527">
        <v>46</v>
      </c>
      <c r="I2527">
        <v>32</v>
      </c>
      <c r="L2527">
        <v>0</v>
      </c>
      <c r="M2527">
        <v>0</v>
      </c>
      <c r="N2527">
        <v>0</v>
      </c>
      <c r="O2527">
        <v>0</v>
      </c>
      <c r="U2527">
        <v>0</v>
      </c>
      <c r="V2527">
        <v>0</v>
      </c>
      <c r="W2527" s="1">
        <v>44160</v>
      </c>
      <c r="X2527" t="s">
        <v>56</v>
      </c>
      <c r="AA2527" t="s">
        <v>40</v>
      </c>
      <c r="AB2527" t="s">
        <v>40</v>
      </c>
      <c r="AG2527" t="s">
        <v>40</v>
      </c>
      <c r="AH2527" t="s">
        <v>40</v>
      </c>
      <c r="AI2527" t="s">
        <v>40</v>
      </c>
      <c r="AJ2527" t="s">
        <v>40</v>
      </c>
      <c r="AK2527" t="s">
        <v>40</v>
      </c>
    </row>
    <row r="2528" spans="1:39" x14ac:dyDescent="0.3">
      <c r="A2528">
        <v>2020</v>
      </c>
      <c r="B2528">
        <v>10</v>
      </c>
      <c r="C2528" t="str">
        <f t="shared" si="78"/>
        <v>10/01/2020</v>
      </c>
      <c r="D2528" s="1" t="str">
        <f t="shared" si="79"/>
        <v>10/01/2020</v>
      </c>
      <c r="E2528" t="s">
        <v>37</v>
      </c>
      <c r="F2528" t="s">
        <v>38</v>
      </c>
      <c r="G2528" t="s">
        <v>46</v>
      </c>
      <c r="H2528" s="2">
        <v>1124</v>
      </c>
      <c r="I2528" s="2">
        <v>1088</v>
      </c>
      <c r="J2528">
        <v>13</v>
      </c>
      <c r="K2528">
        <v>344</v>
      </c>
      <c r="L2528">
        <v>56</v>
      </c>
      <c r="N2528">
        <v>14</v>
      </c>
      <c r="O2528">
        <v>23</v>
      </c>
      <c r="P2528">
        <v>21</v>
      </c>
      <c r="Q2528">
        <v>18</v>
      </c>
      <c r="R2528">
        <v>43</v>
      </c>
      <c r="S2528">
        <v>128</v>
      </c>
      <c r="T2528">
        <v>44</v>
      </c>
      <c r="U2528">
        <v>185</v>
      </c>
      <c r="V2528">
        <v>169</v>
      </c>
      <c r="W2528" s="1">
        <v>44160</v>
      </c>
      <c r="X2528" t="s">
        <v>56</v>
      </c>
      <c r="AD2528" t="s">
        <v>40</v>
      </c>
    </row>
    <row r="2529" spans="1:39" x14ac:dyDescent="0.3">
      <c r="A2529">
        <v>2020</v>
      </c>
      <c r="B2529">
        <v>10</v>
      </c>
      <c r="C2529" t="str">
        <f t="shared" si="78"/>
        <v>10/01/2020</v>
      </c>
      <c r="D2529" s="1" t="str">
        <f t="shared" si="79"/>
        <v>10/01/2020</v>
      </c>
      <c r="E2529" t="s">
        <v>37</v>
      </c>
      <c r="F2529" t="s">
        <v>38</v>
      </c>
      <c r="G2529" t="s">
        <v>47</v>
      </c>
      <c r="H2529" s="2">
        <v>1732</v>
      </c>
      <c r="I2529" s="2">
        <v>1700</v>
      </c>
      <c r="J2529">
        <v>19</v>
      </c>
      <c r="K2529">
        <v>445</v>
      </c>
      <c r="L2529">
        <v>113</v>
      </c>
      <c r="M2529">
        <v>37</v>
      </c>
      <c r="N2529">
        <v>22</v>
      </c>
      <c r="O2529">
        <v>35</v>
      </c>
      <c r="P2529">
        <v>37</v>
      </c>
      <c r="Q2529">
        <v>35</v>
      </c>
      <c r="R2529">
        <v>35</v>
      </c>
      <c r="S2529">
        <v>257</v>
      </c>
      <c r="T2529">
        <v>91</v>
      </c>
      <c r="U2529">
        <v>303</v>
      </c>
      <c r="V2529">
        <v>287</v>
      </c>
      <c r="W2529" s="1">
        <v>44160</v>
      </c>
      <c r="X2529" t="s">
        <v>56</v>
      </c>
    </row>
    <row r="2530" spans="1:39" x14ac:dyDescent="0.3">
      <c r="A2530">
        <v>2020</v>
      </c>
      <c r="B2530">
        <v>10</v>
      </c>
      <c r="C2530" t="str">
        <f t="shared" si="78"/>
        <v>10/01/2020</v>
      </c>
      <c r="D2530" s="1" t="str">
        <f t="shared" si="79"/>
        <v>10/01/2020</v>
      </c>
      <c r="E2530" t="s">
        <v>37</v>
      </c>
      <c r="F2530" t="s">
        <v>38</v>
      </c>
      <c r="G2530" t="s">
        <v>48</v>
      </c>
      <c r="H2530" s="2">
        <v>2089</v>
      </c>
      <c r="I2530" s="2">
        <v>2053</v>
      </c>
      <c r="J2530">
        <v>32</v>
      </c>
      <c r="K2530">
        <v>376</v>
      </c>
      <c r="L2530">
        <v>108</v>
      </c>
      <c r="M2530">
        <v>144</v>
      </c>
      <c r="N2530">
        <v>27</v>
      </c>
      <c r="O2530">
        <v>61</v>
      </c>
      <c r="P2530">
        <v>35</v>
      </c>
      <c r="Q2530">
        <v>44</v>
      </c>
      <c r="R2530">
        <v>17</v>
      </c>
      <c r="S2530">
        <v>400</v>
      </c>
      <c r="T2530">
        <v>146</v>
      </c>
      <c r="U2530">
        <v>284</v>
      </c>
      <c r="V2530">
        <v>260</v>
      </c>
      <c r="W2530" s="1">
        <v>44160</v>
      </c>
      <c r="X2530" t="s">
        <v>56</v>
      </c>
    </row>
    <row r="2531" spans="1:39" x14ac:dyDescent="0.3">
      <c r="A2531">
        <v>2020</v>
      </c>
      <c r="B2531">
        <v>10</v>
      </c>
      <c r="C2531" t="str">
        <f t="shared" si="78"/>
        <v>10/01/2020</v>
      </c>
      <c r="D2531" s="1" t="str">
        <f t="shared" si="79"/>
        <v>10/01/2020</v>
      </c>
      <c r="E2531" t="s">
        <v>37</v>
      </c>
      <c r="F2531" t="s">
        <v>38</v>
      </c>
      <c r="G2531" t="s">
        <v>49</v>
      </c>
      <c r="H2531" s="2">
        <v>2789</v>
      </c>
      <c r="I2531" s="2">
        <v>2735</v>
      </c>
      <c r="J2531">
        <v>30</v>
      </c>
      <c r="K2531">
        <v>296</v>
      </c>
      <c r="L2531">
        <v>109</v>
      </c>
      <c r="M2531">
        <v>325</v>
      </c>
      <c r="N2531">
        <v>38</v>
      </c>
      <c r="O2531">
        <v>69</v>
      </c>
      <c r="P2531">
        <v>37</v>
      </c>
      <c r="Q2531">
        <v>41</v>
      </c>
      <c r="R2531">
        <v>30</v>
      </c>
      <c r="S2531">
        <v>628</v>
      </c>
      <c r="T2531">
        <v>261</v>
      </c>
      <c r="U2531">
        <v>267</v>
      </c>
      <c r="V2531">
        <v>237</v>
      </c>
      <c r="W2531" s="1">
        <v>44160</v>
      </c>
      <c r="X2531" t="s">
        <v>56</v>
      </c>
    </row>
    <row r="2532" spans="1:39" x14ac:dyDescent="0.3">
      <c r="A2532">
        <v>2020</v>
      </c>
      <c r="B2532">
        <v>10</v>
      </c>
      <c r="C2532" t="str">
        <f t="shared" si="78"/>
        <v>10/01/2020</v>
      </c>
      <c r="D2532" s="1" t="str">
        <f t="shared" si="79"/>
        <v>10/01/2020</v>
      </c>
      <c r="E2532" t="s">
        <v>37</v>
      </c>
      <c r="F2532" t="s">
        <v>50</v>
      </c>
      <c r="G2532" t="s">
        <v>39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S2532">
        <v>0</v>
      </c>
      <c r="T2532">
        <v>0</v>
      </c>
      <c r="U2532">
        <v>0</v>
      </c>
      <c r="V2532">
        <v>0</v>
      </c>
      <c r="W2532" s="1">
        <v>44160</v>
      </c>
      <c r="X2532" t="s">
        <v>56</v>
      </c>
      <c r="Y2532" t="s">
        <v>40</v>
      </c>
      <c r="Z2532" t="s">
        <v>40</v>
      </c>
      <c r="AI2532" t="s">
        <v>40</v>
      </c>
    </row>
    <row r="2533" spans="1:39" x14ac:dyDescent="0.3">
      <c r="A2533">
        <v>2020</v>
      </c>
      <c r="B2533">
        <v>10</v>
      </c>
      <c r="C2533" t="str">
        <f t="shared" si="78"/>
        <v>10/01/2020</v>
      </c>
      <c r="D2533" s="1" t="str">
        <f t="shared" si="79"/>
        <v>10/01/2020</v>
      </c>
      <c r="E2533" t="s">
        <v>37</v>
      </c>
      <c r="F2533" t="s">
        <v>50</v>
      </c>
      <c r="G2533" t="s">
        <v>41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S2533">
        <v>0</v>
      </c>
      <c r="T2533">
        <v>0</v>
      </c>
      <c r="U2533">
        <v>0</v>
      </c>
      <c r="V2533">
        <v>0</v>
      </c>
      <c r="W2533" s="1">
        <v>44160</v>
      </c>
      <c r="X2533" t="s">
        <v>56</v>
      </c>
      <c r="Y2533" t="s">
        <v>40</v>
      </c>
      <c r="Z2533" t="s">
        <v>40</v>
      </c>
      <c r="AI2533" t="s">
        <v>40</v>
      </c>
    </row>
    <row r="2534" spans="1:39" x14ac:dyDescent="0.3">
      <c r="A2534">
        <v>2020</v>
      </c>
      <c r="B2534">
        <v>10</v>
      </c>
      <c r="C2534" t="str">
        <f t="shared" si="78"/>
        <v>10/01/2020</v>
      </c>
      <c r="D2534" s="1" t="str">
        <f t="shared" si="79"/>
        <v>10/01/2020</v>
      </c>
      <c r="E2534" t="s">
        <v>37</v>
      </c>
      <c r="F2534" t="s">
        <v>50</v>
      </c>
      <c r="G2534" t="s">
        <v>42</v>
      </c>
      <c r="H2534">
        <v>48</v>
      </c>
      <c r="I2534">
        <v>35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11</v>
      </c>
      <c r="W2534" s="1">
        <v>44160</v>
      </c>
      <c r="X2534" t="s">
        <v>56</v>
      </c>
      <c r="AJ2534" t="s">
        <v>40</v>
      </c>
      <c r="AK2534" t="s">
        <v>40</v>
      </c>
      <c r="AL2534" t="s">
        <v>40</v>
      </c>
      <c r="AM2534" t="s">
        <v>40</v>
      </c>
    </row>
    <row r="2535" spans="1:39" x14ac:dyDescent="0.3">
      <c r="A2535">
        <v>2020</v>
      </c>
      <c r="B2535">
        <v>10</v>
      </c>
      <c r="C2535" t="str">
        <f t="shared" si="78"/>
        <v>10/01/2020</v>
      </c>
      <c r="D2535" s="1" t="str">
        <f t="shared" si="79"/>
        <v>10/01/2020</v>
      </c>
      <c r="E2535" t="s">
        <v>37</v>
      </c>
      <c r="F2535" t="s">
        <v>50</v>
      </c>
      <c r="G2535" t="s">
        <v>43</v>
      </c>
      <c r="H2535">
        <v>69</v>
      </c>
      <c r="I2535">
        <v>60</v>
      </c>
      <c r="J2535">
        <v>0</v>
      </c>
      <c r="M2535">
        <v>0</v>
      </c>
      <c r="N2535">
        <v>0</v>
      </c>
      <c r="O2535">
        <v>0</v>
      </c>
      <c r="P2535">
        <v>0</v>
      </c>
      <c r="R2535">
        <v>17</v>
      </c>
      <c r="T2535">
        <v>0</v>
      </c>
      <c r="W2535" s="1">
        <v>44160</v>
      </c>
      <c r="X2535" t="s">
        <v>56</v>
      </c>
      <c r="AB2535" t="s">
        <v>40</v>
      </c>
      <c r="AC2535" t="s">
        <v>40</v>
      </c>
      <c r="AH2535" t="s">
        <v>40</v>
      </c>
      <c r="AJ2535" t="s">
        <v>40</v>
      </c>
      <c r="AL2535" t="s">
        <v>40</v>
      </c>
      <c r="AM2535" t="s">
        <v>40</v>
      </c>
    </row>
    <row r="2536" spans="1:39" x14ac:dyDescent="0.3">
      <c r="A2536">
        <v>2020</v>
      </c>
      <c r="B2536">
        <v>10</v>
      </c>
      <c r="C2536" t="str">
        <f t="shared" si="78"/>
        <v>10/01/2020</v>
      </c>
      <c r="D2536" s="1" t="str">
        <f t="shared" si="79"/>
        <v>10/01/2020</v>
      </c>
      <c r="E2536" t="s">
        <v>37</v>
      </c>
      <c r="F2536" t="s">
        <v>50</v>
      </c>
      <c r="G2536" t="s">
        <v>44</v>
      </c>
      <c r="H2536">
        <v>90</v>
      </c>
      <c r="I2536">
        <v>84</v>
      </c>
      <c r="J2536">
        <v>0</v>
      </c>
      <c r="K2536">
        <v>14</v>
      </c>
      <c r="M2536">
        <v>0</v>
      </c>
      <c r="P2536">
        <v>0</v>
      </c>
      <c r="Q2536">
        <v>0</v>
      </c>
      <c r="R2536">
        <v>12</v>
      </c>
      <c r="W2536" s="1">
        <v>44160</v>
      </c>
      <c r="X2536" t="s">
        <v>56</v>
      </c>
      <c r="AC2536" t="s">
        <v>40</v>
      </c>
      <c r="AE2536" t="s">
        <v>40</v>
      </c>
      <c r="AF2536" t="s">
        <v>40</v>
      </c>
      <c r="AJ2536" t="s">
        <v>40</v>
      </c>
      <c r="AK2536" t="s">
        <v>40</v>
      </c>
      <c r="AL2536" t="s">
        <v>40</v>
      </c>
      <c r="AM2536" t="s">
        <v>40</v>
      </c>
    </row>
    <row r="2537" spans="1:39" x14ac:dyDescent="0.3">
      <c r="A2537">
        <v>2020</v>
      </c>
      <c r="B2537">
        <v>10</v>
      </c>
      <c r="C2537" t="str">
        <f t="shared" si="78"/>
        <v>10/01/2020</v>
      </c>
      <c r="D2537" s="1" t="str">
        <f t="shared" si="79"/>
        <v>10/01/2020</v>
      </c>
      <c r="E2537" t="s">
        <v>37</v>
      </c>
      <c r="F2537" t="s">
        <v>50</v>
      </c>
      <c r="G2537" t="s">
        <v>45</v>
      </c>
      <c r="J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 s="1">
        <v>44160</v>
      </c>
      <c r="X2537" t="s">
        <v>56</v>
      </c>
      <c r="Y2537" t="s">
        <v>40</v>
      </c>
      <c r="Z2537" t="s">
        <v>40</v>
      </c>
      <c r="AB2537" t="s">
        <v>40</v>
      </c>
    </row>
    <row r="2538" spans="1:39" x14ac:dyDescent="0.3">
      <c r="A2538">
        <v>2020</v>
      </c>
      <c r="B2538">
        <v>10</v>
      </c>
      <c r="C2538" t="str">
        <f t="shared" si="78"/>
        <v>10/01/2020</v>
      </c>
      <c r="D2538" s="1" t="str">
        <f t="shared" si="79"/>
        <v>10/01/2020</v>
      </c>
      <c r="E2538" t="s">
        <v>37</v>
      </c>
      <c r="F2538" t="s">
        <v>50</v>
      </c>
      <c r="G2538" t="s">
        <v>46</v>
      </c>
      <c r="H2538">
        <v>136</v>
      </c>
      <c r="I2538">
        <v>132</v>
      </c>
      <c r="K2538">
        <v>30</v>
      </c>
      <c r="L2538">
        <v>11</v>
      </c>
      <c r="M2538">
        <v>0</v>
      </c>
      <c r="R2538">
        <v>12</v>
      </c>
      <c r="S2538">
        <v>16</v>
      </c>
      <c r="U2538">
        <v>21</v>
      </c>
      <c r="V2538">
        <v>18</v>
      </c>
      <c r="W2538" s="1">
        <v>44160</v>
      </c>
      <c r="X2538" t="s">
        <v>56</v>
      </c>
      <c r="AA2538" t="s">
        <v>40</v>
      </c>
      <c r="AE2538" t="s">
        <v>40</v>
      </c>
      <c r="AF2538" t="s">
        <v>40</v>
      </c>
      <c r="AG2538" t="s">
        <v>40</v>
      </c>
      <c r="AH2538" t="s">
        <v>40</v>
      </c>
      <c r="AK2538" t="s">
        <v>40</v>
      </c>
    </row>
    <row r="2539" spans="1:39" x14ac:dyDescent="0.3">
      <c r="A2539">
        <v>2020</v>
      </c>
      <c r="B2539">
        <v>10</v>
      </c>
      <c r="C2539" t="str">
        <f t="shared" si="78"/>
        <v>10/01/2020</v>
      </c>
      <c r="D2539" s="1" t="str">
        <f t="shared" si="79"/>
        <v>10/01/2020</v>
      </c>
      <c r="E2539" t="s">
        <v>37</v>
      </c>
      <c r="F2539" t="s">
        <v>50</v>
      </c>
      <c r="G2539" t="s">
        <v>47</v>
      </c>
      <c r="H2539">
        <v>166</v>
      </c>
      <c r="I2539">
        <v>163</v>
      </c>
      <c r="K2539">
        <v>35</v>
      </c>
      <c r="L2539">
        <v>11</v>
      </c>
      <c r="N2539">
        <v>0</v>
      </c>
      <c r="O2539">
        <v>10</v>
      </c>
      <c r="S2539">
        <v>27</v>
      </c>
      <c r="U2539">
        <v>34</v>
      </c>
      <c r="V2539">
        <v>34</v>
      </c>
      <c r="W2539" s="1">
        <v>44160</v>
      </c>
      <c r="X2539" t="s">
        <v>56</v>
      </c>
      <c r="AA2539" t="s">
        <v>40</v>
      </c>
      <c r="AD2539" t="s">
        <v>40</v>
      </c>
      <c r="AG2539" t="s">
        <v>40</v>
      </c>
      <c r="AH2539" t="s">
        <v>40</v>
      </c>
      <c r="AI2539" t="s">
        <v>40</v>
      </c>
      <c r="AK2539" t="s">
        <v>40</v>
      </c>
    </row>
    <row r="2540" spans="1:39" x14ac:dyDescent="0.3">
      <c r="A2540">
        <v>2020</v>
      </c>
      <c r="B2540">
        <v>10</v>
      </c>
      <c r="C2540" t="str">
        <f t="shared" si="78"/>
        <v>10/01/2020</v>
      </c>
      <c r="D2540" s="1" t="str">
        <f t="shared" si="79"/>
        <v>10/01/2020</v>
      </c>
      <c r="E2540" t="s">
        <v>37</v>
      </c>
      <c r="F2540" t="s">
        <v>50</v>
      </c>
      <c r="G2540" t="s">
        <v>48</v>
      </c>
      <c r="H2540">
        <v>186</v>
      </c>
      <c r="I2540">
        <v>182</v>
      </c>
      <c r="J2540">
        <v>0</v>
      </c>
      <c r="K2540">
        <v>33</v>
      </c>
      <c r="L2540">
        <v>11</v>
      </c>
      <c r="O2540">
        <v>10</v>
      </c>
      <c r="S2540">
        <v>32</v>
      </c>
      <c r="T2540">
        <v>15</v>
      </c>
      <c r="U2540">
        <v>35</v>
      </c>
      <c r="V2540">
        <v>31</v>
      </c>
      <c r="W2540" s="1">
        <v>44160</v>
      </c>
      <c r="X2540" t="s">
        <v>56</v>
      </c>
      <c r="AD2540" t="s">
        <v>40</v>
      </c>
      <c r="AE2540" t="s">
        <v>40</v>
      </c>
      <c r="AG2540" t="s">
        <v>40</v>
      </c>
      <c r="AH2540" t="s">
        <v>40</v>
      </c>
      <c r="AI2540" t="s">
        <v>40</v>
      </c>
    </row>
    <row r="2541" spans="1:39" x14ac:dyDescent="0.3">
      <c r="A2541">
        <v>2020</v>
      </c>
      <c r="B2541">
        <v>10</v>
      </c>
      <c r="C2541" t="str">
        <f t="shared" si="78"/>
        <v>10/01/2020</v>
      </c>
      <c r="D2541" s="1" t="str">
        <f t="shared" si="79"/>
        <v>10/01/2020</v>
      </c>
      <c r="E2541" t="s">
        <v>37</v>
      </c>
      <c r="F2541" t="s">
        <v>50</v>
      </c>
      <c r="G2541" t="s">
        <v>49</v>
      </c>
      <c r="H2541">
        <v>104</v>
      </c>
      <c r="I2541">
        <v>102</v>
      </c>
      <c r="S2541">
        <v>26</v>
      </c>
      <c r="U2541">
        <v>16</v>
      </c>
      <c r="V2541">
        <v>14</v>
      </c>
      <c r="W2541" s="1">
        <v>44160</v>
      </c>
      <c r="X2541" t="s">
        <v>56</v>
      </c>
      <c r="AA2541" t="s">
        <v>40</v>
      </c>
      <c r="AB2541" t="s">
        <v>40</v>
      </c>
      <c r="AC2541" t="s">
        <v>40</v>
      </c>
      <c r="AD2541" t="s">
        <v>40</v>
      </c>
      <c r="AE2541" t="s">
        <v>40</v>
      </c>
      <c r="AF2541" t="s">
        <v>40</v>
      </c>
      <c r="AG2541" t="s">
        <v>40</v>
      </c>
      <c r="AH2541" t="s">
        <v>40</v>
      </c>
      <c r="AI2541" t="s">
        <v>40</v>
      </c>
      <c r="AK2541" t="s">
        <v>40</v>
      </c>
    </row>
    <row r="2542" spans="1:39" x14ac:dyDescent="0.3">
      <c r="A2542">
        <v>2020</v>
      </c>
      <c r="B2542">
        <v>10</v>
      </c>
      <c r="C2542" t="str">
        <f t="shared" si="78"/>
        <v>10/01/2020</v>
      </c>
      <c r="D2542" s="1" t="str">
        <f t="shared" si="79"/>
        <v>10/01/2020</v>
      </c>
      <c r="E2542" t="s">
        <v>37</v>
      </c>
      <c r="F2542" t="s">
        <v>51</v>
      </c>
      <c r="G2542" t="s">
        <v>39</v>
      </c>
      <c r="H2542">
        <v>22</v>
      </c>
      <c r="I2542">
        <v>21</v>
      </c>
      <c r="J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S2542">
        <v>0</v>
      </c>
      <c r="U2542">
        <v>0</v>
      </c>
      <c r="V2542">
        <v>0</v>
      </c>
      <c r="W2542" s="1">
        <v>44160</v>
      </c>
      <c r="X2542" t="s">
        <v>56</v>
      </c>
      <c r="AB2542" t="s">
        <v>40</v>
      </c>
      <c r="AI2542" t="s">
        <v>40</v>
      </c>
      <c r="AK2542" t="s">
        <v>40</v>
      </c>
    </row>
    <row r="2543" spans="1:39" x14ac:dyDescent="0.3">
      <c r="A2543">
        <v>2020</v>
      </c>
      <c r="B2543">
        <v>10</v>
      </c>
      <c r="C2543" t="str">
        <f t="shared" si="78"/>
        <v>10/01/2020</v>
      </c>
      <c r="D2543" s="1" t="str">
        <f t="shared" si="79"/>
        <v>10/01/2020</v>
      </c>
      <c r="E2543" t="s">
        <v>37</v>
      </c>
      <c r="F2543" t="s">
        <v>51</v>
      </c>
      <c r="G2543" t="s">
        <v>41</v>
      </c>
      <c r="H2543">
        <v>20</v>
      </c>
      <c r="I2543">
        <v>13</v>
      </c>
      <c r="L2543">
        <v>0</v>
      </c>
      <c r="M2543">
        <v>0</v>
      </c>
      <c r="N2543">
        <v>0</v>
      </c>
      <c r="O2543">
        <v>0</v>
      </c>
      <c r="Q2543">
        <v>0</v>
      </c>
      <c r="S2543">
        <v>0</v>
      </c>
      <c r="T2543">
        <v>0</v>
      </c>
      <c r="U2543">
        <v>0</v>
      </c>
      <c r="V2543">
        <v>0</v>
      </c>
      <c r="W2543" s="1">
        <v>44160</v>
      </c>
      <c r="X2543" t="s">
        <v>56</v>
      </c>
      <c r="AA2543" t="s">
        <v>40</v>
      </c>
      <c r="AB2543" t="s">
        <v>40</v>
      </c>
      <c r="AG2543" t="s">
        <v>40</v>
      </c>
      <c r="AI2543" t="s">
        <v>40</v>
      </c>
    </row>
    <row r="2544" spans="1:39" x14ac:dyDescent="0.3">
      <c r="A2544">
        <v>2020</v>
      </c>
      <c r="B2544">
        <v>10</v>
      </c>
      <c r="C2544" t="str">
        <f t="shared" si="78"/>
        <v>10/01/2020</v>
      </c>
      <c r="D2544" s="1" t="str">
        <f t="shared" si="79"/>
        <v>10/01/2020</v>
      </c>
      <c r="E2544" t="s">
        <v>37</v>
      </c>
      <c r="F2544" t="s">
        <v>51</v>
      </c>
      <c r="G2544" t="s">
        <v>42</v>
      </c>
      <c r="H2544">
        <v>36</v>
      </c>
      <c r="I2544">
        <v>29</v>
      </c>
      <c r="J2544">
        <v>0</v>
      </c>
      <c r="M2544">
        <v>0</v>
      </c>
      <c r="O2544">
        <v>0</v>
      </c>
      <c r="P2544">
        <v>0</v>
      </c>
      <c r="Q2544">
        <v>0</v>
      </c>
      <c r="R2544">
        <v>12</v>
      </c>
      <c r="T2544">
        <v>0</v>
      </c>
      <c r="W2544" s="1">
        <v>44160</v>
      </c>
      <c r="X2544" t="s">
        <v>56</v>
      </c>
      <c r="AB2544" t="s">
        <v>40</v>
      </c>
      <c r="AC2544" t="s">
        <v>40</v>
      </c>
      <c r="AE2544" t="s">
        <v>40</v>
      </c>
      <c r="AJ2544" t="s">
        <v>40</v>
      </c>
      <c r="AL2544" t="s">
        <v>40</v>
      </c>
      <c r="AM2544" t="s">
        <v>40</v>
      </c>
    </row>
    <row r="2545" spans="1:39" x14ac:dyDescent="0.3">
      <c r="A2545">
        <v>2020</v>
      </c>
      <c r="B2545">
        <v>10</v>
      </c>
      <c r="C2545" t="str">
        <f t="shared" si="78"/>
        <v>10/01/2020</v>
      </c>
      <c r="D2545" s="1" t="str">
        <f t="shared" si="79"/>
        <v>10/01/2020</v>
      </c>
      <c r="E2545" t="s">
        <v>37</v>
      </c>
      <c r="F2545" t="s">
        <v>51</v>
      </c>
      <c r="G2545" t="s">
        <v>43</v>
      </c>
      <c r="H2545">
        <v>52</v>
      </c>
      <c r="I2545">
        <v>45</v>
      </c>
      <c r="K2545">
        <v>14</v>
      </c>
      <c r="L2545">
        <v>0</v>
      </c>
      <c r="M2545">
        <v>0</v>
      </c>
      <c r="N2545">
        <v>0</v>
      </c>
      <c r="P2545">
        <v>0</v>
      </c>
      <c r="Q2545">
        <v>0</v>
      </c>
      <c r="W2545" s="1">
        <v>44160</v>
      </c>
      <c r="X2545" t="s">
        <v>56</v>
      </c>
      <c r="AA2545" t="s">
        <v>40</v>
      </c>
      <c r="AF2545" t="s">
        <v>40</v>
      </c>
      <c r="AI2545" t="s">
        <v>40</v>
      </c>
      <c r="AJ2545" t="s">
        <v>40</v>
      </c>
      <c r="AK2545" t="s">
        <v>40</v>
      </c>
      <c r="AL2545" t="s">
        <v>40</v>
      </c>
      <c r="AM2545" t="s">
        <v>40</v>
      </c>
    </row>
    <row r="2546" spans="1:39" x14ac:dyDescent="0.3">
      <c r="A2546">
        <v>2020</v>
      </c>
      <c r="B2546">
        <v>10</v>
      </c>
      <c r="C2546" t="str">
        <f t="shared" si="78"/>
        <v>10/01/2020</v>
      </c>
      <c r="D2546" s="1" t="str">
        <f t="shared" si="79"/>
        <v>10/01/2020</v>
      </c>
      <c r="E2546" t="s">
        <v>37</v>
      </c>
      <c r="F2546" t="s">
        <v>51</v>
      </c>
      <c r="G2546" t="s">
        <v>44</v>
      </c>
      <c r="H2546">
        <v>146</v>
      </c>
      <c r="I2546">
        <v>133</v>
      </c>
      <c r="K2546">
        <v>72</v>
      </c>
      <c r="N2546">
        <v>0</v>
      </c>
      <c r="P2546">
        <v>0</v>
      </c>
      <c r="R2546">
        <v>10</v>
      </c>
      <c r="S2546">
        <v>11</v>
      </c>
      <c r="T2546">
        <v>11</v>
      </c>
      <c r="W2546" s="1">
        <v>44160</v>
      </c>
      <c r="X2546" t="s">
        <v>56</v>
      </c>
      <c r="AA2546" t="s">
        <v>40</v>
      </c>
      <c r="AC2546" t="s">
        <v>40</v>
      </c>
      <c r="AD2546" t="s">
        <v>40</v>
      </c>
      <c r="AF2546" t="s">
        <v>40</v>
      </c>
      <c r="AH2546" t="s">
        <v>40</v>
      </c>
      <c r="AL2546" t="s">
        <v>40</v>
      </c>
      <c r="AM2546" t="s">
        <v>40</v>
      </c>
    </row>
    <row r="2547" spans="1:39" x14ac:dyDescent="0.3">
      <c r="A2547">
        <v>2020</v>
      </c>
      <c r="B2547">
        <v>10</v>
      </c>
      <c r="C2547" t="str">
        <f t="shared" si="78"/>
        <v>10/01/2020</v>
      </c>
      <c r="D2547" s="1" t="str">
        <f t="shared" si="79"/>
        <v>10/01/2020</v>
      </c>
      <c r="E2547" t="s">
        <v>37</v>
      </c>
      <c r="F2547" t="s">
        <v>51</v>
      </c>
      <c r="G2547" t="s">
        <v>45</v>
      </c>
      <c r="H2547">
        <v>10</v>
      </c>
      <c r="J2547">
        <v>0</v>
      </c>
      <c r="L2547">
        <v>0</v>
      </c>
      <c r="M2547">
        <v>0</v>
      </c>
      <c r="N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 s="1">
        <v>44160</v>
      </c>
      <c r="X2547" t="s">
        <v>56</v>
      </c>
      <c r="Z2547" t="s">
        <v>40</v>
      </c>
      <c r="AB2547" t="s">
        <v>40</v>
      </c>
      <c r="AF2547" t="s">
        <v>40</v>
      </c>
    </row>
    <row r="2548" spans="1:39" x14ac:dyDescent="0.3">
      <c r="A2548">
        <v>2020</v>
      </c>
      <c r="B2548">
        <v>10</v>
      </c>
      <c r="C2548" t="str">
        <f t="shared" si="78"/>
        <v>10/01/2020</v>
      </c>
      <c r="D2548" s="1" t="str">
        <f t="shared" si="79"/>
        <v>10/01/2020</v>
      </c>
      <c r="E2548" t="s">
        <v>37</v>
      </c>
      <c r="F2548" t="s">
        <v>51</v>
      </c>
      <c r="G2548" t="s">
        <v>46</v>
      </c>
      <c r="H2548">
        <v>268</v>
      </c>
      <c r="I2548">
        <v>259</v>
      </c>
      <c r="K2548">
        <v>130</v>
      </c>
      <c r="O2548">
        <v>0</v>
      </c>
      <c r="S2548">
        <v>24</v>
      </c>
      <c r="T2548">
        <v>16</v>
      </c>
      <c r="U2548">
        <v>24</v>
      </c>
      <c r="V2548">
        <v>23</v>
      </c>
      <c r="W2548" s="1">
        <v>44160</v>
      </c>
      <c r="X2548" t="s">
        <v>56</v>
      </c>
      <c r="AA2548" t="s">
        <v>40</v>
      </c>
      <c r="AC2548" t="s">
        <v>40</v>
      </c>
      <c r="AD2548" t="s">
        <v>40</v>
      </c>
      <c r="AE2548" t="s">
        <v>40</v>
      </c>
      <c r="AG2548" t="s">
        <v>40</v>
      </c>
      <c r="AH2548" t="s">
        <v>40</v>
      </c>
      <c r="AI2548" t="s">
        <v>40</v>
      </c>
    </row>
    <row r="2549" spans="1:39" x14ac:dyDescent="0.3">
      <c r="A2549">
        <v>2020</v>
      </c>
      <c r="B2549">
        <v>10</v>
      </c>
      <c r="C2549" t="str">
        <f t="shared" si="78"/>
        <v>10/01/2020</v>
      </c>
      <c r="D2549" s="1" t="str">
        <f t="shared" si="79"/>
        <v>10/01/2020</v>
      </c>
      <c r="E2549" t="s">
        <v>37</v>
      </c>
      <c r="F2549" t="s">
        <v>51</v>
      </c>
      <c r="G2549" t="s">
        <v>47</v>
      </c>
      <c r="H2549">
        <v>531</v>
      </c>
      <c r="I2549">
        <v>515</v>
      </c>
      <c r="K2549">
        <v>193</v>
      </c>
      <c r="L2549">
        <v>31</v>
      </c>
      <c r="Q2549">
        <v>10</v>
      </c>
      <c r="S2549">
        <v>85</v>
      </c>
      <c r="T2549">
        <v>39</v>
      </c>
      <c r="U2549">
        <v>47</v>
      </c>
      <c r="V2549">
        <v>45</v>
      </c>
      <c r="W2549" s="1">
        <v>44160</v>
      </c>
      <c r="X2549" t="s">
        <v>56</v>
      </c>
      <c r="AA2549" t="s">
        <v>40</v>
      </c>
      <c r="AD2549" t="s">
        <v>40</v>
      </c>
      <c r="AE2549" t="s">
        <v>40</v>
      </c>
      <c r="AF2549" t="s">
        <v>40</v>
      </c>
      <c r="AG2549" t="s">
        <v>40</v>
      </c>
      <c r="AI2549" t="s">
        <v>40</v>
      </c>
    </row>
    <row r="2550" spans="1:39" x14ac:dyDescent="0.3">
      <c r="A2550">
        <v>2020</v>
      </c>
      <c r="B2550">
        <v>10</v>
      </c>
      <c r="C2550" t="str">
        <f t="shared" si="78"/>
        <v>10/01/2020</v>
      </c>
      <c r="D2550" s="1" t="str">
        <f t="shared" si="79"/>
        <v>10/01/2020</v>
      </c>
      <c r="E2550" t="s">
        <v>37</v>
      </c>
      <c r="F2550" t="s">
        <v>51</v>
      </c>
      <c r="G2550" t="s">
        <v>48</v>
      </c>
      <c r="H2550">
        <v>770</v>
      </c>
      <c r="I2550">
        <v>747</v>
      </c>
      <c r="K2550">
        <v>171</v>
      </c>
      <c r="L2550">
        <v>40</v>
      </c>
      <c r="M2550">
        <v>33</v>
      </c>
      <c r="N2550">
        <v>17</v>
      </c>
      <c r="O2550">
        <v>16</v>
      </c>
      <c r="Q2550">
        <v>23</v>
      </c>
      <c r="R2550">
        <v>12</v>
      </c>
      <c r="S2550">
        <v>149</v>
      </c>
      <c r="T2550">
        <v>77</v>
      </c>
      <c r="U2550">
        <v>58</v>
      </c>
      <c r="V2550">
        <v>51</v>
      </c>
      <c r="W2550" s="1">
        <v>44160</v>
      </c>
      <c r="X2550" t="s">
        <v>56</v>
      </c>
      <c r="AA2550" t="s">
        <v>40</v>
      </c>
      <c r="AG2550" t="s">
        <v>40</v>
      </c>
    </row>
    <row r="2551" spans="1:39" x14ac:dyDescent="0.3">
      <c r="A2551">
        <v>2020</v>
      </c>
      <c r="B2551">
        <v>10</v>
      </c>
      <c r="C2551" t="str">
        <f t="shared" si="78"/>
        <v>10/01/2020</v>
      </c>
      <c r="D2551" s="1" t="str">
        <f t="shared" si="79"/>
        <v>10/01/2020</v>
      </c>
      <c r="E2551" t="s">
        <v>37</v>
      </c>
      <c r="F2551" t="s">
        <v>51</v>
      </c>
      <c r="G2551" t="s">
        <v>49</v>
      </c>
      <c r="H2551" s="2">
        <v>1275</v>
      </c>
      <c r="I2551" s="2">
        <v>1250</v>
      </c>
      <c r="K2551">
        <v>134</v>
      </c>
      <c r="L2551">
        <v>50</v>
      </c>
      <c r="M2551">
        <v>157</v>
      </c>
      <c r="N2551">
        <v>29</v>
      </c>
      <c r="O2551">
        <v>39</v>
      </c>
      <c r="P2551">
        <v>11</v>
      </c>
      <c r="Q2551">
        <v>19</v>
      </c>
      <c r="R2551">
        <v>21</v>
      </c>
      <c r="S2551">
        <v>275</v>
      </c>
      <c r="T2551">
        <v>131</v>
      </c>
      <c r="U2551">
        <v>72</v>
      </c>
      <c r="V2551">
        <v>66</v>
      </c>
      <c r="W2551" s="1">
        <v>44160</v>
      </c>
      <c r="X2551" t="s">
        <v>56</v>
      </c>
      <c r="AA2551" t="s">
        <v>40</v>
      </c>
    </row>
    <row r="2552" spans="1:39" x14ac:dyDescent="0.3">
      <c r="A2552">
        <v>2020</v>
      </c>
      <c r="B2552">
        <v>10</v>
      </c>
      <c r="C2552" t="str">
        <f t="shared" si="78"/>
        <v>10/01/2020</v>
      </c>
      <c r="D2552" s="1" t="str">
        <f t="shared" si="79"/>
        <v>10/01/2020</v>
      </c>
      <c r="E2552" t="s">
        <v>37</v>
      </c>
      <c r="F2552" t="s">
        <v>52</v>
      </c>
      <c r="G2552" t="s">
        <v>39</v>
      </c>
      <c r="H2552">
        <v>171</v>
      </c>
      <c r="I2552">
        <v>162</v>
      </c>
      <c r="J2552">
        <v>0</v>
      </c>
      <c r="L2552">
        <v>0</v>
      </c>
      <c r="M2552">
        <v>0</v>
      </c>
      <c r="O2552">
        <v>0</v>
      </c>
      <c r="R2552">
        <v>44</v>
      </c>
      <c r="U2552">
        <v>0</v>
      </c>
      <c r="V2552">
        <v>0</v>
      </c>
      <c r="W2552" s="1">
        <v>44160</v>
      </c>
      <c r="X2552" t="s">
        <v>56</v>
      </c>
      <c r="AB2552" t="s">
        <v>40</v>
      </c>
      <c r="AE2552" t="s">
        <v>40</v>
      </c>
      <c r="AG2552" t="s">
        <v>40</v>
      </c>
      <c r="AH2552" t="s">
        <v>40</v>
      </c>
      <c r="AJ2552" t="s">
        <v>40</v>
      </c>
      <c r="AK2552" t="s">
        <v>40</v>
      </c>
    </row>
    <row r="2553" spans="1:39" x14ac:dyDescent="0.3">
      <c r="A2553">
        <v>2020</v>
      </c>
      <c r="B2553">
        <v>10</v>
      </c>
      <c r="C2553" t="str">
        <f t="shared" si="78"/>
        <v>10/01/2020</v>
      </c>
      <c r="D2553" s="1" t="str">
        <f t="shared" si="79"/>
        <v>10/01/2020</v>
      </c>
      <c r="E2553" t="s">
        <v>37</v>
      </c>
      <c r="F2553" t="s">
        <v>52</v>
      </c>
      <c r="G2553" t="s">
        <v>41</v>
      </c>
      <c r="H2553">
        <v>159</v>
      </c>
      <c r="I2553">
        <v>81</v>
      </c>
      <c r="J2553">
        <v>0</v>
      </c>
      <c r="M2553">
        <v>0</v>
      </c>
      <c r="Q2553">
        <v>0</v>
      </c>
      <c r="R2553">
        <v>40</v>
      </c>
      <c r="W2553" s="1">
        <v>44160</v>
      </c>
      <c r="X2553" t="s">
        <v>56</v>
      </c>
      <c r="AB2553" t="s">
        <v>40</v>
      </c>
      <c r="AC2553" t="s">
        <v>40</v>
      </c>
      <c r="AE2553" t="s">
        <v>40</v>
      </c>
      <c r="AF2553" t="s">
        <v>40</v>
      </c>
      <c r="AG2553" t="s">
        <v>40</v>
      </c>
      <c r="AJ2553" t="s">
        <v>40</v>
      </c>
      <c r="AK2553" t="s">
        <v>40</v>
      </c>
      <c r="AL2553" t="s">
        <v>40</v>
      </c>
      <c r="AM2553" t="s">
        <v>40</v>
      </c>
    </row>
    <row r="2554" spans="1:39" x14ac:dyDescent="0.3">
      <c r="A2554">
        <v>2020</v>
      </c>
      <c r="B2554">
        <v>10</v>
      </c>
      <c r="C2554" t="str">
        <f t="shared" si="78"/>
        <v>10/01/2020</v>
      </c>
      <c r="D2554" s="1" t="str">
        <f t="shared" si="79"/>
        <v>10/01/2020</v>
      </c>
      <c r="E2554" t="s">
        <v>37</v>
      </c>
      <c r="F2554" t="s">
        <v>52</v>
      </c>
      <c r="G2554" t="s">
        <v>42</v>
      </c>
      <c r="H2554">
        <v>334</v>
      </c>
      <c r="I2554">
        <v>223</v>
      </c>
      <c r="K2554">
        <v>21</v>
      </c>
      <c r="M2554">
        <v>0</v>
      </c>
      <c r="R2554">
        <v>84</v>
      </c>
      <c r="S2554">
        <v>27</v>
      </c>
      <c r="U2554">
        <v>10</v>
      </c>
      <c r="W2554" s="1">
        <v>44160</v>
      </c>
      <c r="X2554" t="s">
        <v>56</v>
      </c>
      <c r="AA2554" t="s">
        <v>40</v>
      </c>
      <c r="AC2554" t="s">
        <v>40</v>
      </c>
      <c r="AE2554" t="s">
        <v>40</v>
      </c>
      <c r="AF2554" t="s">
        <v>40</v>
      </c>
      <c r="AG2554" t="s">
        <v>40</v>
      </c>
      <c r="AH2554" t="s">
        <v>40</v>
      </c>
      <c r="AK2554" t="s">
        <v>40</v>
      </c>
      <c r="AM2554" t="s">
        <v>40</v>
      </c>
    </row>
    <row r="2555" spans="1:39" x14ac:dyDescent="0.3">
      <c r="A2555">
        <v>2020</v>
      </c>
      <c r="B2555">
        <v>10</v>
      </c>
      <c r="C2555" t="str">
        <f t="shared" si="78"/>
        <v>10/01/2020</v>
      </c>
      <c r="D2555" s="1" t="str">
        <f t="shared" si="79"/>
        <v>10/01/2020</v>
      </c>
      <c r="E2555" t="s">
        <v>37</v>
      </c>
      <c r="F2555" t="s">
        <v>52</v>
      </c>
      <c r="G2555" t="s">
        <v>43</v>
      </c>
      <c r="H2555">
        <v>590</v>
      </c>
      <c r="I2555">
        <v>510</v>
      </c>
      <c r="J2555">
        <v>11</v>
      </c>
      <c r="K2555">
        <v>84</v>
      </c>
      <c r="L2555">
        <v>18</v>
      </c>
      <c r="M2555">
        <v>0</v>
      </c>
      <c r="Q2555">
        <v>11</v>
      </c>
      <c r="R2555">
        <v>102</v>
      </c>
      <c r="S2555">
        <v>74</v>
      </c>
      <c r="T2555">
        <v>24</v>
      </c>
      <c r="U2555">
        <v>43</v>
      </c>
      <c r="V2555">
        <v>39</v>
      </c>
      <c r="W2555" s="1">
        <v>44160</v>
      </c>
      <c r="X2555" t="s">
        <v>56</v>
      </c>
      <c r="AE2555" t="s">
        <v>40</v>
      </c>
      <c r="AF2555" t="s">
        <v>40</v>
      </c>
      <c r="AG2555" t="s">
        <v>40</v>
      </c>
    </row>
    <row r="2556" spans="1:39" x14ac:dyDescent="0.3">
      <c r="A2556">
        <v>2020</v>
      </c>
      <c r="B2556">
        <v>10</v>
      </c>
      <c r="C2556" t="str">
        <f t="shared" si="78"/>
        <v>10/01/2020</v>
      </c>
      <c r="D2556" s="1" t="str">
        <f t="shared" si="79"/>
        <v>10/01/2020</v>
      </c>
      <c r="E2556" t="s">
        <v>37</v>
      </c>
      <c r="F2556" t="s">
        <v>52</v>
      </c>
      <c r="G2556" t="s">
        <v>44</v>
      </c>
      <c r="H2556" s="2">
        <v>1012</v>
      </c>
      <c r="I2556">
        <v>940</v>
      </c>
      <c r="J2556">
        <v>18</v>
      </c>
      <c r="K2556">
        <v>216</v>
      </c>
      <c r="L2556">
        <v>61</v>
      </c>
      <c r="M2556">
        <v>0</v>
      </c>
      <c r="N2556">
        <v>11</v>
      </c>
      <c r="O2556">
        <v>13</v>
      </c>
      <c r="P2556">
        <v>11</v>
      </c>
      <c r="Q2556">
        <v>15</v>
      </c>
      <c r="R2556">
        <v>107</v>
      </c>
      <c r="S2556">
        <v>175</v>
      </c>
      <c r="T2556">
        <v>49</v>
      </c>
      <c r="U2556">
        <v>60</v>
      </c>
      <c r="V2556">
        <v>55</v>
      </c>
      <c r="W2556" s="1">
        <v>44160</v>
      </c>
      <c r="X2556" t="s">
        <v>56</v>
      </c>
    </row>
    <row r="2557" spans="1:39" x14ac:dyDescent="0.3">
      <c r="A2557">
        <v>2020</v>
      </c>
      <c r="B2557">
        <v>10</v>
      </c>
      <c r="C2557" t="str">
        <f t="shared" si="78"/>
        <v>10/01/2020</v>
      </c>
      <c r="D2557" s="1" t="str">
        <f t="shared" si="79"/>
        <v>10/01/2020</v>
      </c>
      <c r="E2557" t="s">
        <v>37</v>
      </c>
      <c r="F2557" t="s">
        <v>52</v>
      </c>
      <c r="G2557" t="s">
        <v>45</v>
      </c>
      <c r="H2557">
        <v>35</v>
      </c>
      <c r="I2557">
        <v>20</v>
      </c>
      <c r="L2557">
        <v>0</v>
      </c>
      <c r="M2557">
        <v>0</v>
      </c>
      <c r="N2557">
        <v>0</v>
      </c>
      <c r="P2557">
        <v>0</v>
      </c>
      <c r="Q2557">
        <v>0</v>
      </c>
      <c r="T2557">
        <v>0</v>
      </c>
      <c r="W2557" s="1">
        <v>44160</v>
      </c>
      <c r="X2557" t="s">
        <v>56</v>
      </c>
      <c r="AA2557" t="s">
        <v>40</v>
      </c>
      <c r="AB2557" t="s">
        <v>40</v>
      </c>
      <c r="AF2557" t="s">
        <v>40</v>
      </c>
      <c r="AI2557" t="s">
        <v>40</v>
      </c>
      <c r="AJ2557" t="s">
        <v>40</v>
      </c>
      <c r="AL2557" t="s">
        <v>40</v>
      </c>
      <c r="AM2557" t="s">
        <v>40</v>
      </c>
    </row>
    <row r="2558" spans="1:39" x14ac:dyDescent="0.3">
      <c r="A2558">
        <v>2020</v>
      </c>
      <c r="B2558">
        <v>10</v>
      </c>
      <c r="C2558" t="str">
        <f t="shared" si="78"/>
        <v>10/01/2020</v>
      </c>
      <c r="D2558" s="1" t="str">
        <f t="shared" si="79"/>
        <v>10/01/2020</v>
      </c>
      <c r="E2558" t="s">
        <v>37</v>
      </c>
      <c r="F2558" t="s">
        <v>52</v>
      </c>
      <c r="G2558" t="s">
        <v>46</v>
      </c>
      <c r="H2558" s="2">
        <v>2335</v>
      </c>
      <c r="I2558" s="2">
        <v>2257</v>
      </c>
      <c r="J2558">
        <v>56</v>
      </c>
      <c r="K2558">
        <v>616</v>
      </c>
      <c r="L2558">
        <v>130</v>
      </c>
      <c r="N2558">
        <v>26</v>
      </c>
      <c r="O2558">
        <v>75</v>
      </c>
      <c r="P2558">
        <v>28</v>
      </c>
      <c r="Q2558">
        <v>68</v>
      </c>
      <c r="R2558">
        <v>112</v>
      </c>
      <c r="S2558">
        <v>433</v>
      </c>
      <c r="T2558">
        <v>102</v>
      </c>
      <c r="U2558">
        <v>183</v>
      </c>
      <c r="V2558">
        <v>166</v>
      </c>
      <c r="W2558" s="1">
        <v>44160</v>
      </c>
      <c r="X2558" t="s">
        <v>56</v>
      </c>
      <c r="AD2558" t="s">
        <v>40</v>
      </c>
    </row>
    <row r="2559" spans="1:39" x14ac:dyDescent="0.3">
      <c r="A2559">
        <v>2020</v>
      </c>
      <c r="B2559">
        <v>10</v>
      </c>
      <c r="C2559" t="str">
        <f t="shared" si="78"/>
        <v>10/01/2020</v>
      </c>
      <c r="D2559" s="1" t="str">
        <f t="shared" si="79"/>
        <v>10/01/2020</v>
      </c>
      <c r="E2559" t="s">
        <v>37</v>
      </c>
      <c r="F2559" t="s">
        <v>52</v>
      </c>
      <c r="G2559" t="s">
        <v>47</v>
      </c>
      <c r="H2559" s="2">
        <v>3009</v>
      </c>
      <c r="I2559" s="2">
        <v>2960</v>
      </c>
      <c r="J2559">
        <v>66</v>
      </c>
      <c r="K2559">
        <v>810</v>
      </c>
      <c r="L2559">
        <v>156</v>
      </c>
      <c r="M2559">
        <v>52</v>
      </c>
      <c r="N2559">
        <v>42</v>
      </c>
      <c r="O2559">
        <v>93</v>
      </c>
      <c r="P2559">
        <v>41</v>
      </c>
      <c r="Q2559">
        <v>96</v>
      </c>
      <c r="R2559">
        <v>53</v>
      </c>
      <c r="S2559">
        <v>643</v>
      </c>
      <c r="T2559">
        <v>143</v>
      </c>
      <c r="U2559">
        <v>267</v>
      </c>
      <c r="V2559">
        <v>235</v>
      </c>
      <c r="W2559" s="1">
        <v>44160</v>
      </c>
      <c r="X2559" t="s">
        <v>56</v>
      </c>
    </row>
    <row r="2560" spans="1:39" x14ac:dyDescent="0.3">
      <c r="A2560">
        <v>2020</v>
      </c>
      <c r="B2560">
        <v>10</v>
      </c>
      <c r="C2560" t="str">
        <f t="shared" si="78"/>
        <v>10/01/2020</v>
      </c>
      <c r="D2560" s="1" t="str">
        <f t="shared" si="79"/>
        <v>10/01/2020</v>
      </c>
      <c r="E2560" t="s">
        <v>37</v>
      </c>
      <c r="F2560" t="s">
        <v>52</v>
      </c>
      <c r="G2560" t="s">
        <v>48</v>
      </c>
      <c r="H2560" s="2">
        <v>3046</v>
      </c>
      <c r="I2560" s="2">
        <v>3003</v>
      </c>
      <c r="J2560">
        <v>49</v>
      </c>
      <c r="K2560">
        <v>540</v>
      </c>
      <c r="L2560">
        <v>159</v>
      </c>
      <c r="M2560">
        <v>171</v>
      </c>
      <c r="N2560">
        <v>40</v>
      </c>
      <c r="O2560">
        <v>94</v>
      </c>
      <c r="P2560">
        <v>26</v>
      </c>
      <c r="Q2560">
        <v>100</v>
      </c>
      <c r="R2560">
        <v>43</v>
      </c>
      <c r="S2560">
        <v>668</v>
      </c>
      <c r="T2560">
        <v>239</v>
      </c>
      <c r="U2560">
        <v>278</v>
      </c>
      <c r="V2560">
        <v>236</v>
      </c>
      <c r="W2560" s="1">
        <v>44160</v>
      </c>
      <c r="X2560" t="s">
        <v>56</v>
      </c>
    </row>
    <row r="2561" spans="1:39" x14ac:dyDescent="0.3">
      <c r="A2561">
        <v>2020</v>
      </c>
      <c r="B2561">
        <v>10</v>
      </c>
      <c r="C2561" t="str">
        <f t="shared" si="78"/>
        <v>10/01/2020</v>
      </c>
      <c r="D2561" s="1" t="str">
        <f t="shared" si="79"/>
        <v>10/01/2020</v>
      </c>
      <c r="E2561" t="s">
        <v>37</v>
      </c>
      <c r="F2561" t="s">
        <v>52</v>
      </c>
      <c r="G2561" t="s">
        <v>49</v>
      </c>
      <c r="H2561" s="2">
        <v>3388</v>
      </c>
      <c r="I2561" s="2">
        <v>3339</v>
      </c>
      <c r="J2561">
        <v>45</v>
      </c>
      <c r="K2561">
        <v>312</v>
      </c>
      <c r="L2561">
        <v>108</v>
      </c>
      <c r="M2561">
        <v>353</v>
      </c>
      <c r="N2561">
        <v>44</v>
      </c>
      <c r="O2561">
        <v>73</v>
      </c>
      <c r="P2561">
        <v>22</v>
      </c>
      <c r="Q2561">
        <v>83</v>
      </c>
      <c r="R2561">
        <v>57</v>
      </c>
      <c r="S2561">
        <v>870</v>
      </c>
      <c r="T2561">
        <v>294</v>
      </c>
      <c r="U2561">
        <v>240</v>
      </c>
      <c r="V2561">
        <v>203</v>
      </c>
      <c r="W2561" s="1">
        <v>44160</v>
      </c>
      <c r="X2561" t="s">
        <v>56</v>
      </c>
    </row>
    <row r="2562" spans="1:39" x14ac:dyDescent="0.3">
      <c r="A2562">
        <v>2020</v>
      </c>
      <c r="B2562">
        <v>10</v>
      </c>
      <c r="C2562" t="str">
        <f t="shared" si="78"/>
        <v>10/01/2020</v>
      </c>
      <c r="D2562" s="1" t="str">
        <f t="shared" si="79"/>
        <v>10/01/2020</v>
      </c>
      <c r="E2562" t="s">
        <v>37</v>
      </c>
      <c r="F2562" t="s">
        <v>53</v>
      </c>
      <c r="G2562" t="s">
        <v>39</v>
      </c>
      <c r="H2562">
        <v>276</v>
      </c>
      <c r="I2562">
        <v>256</v>
      </c>
      <c r="J2562">
        <v>0</v>
      </c>
      <c r="L2562">
        <v>0</v>
      </c>
      <c r="M2562">
        <v>0</v>
      </c>
      <c r="N2562">
        <v>0</v>
      </c>
      <c r="O2562">
        <v>0</v>
      </c>
      <c r="Q2562">
        <v>0</v>
      </c>
      <c r="R2562">
        <v>43</v>
      </c>
      <c r="W2562" s="1">
        <v>44160</v>
      </c>
      <c r="X2562" t="s">
        <v>56</v>
      </c>
      <c r="AB2562" t="s">
        <v>40</v>
      </c>
      <c r="AG2562" t="s">
        <v>40</v>
      </c>
      <c r="AJ2562" t="s">
        <v>40</v>
      </c>
      <c r="AK2562" t="s">
        <v>40</v>
      </c>
      <c r="AL2562" t="s">
        <v>40</v>
      </c>
      <c r="AM2562" t="s">
        <v>40</v>
      </c>
    </row>
    <row r="2563" spans="1:39" x14ac:dyDescent="0.3">
      <c r="A2563">
        <v>2020</v>
      </c>
      <c r="B2563">
        <v>10</v>
      </c>
      <c r="C2563" t="str">
        <f t="shared" ref="C2563:C2626" si="80">CONCATENATE(B2563,"/01/",A2563)</f>
        <v>10/01/2020</v>
      </c>
      <c r="D2563" s="1" t="str">
        <f t="shared" ref="D2563:D2626" si="81">C2563</f>
        <v>10/01/2020</v>
      </c>
      <c r="E2563" t="s">
        <v>37</v>
      </c>
      <c r="F2563" t="s">
        <v>53</v>
      </c>
      <c r="G2563" t="s">
        <v>41</v>
      </c>
      <c r="H2563">
        <v>330</v>
      </c>
      <c r="I2563">
        <v>168</v>
      </c>
      <c r="J2563">
        <v>0</v>
      </c>
      <c r="K2563">
        <v>16</v>
      </c>
      <c r="M2563">
        <v>0</v>
      </c>
      <c r="Q2563">
        <v>0</v>
      </c>
      <c r="R2563">
        <v>82</v>
      </c>
      <c r="W2563" s="1">
        <v>44160</v>
      </c>
      <c r="X2563" t="s">
        <v>56</v>
      </c>
      <c r="AC2563" t="s">
        <v>40</v>
      </c>
      <c r="AE2563" t="s">
        <v>40</v>
      </c>
      <c r="AF2563" t="s">
        <v>40</v>
      </c>
      <c r="AG2563" t="s">
        <v>40</v>
      </c>
      <c r="AJ2563" t="s">
        <v>40</v>
      </c>
      <c r="AK2563" t="s">
        <v>40</v>
      </c>
      <c r="AL2563" t="s">
        <v>40</v>
      </c>
      <c r="AM2563" t="s">
        <v>40</v>
      </c>
    </row>
    <row r="2564" spans="1:39" x14ac:dyDescent="0.3">
      <c r="A2564">
        <v>2020</v>
      </c>
      <c r="B2564">
        <v>10</v>
      </c>
      <c r="C2564" t="str">
        <f t="shared" si="80"/>
        <v>10/01/2020</v>
      </c>
      <c r="D2564" s="1" t="str">
        <f t="shared" si="81"/>
        <v>10/01/2020</v>
      </c>
      <c r="E2564" t="s">
        <v>37</v>
      </c>
      <c r="F2564" t="s">
        <v>53</v>
      </c>
      <c r="G2564" t="s">
        <v>42</v>
      </c>
      <c r="H2564">
        <v>841</v>
      </c>
      <c r="I2564">
        <v>582</v>
      </c>
      <c r="K2564">
        <v>69</v>
      </c>
      <c r="M2564">
        <v>0</v>
      </c>
      <c r="R2564">
        <v>291</v>
      </c>
      <c r="S2564">
        <v>51</v>
      </c>
      <c r="U2564">
        <v>13</v>
      </c>
      <c r="W2564" s="1">
        <v>44160</v>
      </c>
      <c r="X2564" t="s">
        <v>56</v>
      </c>
      <c r="AA2564" t="s">
        <v>40</v>
      </c>
      <c r="AC2564" t="s">
        <v>40</v>
      </c>
      <c r="AE2564" t="s">
        <v>40</v>
      </c>
      <c r="AF2564" t="s">
        <v>40</v>
      </c>
      <c r="AG2564" t="s">
        <v>40</v>
      </c>
      <c r="AH2564" t="s">
        <v>40</v>
      </c>
      <c r="AK2564" t="s">
        <v>40</v>
      </c>
      <c r="AM2564" t="s">
        <v>40</v>
      </c>
    </row>
    <row r="2565" spans="1:39" x14ac:dyDescent="0.3">
      <c r="A2565">
        <v>2020</v>
      </c>
      <c r="B2565">
        <v>10</v>
      </c>
      <c r="C2565" t="str">
        <f t="shared" si="80"/>
        <v>10/01/2020</v>
      </c>
      <c r="D2565" s="1" t="str">
        <f t="shared" si="81"/>
        <v>10/01/2020</v>
      </c>
      <c r="E2565" t="s">
        <v>37</v>
      </c>
      <c r="F2565" t="s">
        <v>53</v>
      </c>
      <c r="G2565" t="s">
        <v>43</v>
      </c>
      <c r="H2565" s="2">
        <v>1520</v>
      </c>
      <c r="I2565" s="2">
        <v>1247</v>
      </c>
      <c r="J2565">
        <v>21</v>
      </c>
      <c r="K2565">
        <v>292</v>
      </c>
      <c r="L2565">
        <v>37</v>
      </c>
      <c r="M2565">
        <v>0</v>
      </c>
      <c r="O2565">
        <v>14</v>
      </c>
      <c r="Q2565">
        <v>11</v>
      </c>
      <c r="R2565">
        <v>359</v>
      </c>
      <c r="S2565">
        <v>106</v>
      </c>
      <c r="T2565">
        <v>28</v>
      </c>
      <c r="U2565">
        <v>31</v>
      </c>
      <c r="V2565">
        <v>27</v>
      </c>
      <c r="W2565" s="1">
        <v>44160</v>
      </c>
      <c r="X2565" t="s">
        <v>56</v>
      </c>
      <c r="AE2565" t="s">
        <v>40</v>
      </c>
      <c r="AG2565" t="s">
        <v>40</v>
      </c>
    </row>
    <row r="2566" spans="1:39" x14ac:dyDescent="0.3">
      <c r="A2566">
        <v>2020</v>
      </c>
      <c r="B2566">
        <v>10</v>
      </c>
      <c r="C2566" t="str">
        <f t="shared" si="80"/>
        <v>10/01/2020</v>
      </c>
      <c r="D2566" s="1" t="str">
        <f t="shared" si="81"/>
        <v>10/01/2020</v>
      </c>
      <c r="E2566" t="s">
        <v>37</v>
      </c>
      <c r="F2566" t="s">
        <v>53</v>
      </c>
      <c r="G2566" t="s">
        <v>44</v>
      </c>
      <c r="H2566" s="2">
        <v>3177</v>
      </c>
      <c r="I2566" s="2">
        <v>2886</v>
      </c>
      <c r="J2566">
        <v>50</v>
      </c>
      <c r="K2566">
        <v>884</v>
      </c>
      <c r="L2566">
        <v>94</v>
      </c>
      <c r="N2566">
        <v>31</v>
      </c>
      <c r="O2566">
        <v>105</v>
      </c>
      <c r="P2566">
        <v>26</v>
      </c>
      <c r="Q2566">
        <v>34</v>
      </c>
      <c r="R2566">
        <v>420</v>
      </c>
      <c r="S2566">
        <v>348</v>
      </c>
      <c r="T2566">
        <v>86</v>
      </c>
      <c r="U2566">
        <v>130</v>
      </c>
      <c r="V2566">
        <v>115</v>
      </c>
      <c r="W2566" s="1">
        <v>44160</v>
      </c>
      <c r="X2566" t="s">
        <v>56</v>
      </c>
      <c r="AD2566" t="s">
        <v>40</v>
      </c>
    </row>
    <row r="2567" spans="1:39" x14ac:dyDescent="0.3">
      <c r="A2567">
        <v>2020</v>
      </c>
      <c r="B2567">
        <v>10</v>
      </c>
      <c r="C2567" t="str">
        <f t="shared" si="80"/>
        <v>10/01/2020</v>
      </c>
      <c r="D2567" s="1" t="str">
        <f t="shared" si="81"/>
        <v>10/01/2020</v>
      </c>
      <c r="E2567" t="s">
        <v>37</v>
      </c>
      <c r="F2567" t="s">
        <v>53</v>
      </c>
      <c r="G2567" t="s">
        <v>45</v>
      </c>
      <c r="H2567">
        <v>60</v>
      </c>
      <c r="I2567">
        <v>34</v>
      </c>
      <c r="J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T2567">
        <v>0</v>
      </c>
      <c r="V2567">
        <v>0</v>
      </c>
      <c r="W2567" s="1">
        <v>44160</v>
      </c>
      <c r="X2567" t="s">
        <v>56</v>
      </c>
      <c r="AB2567" t="s">
        <v>40</v>
      </c>
      <c r="AI2567" t="s">
        <v>40</v>
      </c>
      <c r="AJ2567" t="s">
        <v>40</v>
      </c>
      <c r="AL2567" t="s">
        <v>40</v>
      </c>
    </row>
    <row r="2568" spans="1:39" x14ac:dyDescent="0.3">
      <c r="A2568">
        <v>2020</v>
      </c>
      <c r="B2568">
        <v>10</v>
      </c>
      <c r="C2568" t="str">
        <f t="shared" si="80"/>
        <v>10/01/2020</v>
      </c>
      <c r="D2568" s="1" t="str">
        <f t="shared" si="81"/>
        <v>10/01/2020</v>
      </c>
      <c r="E2568" t="s">
        <v>37</v>
      </c>
      <c r="F2568" t="s">
        <v>53</v>
      </c>
      <c r="G2568" t="s">
        <v>46</v>
      </c>
      <c r="H2568" s="2">
        <v>8438</v>
      </c>
      <c r="I2568" s="2">
        <v>8067</v>
      </c>
      <c r="J2568">
        <v>138</v>
      </c>
      <c r="K2568" s="2">
        <v>2786</v>
      </c>
      <c r="L2568">
        <v>261</v>
      </c>
      <c r="M2568">
        <v>47</v>
      </c>
      <c r="N2568">
        <v>90</v>
      </c>
      <c r="O2568">
        <v>524</v>
      </c>
      <c r="P2568">
        <v>103</v>
      </c>
      <c r="Q2568">
        <v>91</v>
      </c>
      <c r="R2568">
        <v>496</v>
      </c>
      <c r="S2568" s="2">
        <v>1231</v>
      </c>
      <c r="T2568">
        <v>255</v>
      </c>
      <c r="U2568">
        <v>456</v>
      </c>
      <c r="V2568">
        <v>398</v>
      </c>
      <c r="W2568" s="1">
        <v>44160</v>
      </c>
      <c r="X2568" t="s">
        <v>56</v>
      </c>
    </row>
    <row r="2569" spans="1:39" x14ac:dyDescent="0.3">
      <c r="A2569">
        <v>2020</v>
      </c>
      <c r="B2569">
        <v>10</v>
      </c>
      <c r="C2569" t="str">
        <f t="shared" si="80"/>
        <v>10/01/2020</v>
      </c>
      <c r="D2569" s="1" t="str">
        <f t="shared" si="81"/>
        <v>10/01/2020</v>
      </c>
      <c r="E2569" t="s">
        <v>37</v>
      </c>
      <c r="F2569" t="s">
        <v>53</v>
      </c>
      <c r="G2569" t="s">
        <v>47</v>
      </c>
      <c r="H2569" s="2">
        <v>15691</v>
      </c>
      <c r="I2569" s="2">
        <v>15289</v>
      </c>
      <c r="J2569">
        <v>262</v>
      </c>
      <c r="K2569" s="2">
        <v>4729</v>
      </c>
      <c r="L2569">
        <v>500</v>
      </c>
      <c r="M2569">
        <v>337</v>
      </c>
      <c r="N2569">
        <v>199</v>
      </c>
      <c r="O2569" s="2">
        <v>1078</v>
      </c>
      <c r="P2569">
        <v>258</v>
      </c>
      <c r="Q2569">
        <v>230</v>
      </c>
      <c r="R2569">
        <v>321</v>
      </c>
      <c r="S2569" s="2">
        <v>2564</v>
      </c>
      <c r="T2569">
        <v>695</v>
      </c>
      <c r="U2569" s="2">
        <v>1184</v>
      </c>
      <c r="V2569" s="2">
        <v>1033</v>
      </c>
      <c r="W2569" s="1">
        <v>44160</v>
      </c>
      <c r="X2569" t="s">
        <v>56</v>
      </c>
    </row>
    <row r="2570" spans="1:39" x14ac:dyDescent="0.3">
      <c r="A2570">
        <v>2020</v>
      </c>
      <c r="B2570">
        <v>10</v>
      </c>
      <c r="C2570" t="str">
        <f t="shared" si="80"/>
        <v>10/01/2020</v>
      </c>
      <c r="D2570" s="1" t="str">
        <f t="shared" si="81"/>
        <v>10/01/2020</v>
      </c>
      <c r="E2570" t="s">
        <v>37</v>
      </c>
      <c r="F2570" t="s">
        <v>53</v>
      </c>
      <c r="G2570" t="s">
        <v>48</v>
      </c>
      <c r="H2570" s="2">
        <v>23243</v>
      </c>
      <c r="I2570" s="2">
        <v>22628</v>
      </c>
      <c r="J2570">
        <v>278</v>
      </c>
      <c r="K2570" s="2">
        <v>4891</v>
      </c>
      <c r="L2570">
        <v>530</v>
      </c>
      <c r="M2570" s="2">
        <v>1498</v>
      </c>
      <c r="N2570">
        <v>325</v>
      </c>
      <c r="O2570" s="2">
        <v>1558</v>
      </c>
      <c r="P2570">
        <v>384</v>
      </c>
      <c r="Q2570">
        <v>348</v>
      </c>
      <c r="R2570">
        <v>318</v>
      </c>
      <c r="S2570" s="2">
        <v>4263</v>
      </c>
      <c r="T2570" s="2">
        <v>1370</v>
      </c>
      <c r="U2570" s="2">
        <v>2123</v>
      </c>
      <c r="V2570" s="2">
        <v>1865</v>
      </c>
      <c r="W2570" s="1">
        <v>44160</v>
      </c>
      <c r="X2570" t="s">
        <v>56</v>
      </c>
    </row>
    <row r="2571" spans="1:39" x14ac:dyDescent="0.3">
      <c r="A2571">
        <v>2020</v>
      </c>
      <c r="B2571">
        <v>10</v>
      </c>
      <c r="C2571" t="str">
        <f t="shared" si="80"/>
        <v>10/01/2020</v>
      </c>
      <c r="D2571" s="1" t="str">
        <f t="shared" si="81"/>
        <v>10/01/2020</v>
      </c>
      <c r="E2571" t="s">
        <v>37</v>
      </c>
      <c r="F2571" t="s">
        <v>53</v>
      </c>
      <c r="G2571" t="s">
        <v>49</v>
      </c>
      <c r="H2571" s="2">
        <v>38068</v>
      </c>
      <c r="I2571" s="2">
        <v>37035</v>
      </c>
      <c r="J2571">
        <v>333</v>
      </c>
      <c r="K2571" s="2">
        <v>3431</v>
      </c>
      <c r="L2571">
        <v>562</v>
      </c>
      <c r="M2571" s="2">
        <v>3978</v>
      </c>
      <c r="N2571">
        <v>439</v>
      </c>
      <c r="O2571" s="2">
        <v>1531</v>
      </c>
      <c r="P2571">
        <v>433</v>
      </c>
      <c r="Q2571">
        <v>490</v>
      </c>
      <c r="R2571">
        <v>606</v>
      </c>
      <c r="S2571" s="2">
        <v>9374</v>
      </c>
      <c r="T2571" s="2">
        <v>2862</v>
      </c>
      <c r="U2571" s="2">
        <v>3497</v>
      </c>
      <c r="V2571" s="2">
        <v>2916</v>
      </c>
      <c r="W2571" s="1">
        <v>44160</v>
      </c>
      <c r="X2571" t="s">
        <v>56</v>
      </c>
    </row>
    <row r="2572" spans="1:39" x14ac:dyDescent="0.3">
      <c r="A2572">
        <v>2020</v>
      </c>
      <c r="B2572">
        <v>10</v>
      </c>
      <c r="C2572" t="str">
        <f t="shared" si="80"/>
        <v>10/01/2020</v>
      </c>
      <c r="D2572" s="1" t="str">
        <f t="shared" si="81"/>
        <v>10/01/2020</v>
      </c>
      <c r="E2572" t="s">
        <v>37</v>
      </c>
      <c r="F2572" t="s">
        <v>54</v>
      </c>
      <c r="G2572" t="s">
        <v>39</v>
      </c>
      <c r="H2572">
        <v>25</v>
      </c>
      <c r="I2572">
        <v>23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S2572">
        <v>0</v>
      </c>
      <c r="T2572">
        <v>0</v>
      </c>
      <c r="U2572">
        <v>0</v>
      </c>
      <c r="V2572">
        <v>0</v>
      </c>
      <c r="W2572" s="1">
        <v>44160</v>
      </c>
      <c r="X2572" t="s">
        <v>56</v>
      </c>
      <c r="AI2572" t="s">
        <v>40</v>
      </c>
    </row>
    <row r="2573" spans="1:39" x14ac:dyDescent="0.3">
      <c r="A2573">
        <v>2020</v>
      </c>
      <c r="B2573">
        <v>10</v>
      </c>
      <c r="C2573" t="str">
        <f t="shared" si="80"/>
        <v>10/01/2020</v>
      </c>
      <c r="D2573" s="1" t="str">
        <f t="shared" si="81"/>
        <v>10/01/2020</v>
      </c>
      <c r="E2573" t="s">
        <v>37</v>
      </c>
      <c r="F2573" t="s">
        <v>54</v>
      </c>
      <c r="G2573" t="s">
        <v>41</v>
      </c>
      <c r="H2573">
        <v>27</v>
      </c>
      <c r="I2573">
        <v>13</v>
      </c>
      <c r="J2573">
        <v>0</v>
      </c>
      <c r="L2573">
        <v>0</v>
      </c>
      <c r="M2573">
        <v>0</v>
      </c>
      <c r="N2573">
        <v>0</v>
      </c>
      <c r="O2573">
        <v>0</v>
      </c>
      <c r="Q2573">
        <v>0</v>
      </c>
      <c r="S2573">
        <v>0</v>
      </c>
      <c r="T2573">
        <v>0</v>
      </c>
      <c r="U2573">
        <v>0</v>
      </c>
      <c r="V2573">
        <v>0</v>
      </c>
      <c r="W2573" s="1">
        <v>44160</v>
      </c>
      <c r="X2573" t="s">
        <v>56</v>
      </c>
      <c r="AB2573" t="s">
        <v>40</v>
      </c>
      <c r="AG2573" t="s">
        <v>40</v>
      </c>
      <c r="AI2573" t="s">
        <v>40</v>
      </c>
    </row>
    <row r="2574" spans="1:39" x14ac:dyDescent="0.3">
      <c r="A2574">
        <v>2020</v>
      </c>
      <c r="B2574">
        <v>10</v>
      </c>
      <c r="C2574" t="str">
        <f t="shared" si="80"/>
        <v>10/01/2020</v>
      </c>
      <c r="D2574" s="1" t="str">
        <f t="shared" si="81"/>
        <v>10/01/2020</v>
      </c>
      <c r="E2574" t="s">
        <v>37</v>
      </c>
      <c r="F2574" t="s">
        <v>54</v>
      </c>
      <c r="G2574" t="s">
        <v>42</v>
      </c>
      <c r="H2574">
        <v>36</v>
      </c>
      <c r="I2574">
        <v>28</v>
      </c>
      <c r="J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T2574">
        <v>0</v>
      </c>
      <c r="W2574" s="1">
        <v>44160</v>
      </c>
      <c r="X2574" t="s">
        <v>56</v>
      </c>
      <c r="AB2574" t="s">
        <v>40</v>
      </c>
      <c r="AI2574" t="s">
        <v>40</v>
      </c>
      <c r="AJ2574" t="s">
        <v>40</v>
      </c>
      <c r="AL2574" t="s">
        <v>40</v>
      </c>
      <c r="AM2574" t="s">
        <v>40</v>
      </c>
    </row>
    <row r="2575" spans="1:39" x14ac:dyDescent="0.3">
      <c r="A2575">
        <v>2020</v>
      </c>
      <c r="B2575">
        <v>10</v>
      </c>
      <c r="C2575" t="str">
        <f t="shared" si="80"/>
        <v>10/01/2020</v>
      </c>
      <c r="D2575" s="1" t="str">
        <f t="shared" si="81"/>
        <v>10/01/2020</v>
      </c>
      <c r="E2575" t="s">
        <v>37</v>
      </c>
      <c r="F2575" t="s">
        <v>54</v>
      </c>
      <c r="G2575" t="s">
        <v>43</v>
      </c>
      <c r="H2575">
        <v>60</v>
      </c>
      <c r="I2575">
        <v>52</v>
      </c>
      <c r="M2575">
        <v>0</v>
      </c>
      <c r="N2575">
        <v>0</v>
      </c>
      <c r="P2575">
        <v>0</v>
      </c>
      <c r="Q2575">
        <v>0</v>
      </c>
      <c r="R2575">
        <v>21</v>
      </c>
      <c r="W2575" s="1">
        <v>44160</v>
      </c>
      <c r="X2575" t="s">
        <v>56</v>
      </c>
      <c r="AA2575" t="s">
        <v>40</v>
      </c>
      <c r="AB2575" t="s">
        <v>40</v>
      </c>
      <c r="AC2575" t="s">
        <v>40</v>
      </c>
      <c r="AF2575" t="s">
        <v>40</v>
      </c>
      <c r="AJ2575" t="s">
        <v>40</v>
      </c>
      <c r="AK2575" t="s">
        <v>40</v>
      </c>
      <c r="AL2575" t="s">
        <v>40</v>
      </c>
      <c r="AM2575" t="s">
        <v>40</v>
      </c>
    </row>
    <row r="2576" spans="1:39" x14ac:dyDescent="0.3">
      <c r="A2576">
        <v>2020</v>
      </c>
      <c r="B2576">
        <v>10</v>
      </c>
      <c r="C2576" t="str">
        <f t="shared" si="80"/>
        <v>10/01/2020</v>
      </c>
      <c r="D2576" s="1" t="str">
        <f t="shared" si="81"/>
        <v>10/01/2020</v>
      </c>
      <c r="E2576" t="s">
        <v>37</v>
      </c>
      <c r="F2576" t="s">
        <v>54</v>
      </c>
      <c r="G2576" t="s">
        <v>44</v>
      </c>
      <c r="H2576">
        <v>110</v>
      </c>
      <c r="I2576">
        <v>103</v>
      </c>
      <c r="K2576">
        <v>27</v>
      </c>
      <c r="M2576">
        <v>0</v>
      </c>
      <c r="N2576">
        <v>0</v>
      </c>
      <c r="P2576">
        <v>0</v>
      </c>
      <c r="R2576">
        <v>19</v>
      </c>
      <c r="S2576">
        <v>16</v>
      </c>
      <c r="W2576" s="1">
        <v>44160</v>
      </c>
      <c r="X2576" t="s">
        <v>56</v>
      </c>
      <c r="AA2576" t="s">
        <v>40</v>
      </c>
      <c r="AC2576" t="s">
        <v>40</v>
      </c>
      <c r="AF2576" t="s">
        <v>40</v>
      </c>
      <c r="AH2576" t="s">
        <v>40</v>
      </c>
      <c r="AK2576" t="s">
        <v>40</v>
      </c>
      <c r="AL2576" t="s">
        <v>40</v>
      </c>
      <c r="AM2576" t="s">
        <v>40</v>
      </c>
    </row>
    <row r="2577" spans="1:39" x14ac:dyDescent="0.3">
      <c r="A2577">
        <v>2020</v>
      </c>
      <c r="B2577">
        <v>10</v>
      </c>
      <c r="C2577" t="str">
        <f t="shared" si="80"/>
        <v>10/01/2020</v>
      </c>
      <c r="D2577" s="1" t="str">
        <f t="shared" si="81"/>
        <v>10/01/2020</v>
      </c>
      <c r="E2577" t="s">
        <v>37</v>
      </c>
      <c r="F2577" t="s">
        <v>54</v>
      </c>
      <c r="G2577" t="s">
        <v>45</v>
      </c>
      <c r="J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T2577">
        <v>0</v>
      </c>
      <c r="U2577">
        <v>0</v>
      </c>
      <c r="V2577">
        <v>0</v>
      </c>
      <c r="W2577" s="1">
        <v>44160</v>
      </c>
      <c r="X2577" t="s">
        <v>56</v>
      </c>
      <c r="Y2577" t="s">
        <v>40</v>
      </c>
      <c r="Z2577" t="s">
        <v>40</v>
      </c>
      <c r="AB2577" t="s">
        <v>40</v>
      </c>
      <c r="AI2577" t="s">
        <v>40</v>
      </c>
      <c r="AJ2577" t="s">
        <v>40</v>
      </c>
    </row>
    <row r="2578" spans="1:39" x14ac:dyDescent="0.3">
      <c r="A2578">
        <v>2020</v>
      </c>
      <c r="B2578">
        <v>10</v>
      </c>
      <c r="C2578" t="str">
        <f t="shared" si="80"/>
        <v>10/01/2020</v>
      </c>
      <c r="D2578" s="1" t="str">
        <f t="shared" si="81"/>
        <v>10/01/2020</v>
      </c>
      <c r="E2578" t="s">
        <v>37</v>
      </c>
      <c r="F2578" t="s">
        <v>54</v>
      </c>
      <c r="G2578" t="s">
        <v>46</v>
      </c>
      <c r="H2578">
        <v>193</v>
      </c>
      <c r="I2578">
        <v>180</v>
      </c>
      <c r="K2578">
        <v>58</v>
      </c>
      <c r="L2578">
        <v>12</v>
      </c>
      <c r="M2578">
        <v>0</v>
      </c>
      <c r="R2578">
        <v>19</v>
      </c>
      <c r="S2578">
        <v>30</v>
      </c>
      <c r="U2578">
        <v>13</v>
      </c>
      <c r="V2578">
        <v>11</v>
      </c>
      <c r="W2578" s="1">
        <v>44160</v>
      </c>
      <c r="X2578" t="s">
        <v>56</v>
      </c>
      <c r="AA2578" t="s">
        <v>40</v>
      </c>
      <c r="AE2578" t="s">
        <v>40</v>
      </c>
      <c r="AF2578" t="s">
        <v>40</v>
      </c>
      <c r="AG2578" t="s">
        <v>40</v>
      </c>
      <c r="AH2578" t="s">
        <v>40</v>
      </c>
      <c r="AK2578" t="s">
        <v>40</v>
      </c>
    </row>
    <row r="2579" spans="1:39" x14ac:dyDescent="0.3">
      <c r="A2579">
        <v>2020</v>
      </c>
      <c r="B2579">
        <v>10</v>
      </c>
      <c r="C2579" t="str">
        <f t="shared" si="80"/>
        <v>10/01/2020</v>
      </c>
      <c r="D2579" s="1" t="str">
        <f t="shared" si="81"/>
        <v>10/01/2020</v>
      </c>
      <c r="E2579" t="s">
        <v>37</v>
      </c>
      <c r="F2579" t="s">
        <v>54</v>
      </c>
      <c r="G2579" t="s">
        <v>47</v>
      </c>
      <c r="H2579">
        <v>257</v>
      </c>
      <c r="I2579">
        <v>254</v>
      </c>
      <c r="K2579">
        <v>80</v>
      </c>
      <c r="L2579">
        <v>14</v>
      </c>
      <c r="O2579">
        <v>17</v>
      </c>
      <c r="S2579">
        <v>49</v>
      </c>
      <c r="U2579">
        <v>19</v>
      </c>
      <c r="V2579">
        <v>18</v>
      </c>
      <c r="W2579" s="1">
        <v>44160</v>
      </c>
      <c r="X2579" t="s">
        <v>56</v>
      </c>
      <c r="AA2579" t="s">
        <v>40</v>
      </c>
      <c r="AD2579" t="s">
        <v>40</v>
      </c>
      <c r="AE2579" t="s">
        <v>40</v>
      </c>
      <c r="AG2579" t="s">
        <v>40</v>
      </c>
      <c r="AH2579" t="s">
        <v>40</v>
      </c>
      <c r="AI2579" t="s">
        <v>40</v>
      </c>
      <c r="AK2579" t="s">
        <v>40</v>
      </c>
    </row>
    <row r="2580" spans="1:39" x14ac:dyDescent="0.3">
      <c r="A2580">
        <v>2020</v>
      </c>
      <c r="B2580">
        <v>10</v>
      </c>
      <c r="C2580" t="str">
        <f t="shared" si="80"/>
        <v>10/01/2020</v>
      </c>
      <c r="D2580" s="1" t="str">
        <f t="shared" si="81"/>
        <v>10/01/2020</v>
      </c>
      <c r="E2580" t="s">
        <v>37</v>
      </c>
      <c r="F2580" t="s">
        <v>54</v>
      </c>
      <c r="G2580" t="s">
        <v>48</v>
      </c>
      <c r="H2580">
        <v>295</v>
      </c>
      <c r="I2580">
        <v>286</v>
      </c>
      <c r="K2580">
        <v>57</v>
      </c>
      <c r="L2580">
        <v>11</v>
      </c>
      <c r="M2580">
        <v>19</v>
      </c>
      <c r="O2580">
        <v>19</v>
      </c>
      <c r="S2580">
        <v>49</v>
      </c>
      <c r="T2580">
        <v>19</v>
      </c>
      <c r="U2580">
        <v>23</v>
      </c>
      <c r="V2580">
        <v>21</v>
      </c>
      <c r="W2580" s="1">
        <v>44160</v>
      </c>
      <c r="X2580" t="s">
        <v>56</v>
      </c>
      <c r="AA2580" t="s">
        <v>40</v>
      </c>
      <c r="AE2580" t="s">
        <v>40</v>
      </c>
      <c r="AG2580" t="s">
        <v>40</v>
      </c>
      <c r="AH2580" t="s">
        <v>40</v>
      </c>
      <c r="AI2580" t="s">
        <v>40</v>
      </c>
    </row>
    <row r="2581" spans="1:39" x14ac:dyDescent="0.3">
      <c r="A2581">
        <v>2020</v>
      </c>
      <c r="B2581">
        <v>10</v>
      </c>
      <c r="C2581" t="str">
        <f t="shared" si="80"/>
        <v>10/01/2020</v>
      </c>
      <c r="D2581" s="1" t="str">
        <f t="shared" si="81"/>
        <v>10/01/2020</v>
      </c>
      <c r="E2581" t="s">
        <v>37</v>
      </c>
      <c r="F2581" t="s">
        <v>54</v>
      </c>
      <c r="G2581" t="s">
        <v>49</v>
      </c>
      <c r="H2581">
        <v>406</v>
      </c>
      <c r="I2581">
        <v>398</v>
      </c>
      <c r="K2581">
        <v>38</v>
      </c>
      <c r="L2581">
        <v>10</v>
      </c>
      <c r="M2581">
        <v>42</v>
      </c>
      <c r="S2581">
        <v>104</v>
      </c>
      <c r="T2581">
        <v>29</v>
      </c>
      <c r="U2581">
        <v>22</v>
      </c>
      <c r="V2581">
        <v>18</v>
      </c>
      <c r="W2581" s="1">
        <v>44160</v>
      </c>
      <c r="X2581" t="s">
        <v>56</v>
      </c>
      <c r="AA2581" t="s">
        <v>40</v>
      </c>
      <c r="AE2581" t="s">
        <v>40</v>
      </c>
      <c r="AF2581" t="s">
        <v>40</v>
      </c>
      <c r="AG2581" t="s">
        <v>40</v>
      </c>
      <c r="AH2581" t="s">
        <v>40</v>
      </c>
      <c r="AI2581" t="s">
        <v>40</v>
      </c>
    </row>
    <row r="2582" spans="1:39" x14ac:dyDescent="0.3">
      <c r="A2582">
        <v>2020</v>
      </c>
      <c r="B2582">
        <v>10</v>
      </c>
      <c r="C2582" t="str">
        <f t="shared" si="80"/>
        <v>10/01/2020</v>
      </c>
      <c r="D2582" s="1" t="str">
        <f t="shared" si="81"/>
        <v>10/01/2020</v>
      </c>
      <c r="E2582" t="s">
        <v>55</v>
      </c>
      <c r="F2582" t="s">
        <v>38</v>
      </c>
      <c r="G2582" t="s">
        <v>39</v>
      </c>
      <c r="H2582">
        <v>179</v>
      </c>
      <c r="I2582">
        <v>162</v>
      </c>
      <c r="K2582">
        <v>0</v>
      </c>
      <c r="L2582">
        <v>0</v>
      </c>
      <c r="M2582">
        <v>0</v>
      </c>
      <c r="O2582">
        <v>0</v>
      </c>
      <c r="P2582">
        <v>0</v>
      </c>
      <c r="R2582">
        <v>25</v>
      </c>
      <c r="U2582">
        <v>0</v>
      </c>
      <c r="V2582">
        <v>0</v>
      </c>
      <c r="W2582" s="1">
        <v>44160</v>
      </c>
      <c r="X2582" t="s">
        <v>56</v>
      </c>
      <c r="AA2582" t="s">
        <v>40</v>
      </c>
      <c r="AE2582" t="s">
        <v>40</v>
      </c>
      <c r="AH2582" t="s">
        <v>40</v>
      </c>
      <c r="AJ2582" t="s">
        <v>40</v>
      </c>
      <c r="AK2582" t="s">
        <v>40</v>
      </c>
    </row>
    <row r="2583" spans="1:39" x14ac:dyDescent="0.3">
      <c r="A2583">
        <v>2020</v>
      </c>
      <c r="B2583">
        <v>10</v>
      </c>
      <c r="C2583" t="str">
        <f t="shared" si="80"/>
        <v>10/01/2020</v>
      </c>
      <c r="D2583" s="1" t="str">
        <f t="shared" si="81"/>
        <v>10/01/2020</v>
      </c>
      <c r="E2583" t="s">
        <v>55</v>
      </c>
      <c r="F2583" t="s">
        <v>38</v>
      </c>
      <c r="G2583" t="s">
        <v>41</v>
      </c>
      <c r="H2583">
        <v>444</v>
      </c>
      <c r="I2583">
        <v>155</v>
      </c>
      <c r="J2583">
        <v>0</v>
      </c>
      <c r="K2583">
        <v>18</v>
      </c>
      <c r="M2583">
        <v>0</v>
      </c>
      <c r="O2583">
        <v>0</v>
      </c>
      <c r="P2583">
        <v>0</v>
      </c>
      <c r="R2583">
        <v>102</v>
      </c>
      <c r="T2583">
        <v>0</v>
      </c>
      <c r="W2583" s="1">
        <v>44160</v>
      </c>
      <c r="X2583" t="s">
        <v>56</v>
      </c>
      <c r="AC2583" t="s">
        <v>40</v>
      </c>
      <c r="AE2583" t="s">
        <v>40</v>
      </c>
      <c r="AH2583" t="s">
        <v>40</v>
      </c>
      <c r="AJ2583" t="s">
        <v>40</v>
      </c>
      <c r="AL2583" t="s">
        <v>40</v>
      </c>
      <c r="AM2583" t="s">
        <v>40</v>
      </c>
    </row>
    <row r="2584" spans="1:39" x14ac:dyDescent="0.3">
      <c r="A2584">
        <v>2020</v>
      </c>
      <c r="B2584">
        <v>10</v>
      </c>
      <c r="C2584" t="str">
        <f t="shared" si="80"/>
        <v>10/01/2020</v>
      </c>
      <c r="D2584" s="1" t="str">
        <f t="shared" si="81"/>
        <v>10/01/2020</v>
      </c>
      <c r="E2584" t="s">
        <v>55</v>
      </c>
      <c r="F2584" t="s">
        <v>38</v>
      </c>
      <c r="G2584" t="s">
        <v>42</v>
      </c>
      <c r="H2584">
        <v>733</v>
      </c>
      <c r="I2584">
        <v>391</v>
      </c>
      <c r="K2584">
        <v>32</v>
      </c>
      <c r="M2584">
        <v>0</v>
      </c>
      <c r="R2584">
        <v>233</v>
      </c>
      <c r="S2584">
        <v>21</v>
      </c>
      <c r="U2584">
        <v>21</v>
      </c>
      <c r="V2584">
        <v>19</v>
      </c>
      <c r="W2584" s="1">
        <v>44160</v>
      </c>
      <c r="X2584" t="s">
        <v>56</v>
      </c>
      <c r="AA2584" t="s">
        <v>40</v>
      </c>
      <c r="AC2584" t="s">
        <v>40</v>
      </c>
      <c r="AE2584" t="s">
        <v>40</v>
      </c>
      <c r="AF2584" t="s">
        <v>40</v>
      </c>
      <c r="AG2584" t="s">
        <v>40</v>
      </c>
      <c r="AH2584" t="s">
        <v>40</v>
      </c>
      <c r="AK2584" t="s">
        <v>40</v>
      </c>
    </row>
    <row r="2585" spans="1:39" x14ac:dyDescent="0.3">
      <c r="A2585">
        <v>2020</v>
      </c>
      <c r="B2585">
        <v>10</v>
      </c>
      <c r="C2585" t="str">
        <f t="shared" si="80"/>
        <v>10/01/2020</v>
      </c>
      <c r="D2585" s="1" t="str">
        <f t="shared" si="81"/>
        <v>10/01/2020</v>
      </c>
      <c r="E2585" t="s">
        <v>55</v>
      </c>
      <c r="F2585" t="s">
        <v>38</v>
      </c>
      <c r="G2585" t="s">
        <v>43</v>
      </c>
      <c r="H2585">
        <v>872</v>
      </c>
      <c r="I2585">
        <v>641</v>
      </c>
      <c r="K2585">
        <v>72</v>
      </c>
      <c r="L2585">
        <v>19</v>
      </c>
      <c r="M2585">
        <v>0</v>
      </c>
      <c r="R2585">
        <v>226</v>
      </c>
      <c r="S2585">
        <v>73</v>
      </c>
      <c r="T2585">
        <v>13</v>
      </c>
      <c r="U2585">
        <v>79</v>
      </c>
      <c r="V2585">
        <v>71</v>
      </c>
      <c r="W2585" s="1">
        <v>44160</v>
      </c>
      <c r="X2585" t="s">
        <v>56</v>
      </c>
      <c r="AA2585" t="s">
        <v>40</v>
      </c>
      <c r="AE2585" t="s">
        <v>40</v>
      </c>
      <c r="AF2585" t="s">
        <v>40</v>
      </c>
      <c r="AG2585" t="s">
        <v>40</v>
      </c>
      <c r="AH2585" t="s">
        <v>40</v>
      </c>
    </row>
    <row r="2586" spans="1:39" x14ac:dyDescent="0.3">
      <c r="A2586">
        <v>2020</v>
      </c>
      <c r="B2586">
        <v>10</v>
      </c>
      <c r="C2586" t="str">
        <f t="shared" si="80"/>
        <v>10/01/2020</v>
      </c>
      <c r="D2586" s="1" t="str">
        <f t="shared" si="81"/>
        <v>10/01/2020</v>
      </c>
      <c r="E2586" t="s">
        <v>55</v>
      </c>
      <c r="F2586" t="s">
        <v>38</v>
      </c>
      <c r="G2586" t="s">
        <v>44</v>
      </c>
      <c r="H2586" s="2">
        <v>1334</v>
      </c>
      <c r="I2586" s="2">
        <v>1169</v>
      </c>
      <c r="J2586">
        <v>10</v>
      </c>
      <c r="K2586">
        <v>150</v>
      </c>
      <c r="L2586">
        <v>57</v>
      </c>
      <c r="M2586">
        <v>0</v>
      </c>
      <c r="N2586">
        <v>10</v>
      </c>
      <c r="P2586">
        <v>23</v>
      </c>
      <c r="Q2586">
        <v>16</v>
      </c>
      <c r="R2586">
        <v>204</v>
      </c>
      <c r="S2586">
        <v>136</v>
      </c>
      <c r="T2586">
        <v>56</v>
      </c>
      <c r="U2586">
        <v>234</v>
      </c>
      <c r="V2586">
        <v>220</v>
      </c>
      <c r="W2586" s="1">
        <v>44160</v>
      </c>
      <c r="X2586" t="s">
        <v>56</v>
      </c>
      <c r="AF2586" t="s">
        <v>40</v>
      </c>
    </row>
    <row r="2587" spans="1:39" x14ac:dyDescent="0.3">
      <c r="A2587">
        <v>2020</v>
      </c>
      <c r="B2587">
        <v>10</v>
      </c>
      <c r="C2587" t="str">
        <f t="shared" si="80"/>
        <v>10/01/2020</v>
      </c>
      <c r="D2587" s="1" t="str">
        <f t="shared" si="81"/>
        <v>10/01/2020</v>
      </c>
      <c r="E2587" t="s">
        <v>55</v>
      </c>
      <c r="F2587" t="s">
        <v>38</v>
      </c>
      <c r="G2587" t="s">
        <v>45</v>
      </c>
      <c r="H2587">
        <v>60</v>
      </c>
      <c r="I2587">
        <v>37</v>
      </c>
      <c r="K2587">
        <v>13</v>
      </c>
      <c r="L2587">
        <v>0</v>
      </c>
      <c r="M2587">
        <v>0</v>
      </c>
      <c r="N2587">
        <v>0</v>
      </c>
      <c r="Q2587">
        <v>0</v>
      </c>
      <c r="U2587">
        <v>0</v>
      </c>
      <c r="V2587">
        <v>0</v>
      </c>
      <c r="W2587" s="1">
        <v>44160</v>
      </c>
      <c r="X2587" t="s">
        <v>56</v>
      </c>
      <c r="AA2587" t="s">
        <v>40</v>
      </c>
      <c r="AF2587" t="s">
        <v>40</v>
      </c>
      <c r="AG2587" t="s">
        <v>40</v>
      </c>
      <c r="AI2587" t="s">
        <v>40</v>
      </c>
      <c r="AJ2587" t="s">
        <v>40</v>
      </c>
      <c r="AK2587" t="s">
        <v>40</v>
      </c>
    </row>
    <row r="2588" spans="1:39" x14ac:dyDescent="0.3">
      <c r="A2588">
        <v>2020</v>
      </c>
      <c r="B2588">
        <v>10</v>
      </c>
      <c r="C2588" t="str">
        <f t="shared" si="80"/>
        <v>10/01/2020</v>
      </c>
      <c r="D2588" s="1" t="str">
        <f t="shared" si="81"/>
        <v>10/01/2020</v>
      </c>
      <c r="E2588" t="s">
        <v>55</v>
      </c>
      <c r="F2588" t="s">
        <v>38</v>
      </c>
      <c r="G2588" t="s">
        <v>46</v>
      </c>
      <c r="H2588" s="2">
        <v>2213</v>
      </c>
      <c r="I2588" s="2">
        <v>2065</v>
      </c>
      <c r="J2588">
        <v>21</v>
      </c>
      <c r="K2588">
        <v>415</v>
      </c>
      <c r="L2588">
        <v>111</v>
      </c>
      <c r="N2588">
        <v>27</v>
      </c>
      <c r="O2588">
        <v>14</v>
      </c>
      <c r="P2588">
        <v>26</v>
      </c>
      <c r="Q2588">
        <v>39</v>
      </c>
      <c r="R2588">
        <v>149</v>
      </c>
      <c r="S2588">
        <v>341</v>
      </c>
      <c r="T2588">
        <v>93</v>
      </c>
      <c r="U2588">
        <v>428</v>
      </c>
      <c r="V2588">
        <v>393</v>
      </c>
      <c r="W2588" s="1">
        <v>44160</v>
      </c>
      <c r="X2588" t="s">
        <v>56</v>
      </c>
      <c r="AD2588" t="s">
        <v>40</v>
      </c>
    </row>
    <row r="2589" spans="1:39" x14ac:dyDescent="0.3">
      <c r="A2589">
        <v>2020</v>
      </c>
      <c r="B2589">
        <v>10</v>
      </c>
      <c r="C2589" t="str">
        <f t="shared" si="80"/>
        <v>10/01/2020</v>
      </c>
      <c r="D2589" s="1" t="str">
        <f t="shared" si="81"/>
        <v>10/01/2020</v>
      </c>
      <c r="E2589" t="s">
        <v>55</v>
      </c>
      <c r="F2589" t="s">
        <v>38</v>
      </c>
      <c r="G2589" t="s">
        <v>47</v>
      </c>
      <c r="H2589" s="2">
        <v>2326</v>
      </c>
      <c r="I2589" s="2">
        <v>2250</v>
      </c>
      <c r="J2589">
        <v>23</v>
      </c>
      <c r="K2589">
        <v>504</v>
      </c>
      <c r="L2589">
        <v>160</v>
      </c>
      <c r="M2589">
        <v>25</v>
      </c>
      <c r="N2589">
        <v>31</v>
      </c>
      <c r="O2589">
        <v>42</v>
      </c>
      <c r="P2589">
        <v>31</v>
      </c>
      <c r="Q2589">
        <v>37</v>
      </c>
      <c r="R2589">
        <v>64</v>
      </c>
      <c r="S2589">
        <v>389</v>
      </c>
      <c r="T2589">
        <v>104</v>
      </c>
      <c r="U2589">
        <v>479</v>
      </c>
      <c r="V2589">
        <v>455</v>
      </c>
      <c r="W2589" s="1">
        <v>44160</v>
      </c>
      <c r="X2589" t="s">
        <v>56</v>
      </c>
    </row>
    <row r="2590" spans="1:39" x14ac:dyDescent="0.3">
      <c r="A2590">
        <v>2020</v>
      </c>
      <c r="B2590">
        <v>10</v>
      </c>
      <c r="C2590" t="str">
        <f t="shared" si="80"/>
        <v>10/01/2020</v>
      </c>
      <c r="D2590" s="1" t="str">
        <f t="shared" si="81"/>
        <v>10/01/2020</v>
      </c>
      <c r="E2590" t="s">
        <v>55</v>
      </c>
      <c r="F2590" t="s">
        <v>38</v>
      </c>
      <c r="G2590" t="s">
        <v>48</v>
      </c>
      <c r="H2590" s="2">
        <v>2139</v>
      </c>
      <c r="I2590" s="2">
        <v>2094</v>
      </c>
      <c r="J2590">
        <v>29</v>
      </c>
      <c r="K2590">
        <v>446</v>
      </c>
      <c r="L2590">
        <v>135</v>
      </c>
      <c r="M2590">
        <v>68</v>
      </c>
      <c r="N2590">
        <v>30</v>
      </c>
      <c r="O2590">
        <v>63</v>
      </c>
      <c r="P2590">
        <v>34</v>
      </c>
      <c r="Q2590">
        <v>44</v>
      </c>
      <c r="R2590">
        <v>30</v>
      </c>
      <c r="S2590">
        <v>398</v>
      </c>
      <c r="T2590">
        <v>126</v>
      </c>
      <c r="U2590">
        <v>353</v>
      </c>
      <c r="V2590">
        <v>317</v>
      </c>
      <c r="W2590" s="1">
        <v>44160</v>
      </c>
      <c r="X2590" t="s">
        <v>56</v>
      </c>
    </row>
    <row r="2591" spans="1:39" x14ac:dyDescent="0.3">
      <c r="A2591">
        <v>2020</v>
      </c>
      <c r="B2591">
        <v>10</v>
      </c>
      <c r="C2591" t="str">
        <f t="shared" si="80"/>
        <v>10/01/2020</v>
      </c>
      <c r="D2591" s="1" t="str">
        <f t="shared" si="81"/>
        <v>10/01/2020</v>
      </c>
      <c r="E2591" t="s">
        <v>55</v>
      </c>
      <c r="F2591" t="s">
        <v>38</v>
      </c>
      <c r="G2591" t="s">
        <v>49</v>
      </c>
      <c r="H2591" s="2">
        <v>1764</v>
      </c>
      <c r="I2591" s="2">
        <v>1728</v>
      </c>
      <c r="K2591">
        <v>229</v>
      </c>
      <c r="L2591">
        <v>63</v>
      </c>
      <c r="M2591">
        <v>127</v>
      </c>
      <c r="N2591">
        <v>36</v>
      </c>
      <c r="O2591">
        <v>52</v>
      </c>
      <c r="P2591">
        <v>23</v>
      </c>
      <c r="Q2591">
        <v>36</v>
      </c>
      <c r="R2591">
        <v>14</v>
      </c>
      <c r="S2591">
        <v>401</v>
      </c>
      <c r="T2591">
        <v>117</v>
      </c>
      <c r="U2591">
        <v>242</v>
      </c>
      <c r="V2591">
        <v>215</v>
      </c>
      <c r="W2591" s="1">
        <v>44160</v>
      </c>
      <c r="X2591" t="s">
        <v>56</v>
      </c>
      <c r="AA2591" t="s">
        <v>40</v>
      </c>
    </row>
    <row r="2592" spans="1:39" x14ac:dyDescent="0.3">
      <c r="A2592">
        <v>2020</v>
      </c>
      <c r="B2592">
        <v>10</v>
      </c>
      <c r="C2592" t="str">
        <f t="shared" si="80"/>
        <v>10/01/2020</v>
      </c>
      <c r="D2592" s="1" t="str">
        <f t="shared" si="81"/>
        <v>10/01/2020</v>
      </c>
      <c r="E2592" t="s">
        <v>55</v>
      </c>
      <c r="F2592" t="s">
        <v>50</v>
      </c>
      <c r="G2592" t="s">
        <v>39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S2592">
        <v>0</v>
      </c>
      <c r="T2592">
        <v>0</v>
      </c>
      <c r="U2592">
        <v>0</v>
      </c>
      <c r="V2592">
        <v>0</v>
      </c>
      <c r="W2592" s="1">
        <v>44160</v>
      </c>
      <c r="X2592" t="s">
        <v>56</v>
      </c>
      <c r="Y2592" t="s">
        <v>40</v>
      </c>
      <c r="Z2592" t="s">
        <v>40</v>
      </c>
      <c r="AI2592" t="s">
        <v>40</v>
      </c>
    </row>
    <row r="2593" spans="1:39" x14ac:dyDescent="0.3">
      <c r="A2593">
        <v>2020</v>
      </c>
      <c r="B2593">
        <v>10</v>
      </c>
      <c r="C2593" t="str">
        <f t="shared" si="80"/>
        <v>10/01/2020</v>
      </c>
      <c r="D2593" s="1" t="str">
        <f t="shared" si="81"/>
        <v>10/01/2020</v>
      </c>
      <c r="E2593" t="s">
        <v>55</v>
      </c>
      <c r="F2593" t="s">
        <v>50</v>
      </c>
      <c r="G2593" t="s">
        <v>41</v>
      </c>
      <c r="H2593">
        <v>31</v>
      </c>
      <c r="I2593">
        <v>15</v>
      </c>
      <c r="J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10</v>
      </c>
      <c r="S2593">
        <v>0</v>
      </c>
      <c r="T2593">
        <v>0</v>
      </c>
      <c r="U2593">
        <v>0</v>
      </c>
      <c r="V2593">
        <v>0</v>
      </c>
      <c r="W2593" s="1">
        <v>44160</v>
      </c>
      <c r="X2593" t="s">
        <v>56</v>
      </c>
      <c r="AB2593" t="s">
        <v>40</v>
      </c>
    </row>
    <row r="2594" spans="1:39" x14ac:dyDescent="0.3">
      <c r="A2594">
        <v>2020</v>
      </c>
      <c r="B2594">
        <v>10</v>
      </c>
      <c r="C2594" t="str">
        <f t="shared" si="80"/>
        <v>10/01/2020</v>
      </c>
      <c r="D2594" s="1" t="str">
        <f t="shared" si="81"/>
        <v>10/01/2020</v>
      </c>
      <c r="E2594" t="s">
        <v>55</v>
      </c>
      <c r="F2594" t="s">
        <v>50</v>
      </c>
      <c r="G2594" t="s">
        <v>42</v>
      </c>
      <c r="H2594">
        <v>57</v>
      </c>
      <c r="I2594">
        <v>36</v>
      </c>
      <c r="J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16</v>
      </c>
      <c r="S2594">
        <v>0</v>
      </c>
      <c r="T2594">
        <v>0</v>
      </c>
      <c r="W2594" s="1">
        <v>44160</v>
      </c>
      <c r="X2594" t="s">
        <v>56</v>
      </c>
      <c r="AB2594" t="s">
        <v>40</v>
      </c>
      <c r="AL2594" t="s">
        <v>40</v>
      </c>
      <c r="AM2594" t="s">
        <v>40</v>
      </c>
    </row>
    <row r="2595" spans="1:39" x14ac:dyDescent="0.3">
      <c r="A2595">
        <v>2020</v>
      </c>
      <c r="B2595">
        <v>10</v>
      </c>
      <c r="C2595" t="str">
        <f t="shared" si="80"/>
        <v>10/01/2020</v>
      </c>
      <c r="D2595" s="1" t="str">
        <f t="shared" si="81"/>
        <v>10/01/2020</v>
      </c>
      <c r="E2595" t="s">
        <v>55</v>
      </c>
      <c r="F2595" t="s">
        <v>50</v>
      </c>
      <c r="G2595" t="s">
        <v>43</v>
      </c>
      <c r="H2595">
        <v>85</v>
      </c>
      <c r="I2595">
        <v>68</v>
      </c>
      <c r="J2595">
        <v>0</v>
      </c>
      <c r="M2595">
        <v>0</v>
      </c>
      <c r="O2595">
        <v>0</v>
      </c>
      <c r="P2595">
        <v>0</v>
      </c>
      <c r="R2595">
        <v>18</v>
      </c>
      <c r="W2595" s="1">
        <v>44160</v>
      </c>
      <c r="X2595" t="s">
        <v>56</v>
      </c>
      <c r="AB2595" t="s">
        <v>40</v>
      </c>
      <c r="AC2595" t="s">
        <v>40</v>
      </c>
      <c r="AE2595" t="s">
        <v>40</v>
      </c>
      <c r="AH2595" t="s">
        <v>40</v>
      </c>
      <c r="AJ2595" t="s">
        <v>40</v>
      </c>
      <c r="AK2595" t="s">
        <v>40</v>
      </c>
      <c r="AL2595" t="s">
        <v>40</v>
      </c>
      <c r="AM2595" t="s">
        <v>40</v>
      </c>
    </row>
    <row r="2596" spans="1:39" x14ac:dyDescent="0.3">
      <c r="A2596">
        <v>2020</v>
      </c>
      <c r="B2596">
        <v>10</v>
      </c>
      <c r="C2596" t="str">
        <f t="shared" si="80"/>
        <v>10/01/2020</v>
      </c>
      <c r="D2596" s="1" t="str">
        <f t="shared" si="81"/>
        <v>10/01/2020</v>
      </c>
      <c r="E2596" t="s">
        <v>55</v>
      </c>
      <c r="F2596" t="s">
        <v>50</v>
      </c>
      <c r="G2596" t="s">
        <v>44</v>
      </c>
      <c r="H2596">
        <v>122</v>
      </c>
      <c r="I2596">
        <v>112</v>
      </c>
      <c r="K2596">
        <v>11</v>
      </c>
      <c r="M2596">
        <v>0</v>
      </c>
      <c r="N2596">
        <v>0</v>
      </c>
      <c r="P2596">
        <v>0</v>
      </c>
      <c r="R2596">
        <v>20</v>
      </c>
      <c r="S2596">
        <v>11</v>
      </c>
      <c r="U2596">
        <v>26</v>
      </c>
      <c r="V2596">
        <v>24</v>
      </c>
      <c r="W2596" s="1">
        <v>44160</v>
      </c>
      <c r="X2596" t="s">
        <v>56</v>
      </c>
      <c r="AA2596" t="s">
        <v>40</v>
      </c>
      <c r="AC2596" t="s">
        <v>40</v>
      </c>
      <c r="AF2596" t="s">
        <v>40</v>
      </c>
      <c r="AH2596" t="s">
        <v>40</v>
      </c>
      <c r="AK2596" t="s">
        <v>40</v>
      </c>
    </row>
    <row r="2597" spans="1:39" x14ac:dyDescent="0.3">
      <c r="A2597">
        <v>2020</v>
      </c>
      <c r="B2597">
        <v>10</v>
      </c>
      <c r="C2597" t="str">
        <f t="shared" si="80"/>
        <v>10/01/2020</v>
      </c>
      <c r="D2597" s="1" t="str">
        <f t="shared" si="81"/>
        <v>10/01/2020</v>
      </c>
      <c r="E2597" t="s">
        <v>55</v>
      </c>
      <c r="F2597" t="s">
        <v>50</v>
      </c>
      <c r="G2597" t="s">
        <v>46</v>
      </c>
      <c r="H2597">
        <v>200</v>
      </c>
      <c r="I2597">
        <v>177</v>
      </c>
      <c r="K2597">
        <v>25</v>
      </c>
      <c r="L2597">
        <v>11</v>
      </c>
      <c r="M2597">
        <v>0</v>
      </c>
      <c r="R2597">
        <v>20</v>
      </c>
      <c r="S2597">
        <v>27</v>
      </c>
      <c r="U2597">
        <v>33</v>
      </c>
      <c r="V2597">
        <v>28</v>
      </c>
      <c r="W2597" s="1">
        <v>44160</v>
      </c>
      <c r="X2597" t="s">
        <v>56</v>
      </c>
      <c r="AA2597" t="s">
        <v>40</v>
      </c>
      <c r="AE2597" t="s">
        <v>40</v>
      </c>
      <c r="AF2597" t="s">
        <v>40</v>
      </c>
      <c r="AG2597" t="s">
        <v>40</v>
      </c>
      <c r="AH2597" t="s">
        <v>40</v>
      </c>
      <c r="AK2597" t="s">
        <v>40</v>
      </c>
    </row>
    <row r="2598" spans="1:39" x14ac:dyDescent="0.3">
      <c r="A2598">
        <v>2020</v>
      </c>
      <c r="B2598">
        <v>10</v>
      </c>
      <c r="C2598" t="str">
        <f t="shared" si="80"/>
        <v>10/01/2020</v>
      </c>
      <c r="D2598" s="1" t="str">
        <f t="shared" si="81"/>
        <v>10/01/2020</v>
      </c>
      <c r="E2598" t="s">
        <v>55</v>
      </c>
      <c r="F2598" t="s">
        <v>50</v>
      </c>
      <c r="G2598" t="s">
        <v>47</v>
      </c>
      <c r="H2598">
        <v>190</v>
      </c>
      <c r="I2598">
        <v>187</v>
      </c>
      <c r="K2598">
        <v>35</v>
      </c>
      <c r="L2598">
        <v>14</v>
      </c>
      <c r="M2598">
        <v>0</v>
      </c>
      <c r="S2598">
        <v>27</v>
      </c>
      <c r="U2598">
        <v>55</v>
      </c>
      <c r="V2598">
        <v>52</v>
      </c>
      <c r="W2598" s="1">
        <v>44160</v>
      </c>
      <c r="X2598" t="s">
        <v>56</v>
      </c>
      <c r="AA2598" t="s">
        <v>40</v>
      </c>
      <c r="AE2598" t="s">
        <v>40</v>
      </c>
      <c r="AF2598" t="s">
        <v>40</v>
      </c>
      <c r="AG2598" t="s">
        <v>40</v>
      </c>
      <c r="AH2598" t="s">
        <v>40</v>
      </c>
      <c r="AI2598" t="s">
        <v>40</v>
      </c>
      <c r="AK2598" t="s">
        <v>40</v>
      </c>
    </row>
    <row r="2599" spans="1:39" x14ac:dyDescent="0.3">
      <c r="A2599">
        <v>2020</v>
      </c>
      <c r="B2599">
        <v>10</v>
      </c>
      <c r="C2599" t="str">
        <f t="shared" si="80"/>
        <v>10/01/2020</v>
      </c>
      <c r="D2599" s="1" t="str">
        <f t="shared" si="81"/>
        <v>10/01/2020</v>
      </c>
      <c r="E2599" t="s">
        <v>55</v>
      </c>
      <c r="F2599" t="s">
        <v>50</v>
      </c>
      <c r="G2599" t="s">
        <v>48</v>
      </c>
      <c r="H2599">
        <v>175</v>
      </c>
      <c r="I2599">
        <v>172</v>
      </c>
      <c r="J2599">
        <v>0</v>
      </c>
      <c r="K2599">
        <v>32</v>
      </c>
      <c r="L2599">
        <v>14</v>
      </c>
      <c r="M2599">
        <v>0</v>
      </c>
      <c r="S2599">
        <v>43</v>
      </c>
      <c r="U2599">
        <v>42</v>
      </c>
      <c r="V2599">
        <v>38</v>
      </c>
      <c r="W2599" s="1">
        <v>44160</v>
      </c>
      <c r="X2599" t="s">
        <v>56</v>
      </c>
      <c r="AE2599" t="s">
        <v>40</v>
      </c>
      <c r="AF2599" t="s">
        <v>40</v>
      </c>
      <c r="AG2599" t="s">
        <v>40</v>
      </c>
      <c r="AH2599" t="s">
        <v>40</v>
      </c>
      <c r="AI2599" t="s">
        <v>40</v>
      </c>
      <c r="AK2599" t="s">
        <v>40</v>
      </c>
    </row>
    <row r="2600" spans="1:39" x14ac:dyDescent="0.3">
      <c r="A2600">
        <v>2020</v>
      </c>
      <c r="B2600">
        <v>10</v>
      </c>
      <c r="C2600" t="str">
        <f t="shared" si="80"/>
        <v>10/01/2020</v>
      </c>
      <c r="D2600" s="1" t="str">
        <f t="shared" si="81"/>
        <v>10/01/2020</v>
      </c>
      <c r="E2600" t="s">
        <v>55</v>
      </c>
      <c r="F2600" t="s">
        <v>50</v>
      </c>
      <c r="G2600" t="s">
        <v>49</v>
      </c>
      <c r="H2600">
        <v>88</v>
      </c>
      <c r="I2600">
        <v>87</v>
      </c>
      <c r="K2600">
        <v>18</v>
      </c>
      <c r="P2600">
        <v>0</v>
      </c>
      <c r="R2600">
        <v>0</v>
      </c>
      <c r="S2600">
        <v>15</v>
      </c>
      <c r="U2600">
        <v>19</v>
      </c>
      <c r="V2600">
        <v>19</v>
      </c>
      <c r="W2600" s="1">
        <v>44160</v>
      </c>
      <c r="X2600" t="s">
        <v>56</v>
      </c>
      <c r="AA2600" t="s">
        <v>40</v>
      </c>
      <c r="AC2600" t="s">
        <v>40</v>
      </c>
      <c r="AD2600" t="s">
        <v>40</v>
      </c>
      <c r="AE2600" t="s">
        <v>40</v>
      </c>
      <c r="AF2600" t="s">
        <v>40</v>
      </c>
      <c r="AH2600" t="s">
        <v>40</v>
      </c>
      <c r="AK2600" t="s">
        <v>40</v>
      </c>
    </row>
    <row r="2601" spans="1:39" x14ac:dyDescent="0.3">
      <c r="A2601">
        <v>2020</v>
      </c>
      <c r="B2601">
        <v>10</v>
      </c>
      <c r="C2601" t="str">
        <f t="shared" si="80"/>
        <v>10/01/2020</v>
      </c>
      <c r="D2601" s="1" t="str">
        <f t="shared" si="81"/>
        <v>10/01/2020</v>
      </c>
      <c r="E2601" t="s">
        <v>55</v>
      </c>
      <c r="F2601" t="s">
        <v>51</v>
      </c>
      <c r="G2601" t="s">
        <v>39</v>
      </c>
      <c r="H2601">
        <v>27</v>
      </c>
      <c r="I2601">
        <v>25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Q2601">
        <v>0</v>
      </c>
      <c r="S2601">
        <v>0</v>
      </c>
      <c r="T2601">
        <v>0</v>
      </c>
      <c r="U2601">
        <v>0</v>
      </c>
      <c r="V2601">
        <v>0</v>
      </c>
      <c r="W2601" s="1">
        <v>44160</v>
      </c>
      <c r="X2601" t="s">
        <v>56</v>
      </c>
      <c r="AG2601" t="s">
        <v>40</v>
      </c>
      <c r="AI2601" t="s">
        <v>40</v>
      </c>
    </row>
    <row r="2602" spans="1:39" x14ac:dyDescent="0.3">
      <c r="A2602">
        <v>2020</v>
      </c>
      <c r="B2602">
        <v>10</v>
      </c>
      <c r="C2602" t="str">
        <f t="shared" si="80"/>
        <v>10/01/2020</v>
      </c>
      <c r="D2602" s="1" t="str">
        <f t="shared" si="81"/>
        <v>10/01/2020</v>
      </c>
      <c r="E2602" t="s">
        <v>55</v>
      </c>
      <c r="F2602" t="s">
        <v>51</v>
      </c>
      <c r="G2602" t="s">
        <v>41</v>
      </c>
      <c r="H2602">
        <v>32</v>
      </c>
      <c r="I2602">
        <v>14</v>
      </c>
      <c r="J2602">
        <v>0</v>
      </c>
      <c r="K2602">
        <v>0</v>
      </c>
      <c r="L2602">
        <v>0</v>
      </c>
      <c r="M2602">
        <v>0</v>
      </c>
      <c r="N2602">
        <v>0</v>
      </c>
      <c r="P2602">
        <v>0</v>
      </c>
      <c r="Q2602">
        <v>0</v>
      </c>
      <c r="S2602">
        <v>0</v>
      </c>
      <c r="T2602">
        <v>0</v>
      </c>
      <c r="W2602" s="1">
        <v>44160</v>
      </c>
      <c r="X2602" t="s">
        <v>56</v>
      </c>
      <c r="AF2602" t="s">
        <v>40</v>
      </c>
      <c r="AI2602" t="s">
        <v>40</v>
      </c>
      <c r="AL2602" t="s">
        <v>40</v>
      </c>
      <c r="AM2602" t="s">
        <v>40</v>
      </c>
    </row>
    <row r="2603" spans="1:39" x14ac:dyDescent="0.3">
      <c r="A2603">
        <v>2020</v>
      </c>
      <c r="B2603">
        <v>10</v>
      </c>
      <c r="C2603" t="str">
        <f t="shared" si="80"/>
        <v>10/01/2020</v>
      </c>
      <c r="D2603" s="1" t="str">
        <f t="shared" si="81"/>
        <v>10/01/2020</v>
      </c>
      <c r="E2603" t="s">
        <v>55</v>
      </c>
      <c r="F2603" t="s">
        <v>51</v>
      </c>
      <c r="G2603" t="s">
        <v>42</v>
      </c>
      <c r="H2603">
        <v>82</v>
      </c>
      <c r="I2603">
        <v>46</v>
      </c>
      <c r="J2603">
        <v>0</v>
      </c>
      <c r="M2603">
        <v>0</v>
      </c>
      <c r="N2603">
        <v>0</v>
      </c>
      <c r="Q2603">
        <v>0</v>
      </c>
      <c r="R2603">
        <v>23</v>
      </c>
      <c r="W2603" s="1">
        <v>44160</v>
      </c>
      <c r="X2603" t="s">
        <v>56</v>
      </c>
      <c r="AB2603" t="s">
        <v>40</v>
      </c>
      <c r="AC2603" t="s">
        <v>40</v>
      </c>
      <c r="AF2603" t="s">
        <v>40</v>
      </c>
      <c r="AG2603" t="s">
        <v>40</v>
      </c>
      <c r="AJ2603" t="s">
        <v>40</v>
      </c>
      <c r="AK2603" t="s">
        <v>40</v>
      </c>
      <c r="AL2603" t="s">
        <v>40</v>
      </c>
      <c r="AM2603" t="s">
        <v>40</v>
      </c>
    </row>
    <row r="2604" spans="1:39" x14ac:dyDescent="0.3">
      <c r="A2604">
        <v>2020</v>
      </c>
      <c r="B2604">
        <v>10</v>
      </c>
      <c r="C2604" t="str">
        <f t="shared" si="80"/>
        <v>10/01/2020</v>
      </c>
      <c r="D2604" s="1" t="str">
        <f t="shared" si="81"/>
        <v>10/01/2020</v>
      </c>
      <c r="E2604" t="s">
        <v>55</v>
      </c>
      <c r="F2604" t="s">
        <v>51</v>
      </c>
      <c r="G2604" t="s">
        <v>43</v>
      </c>
      <c r="H2604">
        <v>119</v>
      </c>
      <c r="I2604">
        <v>87</v>
      </c>
      <c r="K2604">
        <v>14</v>
      </c>
      <c r="M2604">
        <v>0</v>
      </c>
      <c r="O2604">
        <v>0</v>
      </c>
      <c r="R2604">
        <v>24</v>
      </c>
      <c r="S2604">
        <v>13</v>
      </c>
      <c r="W2604" s="1">
        <v>44160</v>
      </c>
      <c r="X2604" t="s">
        <v>56</v>
      </c>
      <c r="AA2604" t="s">
        <v>40</v>
      </c>
      <c r="AC2604" t="s">
        <v>40</v>
      </c>
      <c r="AE2604" t="s">
        <v>40</v>
      </c>
      <c r="AG2604" t="s">
        <v>40</v>
      </c>
      <c r="AH2604" t="s">
        <v>40</v>
      </c>
      <c r="AK2604" t="s">
        <v>40</v>
      </c>
      <c r="AL2604" t="s">
        <v>40</v>
      </c>
      <c r="AM2604" t="s">
        <v>40</v>
      </c>
    </row>
    <row r="2605" spans="1:39" x14ac:dyDescent="0.3">
      <c r="A2605">
        <v>2020</v>
      </c>
      <c r="B2605">
        <v>10</v>
      </c>
      <c r="C2605" t="str">
        <f t="shared" si="80"/>
        <v>10/01/2020</v>
      </c>
      <c r="D2605" s="1" t="str">
        <f t="shared" si="81"/>
        <v>10/01/2020</v>
      </c>
      <c r="E2605" t="s">
        <v>55</v>
      </c>
      <c r="F2605" t="s">
        <v>51</v>
      </c>
      <c r="G2605" t="s">
        <v>44</v>
      </c>
      <c r="H2605">
        <v>225</v>
      </c>
      <c r="I2605">
        <v>204</v>
      </c>
      <c r="K2605">
        <v>53</v>
      </c>
      <c r="L2605">
        <v>13</v>
      </c>
      <c r="M2605">
        <v>0</v>
      </c>
      <c r="N2605">
        <v>0</v>
      </c>
      <c r="O2605">
        <v>0</v>
      </c>
      <c r="R2605">
        <v>29</v>
      </c>
      <c r="S2605">
        <v>35</v>
      </c>
      <c r="T2605">
        <v>12</v>
      </c>
      <c r="U2605">
        <v>18</v>
      </c>
      <c r="V2605">
        <v>18</v>
      </c>
      <c r="W2605" s="1">
        <v>44160</v>
      </c>
      <c r="X2605" t="s">
        <v>56</v>
      </c>
      <c r="AA2605" t="s">
        <v>40</v>
      </c>
      <c r="AG2605" t="s">
        <v>40</v>
      </c>
      <c r="AH2605" t="s">
        <v>40</v>
      </c>
    </row>
    <row r="2606" spans="1:39" x14ac:dyDescent="0.3">
      <c r="A2606">
        <v>2020</v>
      </c>
      <c r="B2606">
        <v>10</v>
      </c>
      <c r="C2606" t="str">
        <f t="shared" si="80"/>
        <v>10/01/2020</v>
      </c>
      <c r="D2606" s="1" t="str">
        <f t="shared" si="81"/>
        <v>10/01/2020</v>
      </c>
      <c r="E2606" t="s">
        <v>55</v>
      </c>
      <c r="F2606" t="s">
        <v>51</v>
      </c>
      <c r="G2606" t="s">
        <v>45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S2606">
        <v>0</v>
      </c>
      <c r="T2606">
        <v>0</v>
      </c>
      <c r="U2606">
        <v>0</v>
      </c>
      <c r="V2606">
        <v>0</v>
      </c>
      <c r="W2606" s="1">
        <v>44160</v>
      </c>
      <c r="X2606" t="s">
        <v>56</v>
      </c>
      <c r="Y2606" t="s">
        <v>40</v>
      </c>
      <c r="Z2606" t="s">
        <v>40</v>
      </c>
      <c r="AH2606" t="s">
        <v>40</v>
      </c>
      <c r="AI2606" t="s">
        <v>40</v>
      </c>
    </row>
    <row r="2607" spans="1:39" x14ac:dyDescent="0.3">
      <c r="A2607">
        <v>2020</v>
      </c>
      <c r="B2607">
        <v>10</v>
      </c>
      <c r="C2607" t="str">
        <f t="shared" si="80"/>
        <v>10/01/2020</v>
      </c>
      <c r="D2607" s="1" t="str">
        <f t="shared" si="81"/>
        <v>10/01/2020</v>
      </c>
      <c r="E2607" t="s">
        <v>55</v>
      </c>
      <c r="F2607" t="s">
        <v>51</v>
      </c>
      <c r="G2607" t="s">
        <v>46</v>
      </c>
      <c r="H2607">
        <v>481</v>
      </c>
      <c r="I2607">
        <v>451</v>
      </c>
      <c r="K2607">
        <v>160</v>
      </c>
      <c r="L2607">
        <v>21</v>
      </c>
      <c r="M2607">
        <v>0</v>
      </c>
      <c r="O2607">
        <v>0</v>
      </c>
      <c r="R2607">
        <v>29</v>
      </c>
      <c r="S2607">
        <v>101</v>
      </c>
      <c r="T2607">
        <v>26</v>
      </c>
      <c r="U2607">
        <v>38</v>
      </c>
      <c r="V2607">
        <v>32</v>
      </c>
      <c r="W2607" s="1">
        <v>44160</v>
      </c>
      <c r="X2607" t="s">
        <v>56</v>
      </c>
      <c r="AA2607" t="s">
        <v>40</v>
      </c>
      <c r="AE2607" t="s">
        <v>40</v>
      </c>
      <c r="AG2607" t="s">
        <v>40</v>
      </c>
      <c r="AH2607" t="s">
        <v>40</v>
      </c>
    </row>
    <row r="2608" spans="1:39" x14ac:dyDescent="0.3">
      <c r="A2608">
        <v>2020</v>
      </c>
      <c r="B2608">
        <v>10</v>
      </c>
      <c r="C2608" t="str">
        <f t="shared" si="80"/>
        <v>10/01/2020</v>
      </c>
      <c r="D2608" s="1" t="str">
        <f t="shared" si="81"/>
        <v>10/01/2020</v>
      </c>
      <c r="E2608" t="s">
        <v>55</v>
      </c>
      <c r="F2608" t="s">
        <v>51</v>
      </c>
      <c r="G2608" t="s">
        <v>47</v>
      </c>
      <c r="H2608">
        <v>706</v>
      </c>
      <c r="I2608">
        <v>680</v>
      </c>
      <c r="J2608">
        <v>10</v>
      </c>
      <c r="K2608">
        <v>200</v>
      </c>
      <c r="L2608">
        <v>36</v>
      </c>
      <c r="N2608">
        <v>12</v>
      </c>
      <c r="O2608">
        <v>13</v>
      </c>
      <c r="P2608">
        <v>10</v>
      </c>
      <c r="R2608">
        <v>22</v>
      </c>
      <c r="S2608">
        <v>158</v>
      </c>
      <c r="T2608">
        <v>48</v>
      </c>
      <c r="U2608">
        <v>84</v>
      </c>
      <c r="V2608">
        <v>77</v>
      </c>
      <c r="W2608" s="1">
        <v>44160</v>
      </c>
      <c r="X2608" t="s">
        <v>56</v>
      </c>
      <c r="AD2608" t="s">
        <v>40</v>
      </c>
      <c r="AH2608" t="s">
        <v>40</v>
      </c>
    </row>
    <row r="2609" spans="1:39" x14ac:dyDescent="0.3">
      <c r="A2609">
        <v>2020</v>
      </c>
      <c r="B2609">
        <v>10</v>
      </c>
      <c r="C2609" t="str">
        <f t="shared" si="80"/>
        <v>10/01/2020</v>
      </c>
      <c r="D2609" s="1" t="str">
        <f t="shared" si="81"/>
        <v>10/01/2020</v>
      </c>
      <c r="E2609" t="s">
        <v>55</v>
      </c>
      <c r="F2609" t="s">
        <v>51</v>
      </c>
      <c r="G2609" t="s">
        <v>48</v>
      </c>
      <c r="H2609">
        <v>841</v>
      </c>
      <c r="I2609">
        <v>815</v>
      </c>
      <c r="J2609">
        <v>10</v>
      </c>
      <c r="K2609">
        <v>191</v>
      </c>
      <c r="L2609">
        <v>43</v>
      </c>
      <c r="M2609">
        <v>18</v>
      </c>
      <c r="N2609">
        <v>19</v>
      </c>
      <c r="O2609">
        <v>23</v>
      </c>
      <c r="P2609">
        <v>19</v>
      </c>
      <c r="Q2609">
        <v>18</v>
      </c>
      <c r="R2609">
        <v>14</v>
      </c>
      <c r="S2609">
        <v>167</v>
      </c>
      <c r="T2609">
        <v>74</v>
      </c>
      <c r="U2609">
        <v>77</v>
      </c>
      <c r="V2609">
        <v>75</v>
      </c>
      <c r="W2609" s="1">
        <v>44160</v>
      </c>
      <c r="X2609" t="s">
        <v>56</v>
      </c>
    </row>
    <row r="2610" spans="1:39" x14ac:dyDescent="0.3">
      <c r="A2610">
        <v>2020</v>
      </c>
      <c r="B2610">
        <v>10</v>
      </c>
      <c r="C2610" t="str">
        <f t="shared" si="80"/>
        <v>10/01/2020</v>
      </c>
      <c r="D2610" s="1" t="str">
        <f t="shared" si="81"/>
        <v>10/01/2020</v>
      </c>
      <c r="E2610" t="s">
        <v>55</v>
      </c>
      <c r="F2610" t="s">
        <v>51</v>
      </c>
      <c r="G2610" t="s">
        <v>49</v>
      </c>
      <c r="H2610">
        <v>868</v>
      </c>
      <c r="I2610">
        <v>848</v>
      </c>
      <c r="J2610">
        <v>10</v>
      </c>
      <c r="K2610">
        <v>109</v>
      </c>
      <c r="L2610">
        <v>19</v>
      </c>
      <c r="M2610">
        <v>55</v>
      </c>
      <c r="N2610">
        <v>31</v>
      </c>
      <c r="O2610">
        <v>29</v>
      </c>
      <c r="Q2610">
        <v>15</v>
      </c>
      <c r="R2610">
        <v>20</v>
      </c>
      <c r="S2610">
        <v>221</v>
      </c>
      <c r="T2610">
        <v>72</v>
      </c>
      <c r="U2610">
        <v>66</v>
      </c>
      <c r="V2610">
        <v>64</v>
      </c>
      <c r="W2610" s="1">
        <v>44160</v>
      </c>
      <c r="X2610" t="s">
        <v>56</v>
      </c>
      <c r="AG2610" t="s">
        <v>40</v>
      </c>
    </row>
    <row r="2611" spans="1:39" x14ac:dyDescent="0.3">
      <c r="A2611">
        <v>2020</v>
      </c>
      <c r="B2611">
        <v>10</v>
      </c>
      <c r="C2611" t="str">
        <f t="shared" si="80"/>
        <v>10/01/2020</v>
      </c>
      <c r="D2611" s="1" t="str">
        <f t="shared" si="81"/>
        <v>10/01/2020</v>
      </c>
      <c r="E2611" t="s">
        <v>55</v>
      </c>
      <c r="F2611" t="s">
        <v>52</v>
      </c>
      <c r="G2611" t="s">
        <v>39</v>
      </c>
      <c r="H2611">
        <v>205</v>
      </c>
      <c r="I2611">
        <v>187</v>
      </c>
      <c r="J2611">
        <v>0</v>
      </c>
      <c r="K2611">
        <v>0</v>
      </c>
      <c r="L2611">
        <v>0</v>
      </c>
      <c r="M2611">
        <v>0</v>
      </c>
      <c r="O2611">
        <v>0</v>
      </c>
      <c r="R2611">
        <v>57</v>
      </c>
      <c r="W2611" s="1">
        <v>44160</v>
      </c>
      <c r="X2611" t="s">
        <v>56</v>
      </c>
      <c r="AE2611" t="s">
        <v>40</v>
      </c>
      <c r="AG2611" t="s">
        <v>40</v>
      </c>
      <c r="AH2611" t="s">
        <v>40</v>
      </c>
      <c r="AJ2611" t="s">
        <v>40</v>
      </c>
      <c r="AK2611" t="s">
        <v>40</v>
      </c>
      <c r="AL2611" t="s">
        <v>40</v>
      </c>
      <c r="AM2611" t="s">
        <v>40</v>
      </c>
    </row>
    <row r="2612" spans="1:39" x14ac:dyDescent="0.3">
      <c r="A2612">
        <v>2020</v>
      </c>
      <c r="B2612">
        <v>10</v>
      </c>
      <c r="C2612" t="str">
        <f t="shared" si="80"/>
        <v>10/01/2020</v>
      </c>
      <c r="D2612" s="1" t="str">
        <f t="shared" si="81"/>
        <v>10/01/2020</v>
      </c>
      <c r="E2612" t="s">
        <v>55</v>
      </c>
      <c r="F2612" t="s">
        <v>52</v>
      </c>
      <c r="G2612" t="s">
        <v>41</v>
      </c>
      <c r="H2612">
        <v>510</v>
      </c>
      <c r="I2612">
        <v>112</v>
      </c>
      <c r="M2612">
        <v>0</v>
      </c>
      <c r="N2612">
        <v>0</v>
      </c>
      <c r="R2612">
        <v>59</v>
      </c>
      <c r="W2612" s="1">
        <v>44160</v>
      </c>
      <c r="X2612" t="s">
        <v>56</v>
      </c>
      <c r="AA2612" t="s">
        <v>40</v>
      </c>
      <c r="AB2612" t="s">
        <v>40</v>
      </c>
      <c r="AC2612" t="s">
        <v>40</v>
      </c>
      <c r="AF2612" t="s">
        <v>40</v>
      </c>
      <c r="AG2612" t="s">
        <v>40</v>
      </c>
      <c r="AH2612" t="s">
        <v>40</v>
      </c>
      <c r="AJ2612" t="s">
        <v>40</v>
      </c>
      <c r="AK2612" t="s">
        <v>40</v>
      </c>
      <c r="AL2612" t="s">
        <v>40</v>
      </c>
      <c r="AM2612" t="s">
        <v>40</v>
      </c>
    </row>
    <row r="2613" spans="1:39" x14ac:dyDescent="0.3">
      <c r="A2613">
        <v>2020</v>
      </c>
      <c r="B2613">
        <v>10</v>
      </c>
      <c r="C2613" t="str">
        <f t="shared" si="80"/>
        <v>10/01/2020</v>
      </c>
      <c r="D2613" s="1" t="str">
        <f t="shared" si="81"/>
        <v>10/01/2020</v>
      </c>
      <c r="E2613" t="s">
        <v>55</v>
      </c>
      <c r="F2613" t="s">
        <v>52</v>
      </c>
      <c r="G2613" t="s">
        <v>42</v>
      </c>
      <c r="H2613">
        <v>887</v>
      </c>
      <c r="I2613">
        <v>353</v>
      </c>
      <c r="K2613">
        <v>24</v>
      </c>
      <c r="L2613">
        <v>10</v>
      </c>
      <c r="M2613">
        <v>0</v>
      </c>
      <c r="R2613">
        <v>191</v>
      </c>
      <c r="S2613">
        <v>24</v>
      </c>
      <c r="U2613">
        <v>10</v>
      </c>
      <c r="W2613" s="1">
        <v>44160</v>
      </c>
      <c r="X2613" t="s">
        <v>56</v>
      </c>
      <c r="AA2613" t="s">
        <v>40</v>
      </c>
      <c r="AE2613" t="s">
        <v>40</v>
      </c>
      <c r="AF2613" t="s">
        <v>40</v>
      </c>
      <c r="AG2613" t="s">
        <v>40</v>
      </c>
      <c r="AH2613" t="s">
        <v>40</v>
      </c>
      <c r="AK2613" t="s">
        <v>40</v>
      </c>
      <c r="AM2613" t="s">
        <v>40</v>
      </c>
    </row>
    <row r="2614" spans="1:39" x14ac:dyDescent="0.3">
      <c r="A2614">
        <v>2020</v>
      </c>
      <c r="B2614">
        <v>10</v>
      </c>
      <c r="C2614" t="str">
        <f t="shared" si="80"/>
        <v>10/01/2020</v>
      </c>
      <c r="D2614" s="1" t="str">
        <f t="shared" si="81"/>
        <v>10/01/2020</v>
      </c>
      <c r="E2614" t="s">
        <v>55</v>
      </c>
      <c r="F2614" t="s">
        <v>52</v>
      </c>
      <c r="G2614" t="s">
        <v>43</v>
      </c>
      <c r="H2614">
        <v>963</v>
      </c>
      <c r="I2614">
        <v>643</v>
      </c>
      <c r="J2614">
        <v>13</v>
      </c>
      <c r="K2614">
        <v>61</v>
      </c>
      <c r="L2614">
        <v>26</v>
      </c>
      <c r="M2614">
        <v>0</v>
      </c>
      <c r="O2614">
        <v>10</v>
      </c>
      <c r="Q2614">
        <v>11</v>
      </c>
      <c r="R2614">
        <v>208</v>
      </c>
      <c r="S2614">
        <v>111</v>
      </c>
      <c r="T2614">
        <v>20</v>
      </c>
      <c r="U2614">
        <v>36</v>
      </c>
      <c r="V2614">
        <v>35</v>
      </c>
      <c r="W2614" s="1">
        <v>44160</v>
      </c>
      <c r="X2614" t="s">
        <v>56</v>
      </c>
      <c r="AE2614" t="s">
        <v>40</v>
      </c>
      <c r="AG2614" t="s">
        <v>40</v>
      </c>
    </row>
    <row r="2615" spans="1:39" x14ac:dyDescent="0.3">
      <c r="A2615">
        <v>2020</v>
      </c>
      <c r="B2615">
        <v>10</v>
      </c>
      <c r="C2615" t="str">
        <f t="shared" si="80"/>
        <v>10/01/2020</v>
      </c>
      <c r="D2615" s="1" t="str">
        <f t="shared" si="81"/>
        <v>10/01/2020</v>
      </c>
      <c r="E2615" t="s">
        <v>55</v>
      </c>
      <c r="F2615" t="s">
        <v>52</v>
      </c>
      <c r="G2615" t="s">
        <v>44</v>
      </c>
      <c r="H2615" s="2">
        <v>1483</v>
      </c>
      <c r="I2615" s="2">
        <v>1279</v>
      </c>
      <c r="J2615">
        <v>23</v>
      </c>
      <c r="K2615">
        <v>177</v>
      </c>
      <c r="L2615">
        <v>70</v>
      </c>
      <c r="M2615">
        <v>0</v>
      </c>
      <c r="N2615">
        <v>12</v>
      </c>
      <c r="O2615">
        <v>16</v>
      </c>
      <c r="P2615">
        <v>20</v>
      </c>
      <c r="Q2615">
        <v>27</v>
      </c>
      <c r="R2615">
        <v>243</v>
      </c>
      <c r="S2615">
        <v>321</v>
      </c>
      <c r="T2615">
        <v>50</v>
      </c>
      <c r="U2615">
        <v>85</v>
      </c>
      <c r="V2615">
        <v>78</v>
      </c>
      <c r="W2615" s="1">
        <v>44160</v>
      </c>
      <c r="X2615" t="s">
        <v>56</v>
      </c>
    </row>
    <row r="2616" spans="1:39" x14ac:dyDescent="0.3">
      <c r="A2616">
        <v>2020</v>
      </c>
      <c r="B2616">
        <v>10</v>
      </c>
      <c r="C2616" t="str">
        <f t="shared" si="80"/>
        <v>10/01/2020</v>
      </c>
      <c r="D2616" s="1" t="str">
        <f t="shared" si="81"/>
        <v>10/01/2020</v>
      </c>
      <c r="E2616" t="s">
        <v>55</v>
      </c>
      <c r="F2616" t="s">
        <v>52</v>
      </c>
      <c r="G2616" t="s">
        <v>45</v>
      </c>
      <c r="H2616">
        <v>64</v>
      </c>
      <c r="I2616">
        <v>35</v>
      </c>
      <c r="L2616">
        <v>0</v>
      </c>
      <c r="M2616">
        <v>0</v>
      </c>
      <c r="N2616">
        <v>0</v>
      </c>
      <c r="P2616">
        <v>0</v>
      </c>
      <c r="Q2616">
        <v>0</v>
      </c>
      <c r="R2616">
        <v>12</v>
      </c>
      <c r="V2616">
        <v>0</v>
      </c>
      <c r="W2616" s="1">
        <v>44160</v>
      </c>
      <c r="X2616" t="s">
        <v>56</v>
      </c>
      <c r="AA2616" t="s">
        <v>40</v>
      </c>
      <c r="AB2616" t="s">
        <v>40</v>
      </c>
      <c r="AF2616" t="s">
        <v>40</v>
      </c>
      <c r="AJ2616" t="s">
        <v>40</v>
      </c>
      <c r="AK2616" t="s">
        <v>40</v>
      </c>
      <c r="AL2616" t="s">
        <v>40</v>
      </c>
    </row>
    <row r="2617" spans="1:39" x14ac:dyDescent="0.3">
      <c r="A2617">
        <v>2020</v>
      </c>
      <c r="B2617">
        <v>10</v>
      </c>
      <c r="C2617" t="str">
        <f t="shared" si="80"/>
        <v>10/01/2020</v>
      </c>
      <c r="D2617" s="1" t="str">
        <f t="shared" si="81"/>
        <v>10/01/2020</v>
      </c>
      <c r="E2617" t="s">
        <v>55</v>
      </c>
      <c r="F2617" t="s">
        <v>52</v>
      </c>
      <c r="G2617" t="s">
        <v>46</v>
      </c>
      <c r="H2617" s="2">
        <v>3082</v>
      </c>
      <c r="I2617" s="2">
        <v>2861</v>
      </c>
      <c r="J2617">
        <v>34</v>
      </c>
      <c r="K2617">
        <v>589</v>
      </c>
      <c r="L2617">
        <v>147</v>
      </c>
      <c r="N2617">
        <v>54</v>
      </c>
      <c r="O2617">
        <v>61</v>
      </c>
      <c r="P2617">
        <v>34</v>
      </c>
      <c r="Q2617">
        <v>66</v>
      </c>
      <c r="R2617">
        <v>262</v>
      </c>
      <c r="S2617">
        <v>718</v>
      </c>
      <c r="T2617">
        <v>152</v>
      </c>
      <c r="U2617">
        <v>231</v>
      </c>
      <c r="V2617">
        <v>213</v>
      </c>
      <c r="W2617" s="1">
        <v>44160</v>
      </c>
      <c r="X2617" t="s">
        <v>56</v>
      </c>
      <c r="AD2617" t="s">
        <v>40</v>
      </c>
    </row>
    <row r="2618" spans="1:39" x14ac:dyDescent="0.3">
      <c r="A2618">
        <v>2020</v>
      </c>
      <c r="B2618">
        <v>10</v>
      </c>
      <c r="C2618" t="str">
        <f t="shared" si="80"/>
        <v>10/01/2020</v>
      </c>
      <c r="D2618" s="1" t="str">
        <f t="shared" si="81"/>
        <v>10/01/2020</v>
      </c>
      <c r="E2618" t="s">
        <v>55</v>
      </c>
      <c r="F2618" t="s">
        <v>52</v>
      </c>
      <c r="G2618" t="s">
        <v>47</v>
      </c>
      <c r="H2618" s="2">
        <v>3721</v>
      </c>
      <c r="I2618" s="2">
        <v>3596</v>
      </c>
      <c r="J2618">
        <v>62</v>
      </c>
      <c r="K2618">
        <v>887</v>
      </c>
      <c r="L2618">
        <v>166</v>
      </c>
      <c r="M2618">
        <v>34</v>
      </c>
      <c r="N2618">
        <v>45</v>
      </c>
      <c r="O2618">
        <v>134</v>
      </c>
      <c r="P2618">
        <v>43</v>
      </c>
      <c r="Q2618">
        <v>122</v>
      </c>
      <c r="R2618">
        <v>143</v>
      </c>
      <c r="S2618">
        <v>833</v>
      </c>
      <c r="T2618">
        <v>224</v>
      </c>
      <c r="U2618">
        <v>327</v>
      </c>
      <c r="V2618">
        <v>296</v>
      </c>
      <c r="W2618" s="1">
        <v>44160</v>
      </c>
      <c r="X2618" t="s">
        <v>56</v>
      </c>
    </row>
    <row r="2619" spans="1:39" x14ac:dyDescent="0.3">
      <c r="A2619">
        <v>2020</v>
      </c>
      <c r="B2619">
        <v>10</v>
      </c>
      <c r="C2619" t="str">
        <f t="shared" si="80"/>
        <v>10/01/2020</v>
      </c>
      <c r="D2619" s="1" t="str">
        <f t="shared" si="81"/>
        <v>10/01/2020</v>
      </c>
      <c r="E2619" t="s">
        <v>55</v>
      </c>
      <c r="F2619" t="s">
        <v>52</v>
      </c>
      <c r="G2619" t="s">
        <v>48</v>
      </c>
      <c r="H2619" s="2">
        <v>2648</v>
      </c>
      <c r="I2619" s="2">
        <v>2595</v>
      </c>
      <c r="J2619">
        <v>45</v>
      </c>
      <c r="K2619">
        <v>574</v>
      </c>
      <c r="L2619">
        <v>113</v>
      </c>
      <c r="M2619">
        <v>62</v>
      </c>
      <c r="N2619">
        <v>38</v>
      </c>
      <c r="O2619">
        <v>91</v>
      </c>
      <c r="P2619">
        <v>29</v>
      </c>
      <c r="Q2619">
        <v>86</v>
      </c>
      <c r="R2619">
        <v>38</v>
      </c>
      <c r="S2619">
        <v>639</v>
      </c>
      <c r="T2619">
        <v>176</v>
      </c>
      <c r="U2619">
        <v>240</v>
      </c>
      <c r="V2619">
        <v>217</v>
      </c>
      <c r="W2619" s="1">
        <v>44160</v>
      </c>
      <c r="X2619" t="s">
        <v>56</v>
      </c>
    </row>
    <row r="2620" spans="1:39" x14ac:dyDescent="0.3">
      <c r="A2620">
        <v>2020</v>
      </c>
      <c r="B2620">
        <v>10</v>
      </c>
      <c r="C2620" t="str">
        <f t="shared" si="80"/>
        <v>10/01/2020</v>
      </c>
      <c r="D2620" s="1" t="str">
        <f t="shared" si="81"/>
        <v>10/01/2020</v>
      </c>
      <c r="E2620" t="s">
        <v>55</v>
      </c>
      <c r="F2620" t="s">
        <v>52</v>
      </c>
      <c r="G2620" t="s">
        <v>49</v>
      </c>
      <c r="H2620" s="2">
        <v>1700</v>
      </c>
      <c r="I2620" s="2">
        <v>1671</v>
      </c>
      <c r="J2620">
        <v>29</v>
      </c>
      <c r="K2620">
        <v>263</v>
      </c>
      <c r="L2620">
        <v>45</v>
      </c>
      <c r="M2620">
        <v>113</v>
      </c>
      <c r="N2620">
        <v>34</v>
      </c>
      <c r="O2620">
        <v>50</v>
      </c>
      <c r="P2620">
        <v>10</v>
      </c>
      <c r="Q2620">
        <v>45</v>
      </c>
      <c r="R2620">
        <v>22</v>
      </c>
      <c r="S2620">
        <v>427</v>
      </c>
      <c r="T2620">
        <v>108</v>
      </c>
      <c r="U2620">
        <v>147</v>
      </c>
      <c r="V2620">
        <v>124</v>
      </c>
      <c r="W2620" s="1">
        <v>44160</v>
      </c>
      <c r="X2620" t="s">
        <v>56</v>
      </c>
    </row>
    <row r="2621" spans="1:39" x14ac:dyDescent="0.3">
      <c r="A2621">
        <v>2020</v>
      </c>
      <c r="B2621">
        <v>10</v>
      </c>
      <c r="C2621" t="str">
        <f t="shared" si="80"/>
        <v>10/01/2020</v>
      </c>
      <c r="D2621" s="1" t="str">
        <f t="shared" si="81"/>
        <v>10/01/2020</v>
      </c>
      <c r="E2621" t="s">
        <v>55</v>
      </c>
      <c r="F2621" t="s">
        <v>53</v>
      </c>
      <c r="G2621" t="s">
        <v>39</v>
      </c>
      <c r="H2621">
        <v>332</v>
      </c>
      <c r="I2621">
        <v>305</v>
      </c>
      <c r="L2621">
        <v>0</v>
      </c>
      <c r="M2621">
        <v>0</v>
      </c>
      <c r="O2621">
        <v>0</v>
      </c>
      <c r="Q2621">
        <v>0</v>
      </c>
      <c r="R2621">
        <v>76</v>
      </c>
      <c r="U2621">
        <v>0</v>
      </c>
      <c r="V2621">
        <v>0</v>
      </c>
      <c r="W2621" s="1">
        <v>44160</v>
      </c>
      <c r="X2621" t="s">
        <v>56</v>
      </c>
      <c r="AA2621" t="s">
        <v>40</v>
      </c>
      <c r="AB2621" t="s">
        <v>40</v>
      </c>
      <c r="AE2621" t="s">
        <v>40</v>
      </c>
      <c r="AG2621" t="s">
        <v>40</v>
      </c>
      <c r="AJ2621" t="s">
        <v>40</v>
      </c>
      <c r="AK2621" t="s">
        <v>40</v>
      </c>
    </row>
    <row r="2622" spans="1:39" x14ac:dyDescent="0.3">
      <c r="A2622">
        <v>2020</v>
      </c>
      <c r="B2622">
        <v>10</v>
      </c>
      <c r="C2622" t="str">
        <f t="shared" si="80"/>
        <v>10/01/2020</v>
      </c>
      <c r="D2622" s="1" t="str">
        <f t="shared" si="81"/>
        <v>10/01/2020</v>
      </c>
      <c r="E2622" t="s">
        <v>55</v>
      </c>
      <c r="F2622" t="s">
        <v>53</v>
      </c>
      <c r="G2622" t="s">
        <v>41</v>
      </c>
      <c r="H2622">
        <v>866</v>
      </c>
      <c r="I2622">
        <v>334</v>
      </c>
      <c r="K2622">
        <v>25</v>
      </c>
      <c r="M2622">
        <v>0</v>
      </c>
      <c r="O2622">
        <v>0</v>
      </c>
      <c r="Q2622">
        <v>0</v>
      </c>
      <c r="R2622">
        <v>231</v>
      </c>
      <c r="W2622" s="1">
        <v>44160</v>
      </c>
      <c r="X2622" t="s">
        <v>56</v>
      </c>
      <c r="AA2622" t="s">
        <v>40</v>
      </c>
      <c r="AC2622" t="s">
        <v>40</v>
      </c>
      <c r="AE2622" t="s">
        <v>40</v>
      </c>
      <c r="AG2622" t="s">
        <v>40</v>
      </c>
      <c r="AJ2622" t="s">
        <v>40</v>
      </c>
      <c r="AK2622" t="s">
        <v>40</v>
      </c>
      <c r="AL2622" t="s">
        <v>40</v>
      </c>
      <c r="AM2622" t="s">
        <v>40</v>
      </c>
    </row>
    <row r="2623" spans="1:39" x14ac:dyDescent="0.3">
      <c r="A2623">
        <v>2020</v>
      </c>
      <c r="B2623">
        <v>10</v>
      </c>
      <c r="C2623" t="str">
        <f t="shared" si="80"/>
        <v>10/01/2020</v>
      </c>
      <c r="D2623" s="1" t="str">
        <f t="shared" si="81"/>
        <v>10/01/2020</v>
      </c>
      <c r="E2623" t="s">
        <v>55</v>
      </c>
      <c r="F2623" t="s">
        <v>53</v>
      </c>
      <c r="G2623" t="s">
        <v>42</v>
      </c>
      <c r="H2623" s="2">
        <v>1927</v>
      </c>
      <c r="I2623" s="2">
        <v>1071</v>
      </c>
      <c r="K2623">
        <v>76</v>
      </c>
      <c r="L2623">
        <v>13</v>
      </c>
      <c r="M2623">
        <v>0</v>
      </c>
      <c r="R2623">
        <v>659</v>
      </c>
      <c r="S2623">
        <v>87</v>
      </c>
      <c r="T2623">
        <v>10</v>
      </c>
      <c r="U2623">
        <v>20</v>
      </c>
      <c r="V2623">
        <v>18</v>
      </c>
      <c r="W2623" s="1">
        <v>44160</v>
      </c>
      <c r="X2623" t="s">
        <v>56</v>
      </c>
      <c r="AA2623" t="s">
        <v>40</v>
      </c>
      <c r="AE2623" t="s">
        <v>40</v>
      </c>
      <c r="AF2623" t="s">
        <v>40</v>
      </c>
      <c r="AG2623" t="s">
        <v>40</v>
      </c>
      <c r="AH2623" t="s">
        <v>40</v>
      </c>
    </row>
    <row r="2624" spans="1:39" x14ac:dyDescent="0.3">
      <c r="A2624">
        <v>2020</v>
      </c>
      <c r="B2624">
        <v>10</v>
      </c>
      <c r="C2624" t="str">
        <f t="shared" si="80"/>
        <v>10/01/2020</v>
      </c>
      <c r="D2624" s="1" t="str">
        <f t="shared" si="81"/>
        <v>10/01/2020</v>
      </c>
      <c r="E2624" t="s">
        <v>55</v>
      </c>
      <c r="F2624" t="s">
        <v>53</v>
      </c>
      <c r="G2624" t="s">
        <v>43</v>
      </c>
      <c r="H2624" s="2">
        <v>2759</v>
      </c>
      <c r="I2624" s="2">
        <v>1929</v>
      </c>
      <c r="J2624">
        <v>13</v>
      </c>
      <c r="K2624">
        <v>226</v>
      </c>
      <c r="L2624">
        <v>44</v>
      </c>
      <c r="M2624">
        <v>0</v>
      </c>
      <c r="P2624">
        <v>14</v>
      </c>
      <c r="R2624">
        <v>808</v>
      </c>
      <c r="S2624">
        <v>273</v>
      </c>
      <c r="T2624">
        <v>36</v>
      </c>
      <c r="U2624">
        <v>53</v>
      </c>
      <c r="V2624">
        <v>46</v>
      </c>
      <c r="W2624" s="1">
        <v>44160</v>
      </c>
      <c r="X2624" t="s">
        <v>56</v>
      </c>
      <c r="AE2624" t="s">
        <v>40</v>
      </c>
      <c r="AF2624" t="s">
        <v>40</v>
      </c>
      <c r="AH2624" t="s">
        <v>40</v>
      </c>
    </row>
    <row r="2625" spans="1:39" x14ac:dyDescent="0.3">
      <c r="A2625">
        <v>2020</v>
      </c>
      <c r="B2625">
        <v>10</v>
      </c>
      <c r="C2625" t="str">
        <f t="shared" si="80"/>
        <v>10/01/2020</v>
      </c>
      <c r="D2625" s="1" t="str">
        <f t="shared" si="81"/>
        <v>10/01/2020</v>
      </c>
      <c r="E2625" t="s">
        <v>55</v>
      </c>
      <c r="F2625" t="s">
        <v>53</v>
      </c>
      <c r="G2625" t="s">
        <v>44</v>
      </c>
      <c r="H2625" s="2">
        <v>5132</v>
      </c>
      <c r="I2625" s="2">
        <v>4314</v>
      </c>
      <c r="J2625">
        <v>61</v>
      </c>
      <c r="K2625">
        <v>851</v>
      </c>
      <c r="L2625">
        <v>162</v>
      </c>
      <c r="N2625">
        <v>42</v>
      </c>
      <c r="O2625">
        <v>80</v>
      </c>
      <c r="P2625">
        <v>41</v>
      </c>
      <c r="Q2625">
        <v>45</v>
      </c>
      <c r="R2625">
        <v>768</v>
      </c>
      <c r="S2625">
        <v>928</v>
      </c>
      <c r="T2625">
        <v>98</v>
      </c>
      <c r="U2625">
        <v>206</v>
      </c>
      <c r="V2625">
        <v>183</v>
      </c>
      <c r="W2625" s="1">
        <v>44160</v>
      </c>
      <c r="X2625" t="s">
        <v>56</v>
      </c>
      <c r="AD2625" t="s">
        <v>40</v>
      </c>
    </row>
    <row r="2626" spans="1:39" x14ac:dyDescent="0.3">
      <c r="A2626">
        <v>2020</v>
      </c>
      <c r="B2626">
        <v>10</v>
      </c>
      <c r="C2626" t="str">
        <f t="shared" si="80"/>
        <v>10/01/2020</v>
      </c>
      <c r="D2626" s="1" t="str">
        <f t="shared" si="81"/>
        <v>10/01/2020</v>
      </c>
      <c r="E2626" t="s">
        <v>55</v>
      </c>
      <c r="F2626" t="s">
        <v>53</v>
      </c>
      <c r="G2626" t="s">
        <v>45</v>
      </c>
      <c r="H2626">
        <v>120</v>
      </c>
      <c r="I2626">
        <v>71</v>
      </c>
      <c r="K2626">
        <v>20</v>
      </c>
      <c r="L2626">
        <v>0</v>
      </c>
      <c r="M2626">
        <v>0</v>
      </c>
      <c r="N2626">
        <v>0</v>
      </c>
      <c r="Q2626">
        <v>0</v>
      </c>
      <c r="R2626">
        <v>18</v>
      </c>
      <c r="T2626">
        <v>0</v>
      </c>
      <c r="U2626">
        <v>0</v>
      </c>
      <c r="V2626">
        <v>0</v>
      </c>
      <c r="W2626" s="1">
        <v>44160</v>
      </c>
      <c r="X2626" t="s">
        <v>56</v>
      </c>
      <c r="AA2626" t="s">
        <v>40</v>
      </c>
      <c r="AF2626" t="s">
        <v>40</v>
      </c>
      <c r="AG2626" t="s">
        <v>40</v>
      </c>
      <c r="AJ2626" t="s">
        <v>40</v>
      </c>
    </row>
    <row r="2627" spans="1:39" x14ac:dyDescent="0.3">
      <c r="A2627">
        <v>2020</v>
      </c>
      <c r="B2627">
        <v>10</v>
      </c>
      <c r="C2627" t="str">
        <f t="shared" ref="C2627:C2640" si="82">CONCATENATE(B2627,"/01/",A2627)</f>
        <v>10/01/2020</v>
      </c>
      <c r="D2627" s="1" t="str">
        <f t="shared" ref="D2627:D2640" si="83">C2627</f>
        <v>10/01/2020</v>
      </c>
      <c r="E2627" t="s">
        <v>55</v>
      </c>
      <c r="F2627" t="s">
        <v>53</v>
      </c>
      <c r="G2627" t="s">
        <v>46</v>
      </c>
      <c r="H2627" s="2">
        <v>13308</v>
      </c>
      <c r="I2627" s="2">
        <v>12360</v>
      </c>
      <c r="J2627">
        <v>163</v>
      </c>
      <c r="K2627" s="2">
        <v>3342</v>
      </c>
      <c r="L2627">
        <v>498</v>
      </c>
      <c r="M2627">
        <v>37</v>
      </c>
      <c r="N2627">
        <v>102</v>
      </c>
      <c r="O2627">
        <v>534</v>
      </c>
      <c r="P2627">
        <v>146</v>
      </c>
      <c r="Q2627">
        <v>138</v>
      </c>
      <c r="R2627">
        <v>946</v>
      </c>
      <c r="S2627" s="2">
        <v>2824</v>
      </c>
      <c r="T2627">
        <v>382</v>
      </c>
      <c r="U2627">
        <v>715</v>
      </c>
      <c r="V2627">
        <v>638</v>
      </c>
      <c r="W2627" s="1">
        <v>44160</v>
      </c>
      <c r="X2627" t="s">
        <v>56</v>
      </c>
    </row>
    <row r="2628" spans="1:39" x14ac:dyDescent="0.3">
      <c r="A2628">
        <v>2020</v>
      </c>
      <c r="B2628">
        <v>10</v>
      </c>
      <c r="C2628" t="str">
        <f t="shared" si="82"/>
        <v>10/01/2020</v>
      </c>
      <c r="D2628" s="1" t="str">
        <f t="shared" si="83"/>
        <v>10/01/2020</v>
      </c>
      <c r="E2628" t="s">
        <v>55</v>
      </c>
      <c r="F2628" t="s">
        <v>53</v>
      </c>
      <c r="G2628" t="s">
        <v>47</v>
      </c>
      <c r="H2628" s="2">
        <v>21510</v>
      </c>
      <c r="I2628" s="2">
        <v>20629</v>
      </c>
      <c r="J2628">
        <v>305</v>
      </c>
      <c r="K2628" s="2">
        <v>5957</v>
      </c>
      <c r="L2628">
        <v>767</v>
      </c>
      <c r="M2628">
        <v>210</v>
      </c>
      <c r="N2628">
        <v>247</v>
      </c>
      <c r="O2628" s="2">
        <v>1234</v>
      </c>
      <c r="P2628">
        <v>337</v>
      </c>
      <c r="Q2628">
        <v>291</v>
      </c>
      <c r="R2628">
        <v>553</v>
      </c>
      <c r="S2628" s="2">
        <v>4612</v>
      </c>
      <c r="T2628">
        <v>739</v>
      </c>
      <c r="U2628" s="2">
        <v>1850</v>
      </c>
      <c r="V2628" s="2">
        <v>1702</v>
      </c>
      <c r="W2628" s="1">
        <v>44160</v>
      </c>
      <c r="X2628" t="s">
        <v>56</v>
      </c>
    </row>
    <row r="2629" spans="1:39" x14ac:dyDescent="0.3">
      <c r="A2629">
        <v>2020</v>
      </c>
      <c r="B2629">
        <v>10</v>
      </c>
      <c r="C2629" t="str">
        <f t="shared" si="82"/>
        <v>10/01/2020</v>
      </c>
      <c r="D2629" s="1" t="str">
        <f t="shared" si="83"/>
        <v>10/01/2020</v>
      </c>
      <c r="E2629" t="s">
        <v>55</v>
      </c>
      <c r="F2629" t="s">
        <v>53</v>
      </c>
      <c r="G2629" t="s">
        <v>48</v>
      </c>
      <c r="H2629" s="2">
        <v>25834</v>
      </c>
      <c r="I2629" s="2">
        <v>24978</v>
      </c>
      <c r="J2629">
        <v>282</v>
      </c>
      <c r="K2629" s="2">
        <v>5568</v>
      </c>
      <c r="L2629">
        <v>743</v>
      </c>
      <c r="M2629">
        <v>897</v>
      </c>
      <c r="N2629">
        <v>370</v>
      </c>
      <c r="O2629" s="2">
        <v>1442</v>
      </c>
      <c r="P2629">
        <v>463</v>
      </c>
      <c r="Q2629">
        <v>414</v>
      </c>
      <c r="R2629">
        <v>366</v>
      </c>
      <c r="S2629" s="2">
        <v>5748</v>
      </c>
      <c r="T2629" s="2">
        <v>1216</v>
      </c>
      <c r="U2629" s="2">
        <v>2829</v>
      </c>
      <c r="V2629" s="2">
        <v>2545</v>
      </c>
      <c r="W2629" s="1">
        <v>44160</v>
      </c>
      <c r="X2629" t="s">
        <v>56</v>
      </c>
    </row>
    <row r="2630" spans="1:39" x14ac:dyDescent="0.3">
      <c r="A2630">
        <v>2020</v>
      </c>
      <c r="B2630">
        <v>10</v>
      </c>
      <c r="C2630" t="str">
        <f t="shared" si="82"/>
        <v>10/01/2020</v>
      </c>
      <c r="D2630" s="1" t="str">
        <f t="shared" si="83"/>
        <v>10/01/2020</v>
      </c>
      <c r="E2630" t="s">
        <v>55</v>
      </c>
      <c r="F2630" t="s">
        <v>53</v>
      </c>
      <c r="G2630" t="s">
        <v>49</v>
      </c>
      <c r="H2630" s="2">
        <v>25095</v>
      </c>
      <c r="I2630" s="2">
        <v>24237</v>
      </c>
      <c r="J2630">
        <v>246</v>
      </c>
      <c r="K2630" s="2">
        <v>3407</v>
      </c>
      <c r="L2630">
        <v>482</v>
      </c>
      <c r="M2630" s="2">
        <v>1490</v>
      </c>
      <c r="N2630">
        <v>373</v>
      </c>
      <c r="O2630" s="2">
        <v>1046</v>
      </c>
      <c r="P2630">
        <v>346</v>
      </c>
      <c r="Q2630">
        <v>481</v>
      </c>
      <c r="R2630">
        <v>381</v>
      </c>
      <c r="S2630" s="2">
        <v>6713</v>
      </c>
      <c r="T2630" s="2">
        <v>1362</v>
      </c>
      <c r="U2630" s="2">
        <v>2686</v>
      </c>
      <c r="V2630" s="2">
        <v>2372</v>
      </c>
      <c r="W2630" s="1">
        <v>44160</v>
      </c>
      <c r="X2630" t="s">
        <v>56</v>
      </c>
    </row>
    <row r="2631" spans="1:39" x14ac:dyDescent="0.3">
      <c r="A2631">
        <v>2020</v>
      </c>
      <c r="B2631">
        <v>10</v>
      </c>
      <c r="C2631" t="str">
        <f t="shared" si="82"/>
        <v>10/01/2020</v>
      </c>
      <c r="D2631" s="1" t="str">
        <f t="shared" si="83"/>
        <v>10/01/2020</v>
      </c>
      <c r="E2631" t="s">
        <v>55</v>
      </c>
      <c r="F2631" t="s">
        <v>54</v>
      </c>
      <c r="G2631" t="s">
        <v>39</v>
      </c>
      <c r="H2631">
        <v>37</v>
      </c>
      <c r="I2631">
        <v>33</v>
      </c>
      <c r="K2631">
        <v>0</v>
      </c>
      <c r="L2631">
        <v>0</v>
      </c>
      <c r="M2631">
        <v>0</v>
      </c>
      <c r="N2631">
        <v>0</v>
      </c>
      <c r="O2631">
        <v>0</v>
      </c>
      <c r="Q2631">
        <v>0</v>
      </c>
      <c r="R2631">
        <v>14</v>
      </c>
      <c r="S2631">
        <v>0</v>
      </c>
      <c r="T2631">
        <v>0</v>
      </c>
      <c r="U2631">
        <v>0</v>
      </c>
      <c r="V2631">
        <v>0</v>
      </c>
      <c r="W2631" s="1">
        <v>44160</v>
      </c>
      <c r="X2631" t="s">
        <v>56</v>
      </c>
      <c r="AA2631" t="s">
        <v>40</v>
      </c>
      <c r="AG2631" t="s">
        <v>40</v>
      </c>
    </row>
    <row r="2632" spans="1:39" x14ac:dyDescent="0.3">
      <c r="A2632">
        <v>2020</v>
      </c>
      <c r="B2632">
        <v>10</v>
      </c>
      <c r="C2632" t="str">
        <f t="shared" si="82"/>
        <v>10/01/2020</v>
      </c>
      <c r="D2632" s="1" t="str">
        <f t="shared" si="83"/>
        <v>10/01/2020</v>
      </c>
      <c r="E2632" t="s">
        <v>55</v>
      </c>
      <c r="F2632" t="s">
        <v>54</v>
      </c>
      <c r="G2632" t="s">
        <v>41</v>
      </c>
      <c r="H2632">
        <v>67</v>
      </c>
      <c r="I2632">
        <v>22</v>
      </c>
      <c r="J2632">
        <v>0</v>
      </c>
      <c r="L2632">
        <v>0</v>
      </c>
      <c r="M2632">
        <v>0</v>
      </c>
      <c r="N2632">
        <v>0</v>
      </c>
      <c r="P2632">
        <v>0</v>
      </c>
      <c r="Q2632">
        <v>0</v>
      </c>
      <c r="R2632">
        <v>15</v>
      </c>
      <c r="U2632">
        <v>0</v>
      </c>
      <c r="V2632">
        <v>0</v>
      </c>
      <c r="W2632" s="1">
        <v>44160</v>
      </c>
      <c r="X2632" t="s">
        <v>56</v>
      </c>
      <c r="AB2632" t="s">
        <v>40</v>
      </c>
      <c r="AF2632" t="s">
        <v>40</v>
      </c>
      <c r="AJ2632" t="s">
        <v>40</v>
      </c>
      <c r="AK2632" t="s">
        <v>40</v>
      </c>
    </row>
    <row r="2633" spans="1:39" x14ac:dyDescent="0.3">
      <c r="A2633">
        <v>2020</v>
      </c>
      <c r="B2633">
        <v>10</v>
      </c>
      <c r="C2633" t="str">
        <f t="shared" si="82"/>
        <v>10/01/2020</v>
      </c>
      <c r="D2633" s="1" t="str">
        <f t="shared" si="83"/>
        <v>10/01/2020</v>
      </c>
      <c r="E2633" t="s">
        <v>55</v>
      </c>
      <c r="F2633" t="s">
        <v>54</v>
      </c>
      <c r="G2633" t="s">
        <v>42</v>
      </c>
      <c r="H2633">
        <v>95</v>
      </c>
      <c r="I2633">
        <v>51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32</v>
      </c>
      <c r="T2633">
        <v>0</v>
      </c>
      <c r="W2633" s="1">
        <v>44160</v>
      </c>
      <c r="X2633" t="s">
        <v>56</v>
      </c>
      <c r="AA2633" t="s">
        <v>40</v>
      </c>
      <c r="AB2633" t="s">
        <v>40</v>
      </c>
      <c r="AC2633" t="s">
        <v>40</v>
      </c>
      <c r="AJ2633" t="s">
        <v>40</v>
      </c>
      <c r="AL2633" t="s">
        <v>40</v>
      </c>
      <c r="AM2633" t="s">
        <v>40</v>
      </c>
    </row>
    <row r="2634" spans="1:39" x14ac:dyDescent="0.3">
      <c r="A2634">
        <v>2020</v>
      </c>
      <c r="B2634">
        <v>10</v>
      </c>
      <c r="C2634" t="str">
        <f t="shared" si="82"/>
        <v>10/01/2020</v>
      </c>
      <c r="D2634" s="1" t="str">
        <f t="shared" si="83"/>
        <v>10/01/2020</v>
      </c>
      <c r="E2634" t="s">
        <v>55</v>
      </c>
      <c r="F2634" t="s">
        <v>54</v>
      </c>
      <c r="G2634" t="s">
        <v>43</v>
      </c>
      <c r="H2634">
        <v>115</v>
      </c>
      <c r="I2634">
        <v>92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37</v>
      </c>
      <c r="S2634">
        <v>20</v>
      </c>
      <c r="W2634" s="1">
        <v>44160</v>
      </c>
      <c r="X2634" t="s">
        <v>56</v>
      </c>
      <c r="AA2634" t="s">
        <v>40</v>
      </c>
      <c r="AB2634" t="s">
        <v>40</v>
      </c>
      <c r="AK2634" t="s">
        <v>40</v>
      </c>
      <c r="AL2634" t="s">
        <v>40</v>
      </c>
      <c r="AM2634" t="s">
        <v>40</v>
      </c>
    </row>
    <row r="2635" spans="1:39" x14ac:dyDescent="0.3">
      <c r="A2635">
        <v>2020</v>
      </c>
      <c r="B2635">
        <v>10</v>
      </c>
      <c r="C2635" t="str">
        <f t="shared" si="82"/>
        <v>10/01/2020</v>
      </c>
      <c r="D2635" s="1" t="str">
        <f t="shared" si="83"/>
        <v>10/01/2020</v>
      </c>
      <c r="E2635" t="s">
        <v>55</v>
      </c>
      <c r="F2635" t="s">
        <v>54</v>
      </c>
      <c r="G2635" t="s">
        <v>44</v>
      </c>
      <c r="H2635">
        <v>173</v>
      </c>
      <c r="I2635">
        <v>150</v>
      </c>
      <c r="K2635">
        <v>26</v>
      </c>
      <c r="M2635">
        <v>0</v>
      </c>
      <c r="R2635">
        <v>35</v>
      </c>
      <c r="S2635">
        <v>31</v>
      </c>
      <c r="U2635">
        <v>12</v>
      </c>
      <c r="V2635">
        <v>10</v>
      </c>
      <c r="W2635" s="1">
        <v>44160</v>
      </c>
      <c r="X2635" t="s">
        <v>56</v>
      </c>
      <c r="AA2635" t="s">
        <v>40</v>
      </c>
      <c r="AC2635" t="s">
        <v>40</v>
      </c>
      <c r="AE2635" t="s">
        <v>40</v>
      </c>
      <c r="AF2635" t="s">
        <v>40</v>
      </c>
      <c r="AG2635" t="s">
        <v>40</v>
      </c>
      <c r="AH2635" t="s">
        <v>40</v>
      </c>
      <c r="AK2635" t="s">
        <v>40</v>
      </c>
    </row>
    <row r="2636" spans="1:39" x14ac:dyDescent="0.3">
      <c r="A2636">
        <v>2020</v>
      </c>
      <c r="B2636">
        <v>10</v>
      </c>
      <c r="C2636" t="str">
        <f t="shared" si="82"/>
        <v>10/01/2020</v>
      </c>
      <c r="D2636" s="1" t="str">
        <f t="shared" si="83"/>
        <v>10/01/2020</v>
      </c>
      <c r="E2636" t="s">
        <v>55</v>
      </c>
      <c r="F2636" t="s">
        <v>54</v>
      </c>
      <c r="G2636" t="s">
        <v>45</v>
      </c>
      <c r="H2636">
        <v>11</v>
      </c>
      <c r="J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S2636">
        <v>0</v>
      </c>
      <c r="T2636">
        <v>0</v>
      </c>
      <c r="U2636">
        <v>0</v>
      </c>
      <c r="V2636">
        <v>0</v>
      </c>
      <c r="W2636" s="1">
        <v>44160</v>
      </c>
      <c r="X2636" t="s">
        <v>56</v>
      </c>
      <c r="Z2636" t="s">
        <v>40</v>
      </c>
      <c r="AB2636" t="s">
        <v>40</v>
      </c>
      <c r="AI2636" t="s">
        <v>40</v>
      </c>
    </row>
    <row r="2637" spans="1:39" x14ac:dyDescent="0.3">
      <c r="A2637">
        <v>2020</v>
      </c>
      <c r="B2637">
        <v>10</v>
      </c>
      <c r="C2637" t="str">
        <f t="shared" si="82"/>
        <v>10/01/2020</v>
      </c>
      <c r="D2637" s="1" t="str">
        <f t="shared" si="83"/>
        <v>10/01/2020</v>
      </c>
      <c r="E2637" t="s">
        <v>55</v>
      </c>
      <c r="F2637" t="s">
        <v>54</v>
      </c>
      <c r="G2637" t="s">
        <v>46</v>
      </c>
      <c r="H2637">
        <v>310</v>
      </c>
      <c r="I2637">
        <v>292</v>
      </c>
      <c r="K2637">
        <v>71</v>
      </c>
      <c r="L2637">
        <v>14</v>
      </c>
      <c r="M2637">
        <v>0</v>
      </c>
      <c r="O2637">
        <v>12</v>
      </c>
      <c r="R2637">
        <v>32</v>
      </c>
      <c r="S2637">
        <v>64</v>
      </c>
      <c r="T2637">
        <v>10</v>
      </c>
      <c r="U2637">
        <v>18</v>
      </c>
      <c r="V2637">
        <v>17</v>
      </c>
      <c r="W2637" s="1">
        <v>44160</v>
      </c>
      <c r="X2637" t="s">
        <v>56</v>
      </c>
      <c r="AA2637" t="s">
        <v>40</v>
      </c>
      <c r="AE2637" t="s">
        <v>40</v>
      </c>
      <c r="AG2637" t="s">
        <v>40</v>
      </c>
      <c r="AH2637" t="s">
        <v>40</v>
      </c>
    </row>
    <row r="2638" spans="1:39" x14ac:dyDescent="0.3">
      <c r="A2638">
        <v>2020</v>
      </c>
      <c r="B2638">
        <v>10</v>
      </c>
      <c r="C2638" t="str">
        <f t="shared" si="82"/>
        <v>10/01/2020</v>
      </c>
      <c r="D2638" s="1" t="str">
        <f t="shared" si="83"/>
        <v>10/01/2020</v>
      </c>
      <c r="E2638" t="s">
        <v>55</v>
      </c>
      <c r="F2638" t="s">
        <v>54</v>
      </c>
      <c r="G2638" t="s">
        <v>47</v>
      </c>
      <c r="H2638">
        <v>370</v>
      </c>
      <c r="I2638">
        <v>353</v>
      </c>
      <c r="K2638">
        <v>110</v>
      </c>
      <c r="L2638">
        <v>18</v>
      </c>
      <c r="O2638">
        <v>15</v>
      </c>
      <c r="R2638">
        <v>28</v>
      </c>
      <c r="S2638">
        <v>78</v>
      </c>
      <c r="T2638">
        <v>10</v>
      </c>
      <c r="U2638">
        <v>19</v>
      </c>
      <c r="V2638">
        <v>15</v>
      </c>
      <c r="W2638" s="1">
        <v>44160</v>
      </c>
      <c r="X2638" t="s">
        <v>56</v>
      </c>
      <c r="AA2638" t="s">
        <v>40</v>
      </c>
      <c r="AD2638" t="s">
        <v>40</v>
      </c>
      <c r="AE2638" t="s">
        <v>40</v>
      </c>
      <c r="AG2638" t="s">
        <v>40</v>
      </c>
      <c r="AH2638" t="s">
        <v>40</v>
      </c>
    </row>
    <row r="2639" spans="1:39" x14ac:dyDescent="0.3">
      <c r="A2639">
        <v>2020</v>
      </c>
      <c r="B2639">
        <v>10</v>
      </c>
      <c r="C2639" t="str">
        <f t="shared" si="82"/>
        <v>10/01/2020</v>
      </c>
      <c r="D2639" s="1" t="str">
        <f t="shared" si="83"/>
        <v>10/01/2020</v>
      </c>
      <c r="E2639" t="s">
        <v>55</v>
      </c>
      <c r="F2639" t="s">
        <v>54</v>
      </c>
      <c r="G2639" t="s">
        <v>48</v>
      </c>
      <c r="H2639">
        <v>388</v>
      </c>
      <c r="I2639">
        <v>372</v>
      </c>
      <c r="K2639">
        <v>87</v>
      </c>
      <c r="L2639">
        <v>16</v>
      </c>
      <c r="M2639">
        <v>14</v>
      </c>
      <c r="O2639">
        <v>20</v>
      </c>
      <c r="S2639">
        <v>86</v>
      </c>
      <c r="T2639">
        <v>18</v>
      </c>
      <c r="U2639">
        <v>33</v>
      </c>
      <c r="V2639">
        <v>28</v>
      </c>
      <c r="W2639" s="1">
        <v>44160</v>
      </c>
      <c r="X2639" t="s">
        <v>56</v>
      </c>
      <c r="AA2639" t="s">
        <v>40</v>
      </c>
      <c r="AE2639" t="s">
        <v>40</v>
      </c>
      <c r="AG2639" t="s">
        <v>40</v>
      </c>
      <c r="AH2639" t="s">
        <v>40</v>
      </c>
      <c r="AI2639" t="s">
        <v>40</v>
      </c>
    </row>
    <row r="2640" spans="1:39" x14ac:dyDescent="0.3">
      <c r="A2640">
        <v>2020</v>
      </c>
      <c r="B2640">
        <v>10</v>
      </c>
      <c r="C2640" t="str">
        <f t="shared" si="82"/>
        <v>10/01/2020</v>
      </c>
      <c r="D2640" s="1" t="str">
        <f t="shared" si="83"/>
        <v>10/01/2020</v>
      </c>
      <c r="E2640" t="s">
        <v>55</v>
      </c>
      <c r="F2640" t="s">
        <v>54</v>
      </c>
      <c r="G2640" t="s">
        <v>49</v>
      </c>
      <c r="H2640">
        <v>277</v>
      </c>
      <c r="I2640">
        <v>271</v>
      </c>
      <c r="K2640">
        <v>42</v>
      </c>
      <c r="O2640">
        <v>15</v>
      </c>
      <c r="S2640">
        <v>75</v>
      </c>
      <c r="T2640">
        <v>18</v>
      </c>
      <c r="U2640">
        <v>15</v>
      </c>
      <c r="V2640">
        <v>10</v>
      </c>
      <c r="W2640" s="1">
        <v>44160</v>
      </c>
      <c r="X2640" t="s">
        <v>56</v>
      </c>
      <c r="AA2640" t="s">
        <v>40</v>
      </c>
      <c r="AC2640" t="s">
        <v>40</v>
      </c>
      <c r="AD2640" t="s">
        <v>40</v>
      </c>
      <c r="AE2640" t="s">
        <v>40</v>
      </c>
      <c r="AG2640" t="s">
        <v>40</v>
      </c>
      <c r="AH2640" t="s">
        <v>40</v>
      </c>
      <c r="AI2640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Monthly_provisional_counts_of_d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 Drummond</cp:lastModifiedBy>
  <dcterms:created xsi:type="dcterms:W3CDTF">2020-12-01T22:57:47Z</dcterms:created>
  <dcterms:modified xsi:type="dcterms:W3CDTF">2020-12-02T02:39:23Z</dcterms:modified>
</cp:coreProperties>
</file>